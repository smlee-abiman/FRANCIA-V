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/>
  <mc:AlternateContent xmlns:mc="http://schemas.openxmlformats.org/markup-compatibility/2006">
    <mc:Choice Requires="x15">
      <x15ac:absPath xmlns:x15ac="http://schemas.microsoft.com/office/spreadsheetml/2010/11/ac" url="C:\WORK\3Gpendant\仕様書\"/>
    </mc:Choice>
  </mc:AlternateContent>
  <xr:revisionPtr revIDLastSave="0" documentId="13_ncr:20001_{4FB26399-4934-4E12-8E22-BCE878E1CEE1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pen_set" sheetId="1" r:id="rId1"/>
  </sheets>
  <definedNames>
    <definedName name="_xlnm._FilterDatabase" localSheetId="0" hidden="1">pen_set!$A$1:$Q$273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44" i="1" l="1"/>
  <c r="A345" i="1"/>
  <c r="A346" i="1"/>
  <c r="A347" i="1"/>
  <c r="A348" i="1"/>
  <c r="A349" i="1"/>
  <c r="A343" i="1"/>
  <c r="A342" i="1"/>
  <c r="A327" i="1"/>
  <c r="A316" i="1" l="1"/>
  <c r="A312" i="1"/>
  <c r="A311" i="1"/>
  <c r="A315" i="1" l="1"/>
  <c r="A314" i="1"/>
  <c r="A313" i="1"/>
  <c r="A310" i="1"/>
  <c r="A309" i="1"/>
  <c r="A308" i="1"/>
  <c r="D267" i="1" l="1"/>
  <c r="D268" i="1"/>
  <c r="D269" i="1"/>
  <c r="D270" i="1"/>
  <c r="D271" i="1"/>
  <c r="D272" i="1"/>
  <c r="D273" i="1"/>
  <c r="D266" i="1"/>
  <c r="C266" i="1"/>
  <c r="C267" i="1"/>
  <c r="C268" i="1"/>
  <c r="C269" i="1"/>
  <c r="C270" i="1"/>
  <c r="C271" i="1"/>
  <c r="C272" i="1"/>
  <c r="C273" i="1"/>
  <c r="B267" i="1"/>
  <c r="B268" i="1"/>
  <c r="B269" i="1"/>
  <c r="B270" i="1"/>
  <c r="B271" i="1"/>
  <c r="B272" i="1"/>
  <c r="B273" i="1"/>
  <c r="B266" i="1"/>
  <c r="A267" i="1"/>
  <c r="A268" i="1"/>
  <c r="A269" i="1"/>
  <c r="A270" i="1"/>
  <c r="A271" i="1"/>
  <c r="A272" i="1"/>
  <c r="A273" i="1"/>
  <c r="A266" i="1"/>
  <c r="C244" i="1"/>
  <c r="C245" i="1"/>
  <c r="C246" i="1"/>
  <c r="C247" i="1"/>
  <c r="C248" i="1"/>
  <c r="C249" i="1"/>
  <c r="C250" i="1"/>
  <c r="C243" i="1"/>
  <c r="B244" i="1"/>
  <c r="B245" i="1"/>
  <c r="B246" i="1"/>
  <c r="B247" i="1"/>
  <c r="B248" i="1"/>
  <c r="B249" i="1"/>
  <c r="B250" i="1"/>
  <c r="B243" i="1"/>
  <c r="A243" i="1"/>
  <c r="A244" i="1"/>
  <c r="A245" i="1"/>
  <c r="A246" i="1"/>
  <c r="A247" i="1"/>
  <c r="A248" i="1"/>
  <c r="A249" i="1"/>
  <c r="A250" i="1"/>
  <c r="D38" i="1"/>
  <c r="D39" i="1"/>
  <c r="D40" i="1"/>
  <c r="D41" i="1"/>
  <c r="D42" i="1"/>
  <c r="D43" i="1"/>
  <c r="D44" i="1"/>
  <c r="D37" i="1"/>
  <c r="C38" i="1"/>
  <c r="C39" i="1"/>
  <c r="C40" i="1"/>
  <c r="C41" i="1"/>
  <c r="C42" i="1"/>
  <c r="C43" i="1"/>
  <c r="C44" i="1"/>
  <c r="C37" i="1"/>
  <c r="B38" i="1"/>
  <c r="B39" i="1"/>
  <c r="B40" i="1"/>
  <c r="B41" i="1"/>
  <c r="B42" i="1"/>
  <c r="B43" i="1"/>
  <c r="B44" i="1"/>
  <c r="B37" i="1"/>
  <c r="A37" i="1"/>
  <c r="A38" i="1"/>
  <c r="A39" i="1"/>
  <c r="A40" i="1"/>
  <c r="A41" i="1"/>
  <c r="A42" i="1"/>
  <c r="A43" i="1"/>
  <c r="A44" i="1"/>
  <c r="A288" i="1"/>
  <c r="A289" i="1"/>
  <c r="A290" i="1"/>
  <c r="A291" i="1"/>
  <c r="A292" i="1"/>
  <c r="A293" i="1"/>
  <c r="A294" i="1"/>
  <c r="A295" i="1"/>
  <c r="B288" i="1"/>
  <c r="B289" i="1"/>
  <c r="B290" i="1"/>
  <c r="B291" i="1"/>
  <c r="B292" i="1"/>
  <c r="B293" i="1"/>
  <c r="B294" i="1"/>
  <c r="B295" i="1"/>
  <c r="D289" i="1"/>
  <c r="D290" i="1"/>
  <c r="D291" i="1"/>
  <c r="D292" i="1"/>
  <c r="D293" i="1"/>
  <c r="D294" i="1"/>
  <c r="D295" i="1"/>
  <c r="D288" i="1"/>
  <c r="C289" i="1"/>
  <c r="C290" i="1"/>
  <c r="C291" i="1"/>
  <c r="C292" i="1"/>
  <c r="C293" i="1"/>
  <c r="C294" i="1"/>
  <c r="C295" i="1"/>
  <c r="C288" i="1"/>
  <c r="B23" i="1"/>
  <c r="B24" i="1" s="1"/>
  <c r="B25" i="1" s="1"/>
  <c r="B26" i="1" s="1"/>
  <c r="B47" i="1" s="1"/>
  <c r="B274" i="1" s="1"/>
  <c r="B350" i="1" l="1"/>
  <c r="B351" i="1" s="1"/>
  <c r="B360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</calcChain>
</file>

<file path=xl/sharedStrings.xml><?xml version="1.0" encoding="utf-8"?>
<sst xmlns="http://schemas.openxmlformats.org/spreadsheetml/2006/main" count="733" uniqueCount="323">
  <si>
    <t>;警報表示</t>
    <rPh sb="1" eb="3">
      <t>ケイホウ</t>
    </rPh>
    <rPh sb="3" eb="5">
      <t>ヒョウジ</t>
    </rPh>
    <phoneticPr fontId="2"/>
  </si>
  <si>
    <t>;警告表示</t>
    <rPh sb="1" eb="3">
      <t>ケイコク</t>
    </rPh>
    <rPh sb="3" eb="5">
      <t>ヒョウジ</t>
    </rPh>
    <phoneticPr fontId="2"/>
  </si>
  <si>
    <t>;動作表示</t>
    <rPh sb="1" eb="3">
      <t>ドウサ</t>
    </rPh>
    <rPh sb="3" eb="5">
      <t>ヒョウジ</t>
    </rPh>
    <phoneticPr fontId="2"/>
  </si>
  <si>
    <t>;画面2　手動操作</t>
    <rPh sb="1" eb="3">
      <t>ガメン</t>
    </rPh>
    <rPh sb="5" eb="7">
      <t>シュドウ</t>
    </rPh>
    <rPh sb="7" eb="9">
      <t>ソウサ</t>
    </rPh>
    <phoneticPr fontId="2"/>
  </si>
  <si>
    <t>;共通データ</t>
    <rPh sb="1" eb="3">
      <t>キョウツウ</t>
    </rPh>
    <phoneticPr fontId="1"/>
  </si>
  <si>
    <t>byte</t>
    <phoneticPr fontId="1"/>
  </si>
  <si>
    <t>;</t>
    <phoneticPr fontId="1"/>
  </si>
  <si>
    <t>;group</t>
    <phoneticPr fontId="1"/>
  </si>
  <si>
    <t>;言語表示順序</t>
    <rPh sb="1" eb="3">
      <t>ゲンゴ</t>
    </rPh>
    <rPh sb="3" eb="5">
      <t>ヒョウジ</t>
    </rPh>
    <rPh sb="5" eb="7">
      <t>ジュンジョ</t>
    </rPh>
    <phoneticPr fontId="1"/>
  </si>
  <si>
    <t>;空き</t>
    <rPh sb="1" eb="2">
      <t>ア</t>
    </rPh>
    <phoneticPr fontId="1"/>
  </si>
  <si>
    <t>;日時表示　文字色RGB値</t>
    <rPh sb="1" eb="3">
      <t>ニチジ</t>
    </rPh>
    <rPh sb="3" eb="5">
      <t>ヒョウジ</t>
    </rPh>
    <rPh sb="6" eb="9">
      <t>モジショク</t>
    </rPh>
    <rPh sb="12" eb="13">
      <t>チ</t>
    </rPh>
    <phoneticPr fontId="1"/>
  </si>
  <si>
    <t>;現在ファイルNo.＆ファイル名称表示　文字色RGB値</t>
    <rPh sb="1" eb="3">
      <t>ゲンザイ</t>
    </rPh>
    <rPh sb="15" eb="17">
      <t>メイショウ</t>
    </rPh>
    <rPh sb="17" eb="19">
      <t>ヒョウジ</t>
    </rPh>
    <rPh sb="20" eb="23">
      <t>モジショク</t>
    </rPh>
    <rPh sb="26" eb="27">
      <t>チ</t>
    </rPh>
    <phoneticPr fontId="1"/>
  </si>
  <si>
    <t>;上側バー表示</t>
    <rPh sb="1" eb="3">
      <t>ウエガワ</t>
    </rPh>
    <rPh sb="5" eb="7">
      <t>ヒョウジ</t>
    </rPh>
    <phoneticPr fontId="1"/>
  </si>
  <si>
    <t>;下側バー表示</t>
    <rPh sb="1" eb="3">
      <t>シタガワ</t>
    </rPh>
    <rPh sb="5" eb="7">
      <t>ヒョウジ</t>
    </rPh>
    <phoneticPr fontId="1"/>
  </si>
  <si>
    <t>;空き</t>
    <rPh sb="1" eb="2">
      <t>ア</t>
    </rPh>
    <phoneticPr fontId="1"/>
  </si>
  <si>
    <t>;</t>
    <phoneticPr fontId="1"/>
  </si>
  <si>
    <t>;画面タイトル表示　文字色RGB値</t>
    <rPh sb="1" eb="3">
      <t>ガメン</t>
    </rPh>
    <rPh sb="7" eb="9">
      <t>ヒョウジ</t>
    </rPh>
    <rPh sb="10" eb="13">
      <t>モジショク</t>
    </rPh>
    <rPh sb="16" eb="17">
      <t>チ</t>
    </rPh>
    <phoneticPr fontId="1"/>
  </si>
  <si>
    <t>2020/12/14/Ver-0.01a</t>
    <phoneticPr fontId="1"/>
  </si>
  <si>
    <t>;軸表示順序</t>
    <rPh sb="1" eb="2">
      <t>ジク</t>
    </rPh>
    <rPh sb="2" eb="4">
      <t>ヒョウジ</t>
    </rPh>
    <rPh sb="4" eb="6">
      <t>ジュンジョ</t>
    </rPh>
    <phoneticPr fontId="1"/>
  </si>
  <si>
    <t>;</t>
  </si>
  <si>
    <t>;運転モード表示　文字色RGB値</t>
    <rPh sb="1" eb="3">
      <t>ウンテン</t>
    </rPh>
    <rPh sb="6" eb="8">
      <t>ヒョウジ</t>
    </rPh>
    <rPh sb="9" eb="12">
      <t>モジショク</t>
    </rPh>
    <rPh sb="15" eb="16">
      <t>チ</t>
    </rPh>
    <phoneticPr fontId="1"/>
  </si>
  <si>
    <t>;速度　文字色RGB</t>
    <rPh sb="1" eb="3">
      <t>ソクド</t>
    </rPh>
    <rPh sb="4" eb="6">
      <t>モジ</t>
    </rPh>
    <rPh sb="6" eb="7">
      <t>イロ</t>
    </rPh>
    <phoneticPr fontId="1"/>
  </si>
  <si>
    <t>;製品側/副側　文字色RGB値</t>
    <rPh sb="1" eb="4">
      <t>セイヒンカワ</t>
    </rPh>
    <rPh sb="5" eb="6">
      <t>フク</t>
    </rPh>
    <rPh sb="6" eb="7">
      <t>カワ</t>
    </rPh>
    <rPh sb="8" eb="10">
      <t>モジ</t>
    </rPh>
    <rPh sb="10" eb="11">
      <t>ショク</t>
    </rPh>
    <rPh sb="14" eb="15">
      <t>チ</t>
    </rPh>
    <phoneticPr fontId="1"/>
  </si>
  <si>
    <t>;選択された　運転モード表示　文字色RGB値</t>
    <rPh sb="1" eb="3">
      <t>センタク</t>
    </rPh>
    <phoneticPr fontId="1"/>
  </si>
  <si>
    <t>;空き</t>
  </si>
  <si>
    <t>;画面1　原点復帰</t>
    <rPh sb="1" eb="3">
      <t>ガメン</t>
    </rPh>
    <rPh sb="5" eb="7">
      <t>ゲンテン</t>
    </rPh>
    <rPh sb="7" eb="9">
      <t>フッキ</t>
    </rPh>
    <phoneticPr fontId="2"/>
  </si>
  <si>
    <t>byte</t>
  </si>
  <si>
    <t>word</t>
  </si>
  <si>
    <t>;軸1</t>
  </si>
  <si>
    <t>;軸2</t>
  </si>
  <si>
    <t>;軸3</t>
  </si>
  <si>
    <t>;軸4</t>
  </si>
  <si>
    <t>;軸5</t>
  </si>
  <si>
    <t>;軸6</t>
  </si>
  <si>
    <t>;軸7</t>
  </si>
  <si>
    <t>;現在位置　　数値色RGB</t>
    <rPh sb="7" eb="9">
      <t>スウチ</t>
    </rPh>
    <rPh sb="9" eb="10">
      <t>イロ</t>
    </rPh>
    <phoneticPr fontId="1"/>
  </si>
  <si>
    <t>;エンコーダ　　数値色RGB</t>
    <phoneticPr fontId="1"/>
  </si>
  <si>
    <t>;トルク　数値色RGB</t>
    <phoneticPr fontId="1"/>
  </si>
  <si>
    <t>;％　数値色RGB</t>
    <phoneticPr fontId="1"/>
  </si>
  <si>
    <t>;ページ数　表示色RGB</t>
    <rPh sb="4" eb="5">
      <t>スウ</t>
    </rPh>
    <rPh sb="6" eb="8">
      <t>ヒョウジ</t>
    </rPh>
    <rPh sb="8" eb="9">
      <t>イロ</t>
    </rPh>
    <phoneticPr fontId="1"/>
  </si>
  <si>
    <t>;TAGIO操作</t>
  </si>
  <si>
    <t>;入力表示ページ数2~10</t>
  </si>
  <si>
    <t>;出力表示ページ数2~12</t>
  </si>
  <si>
    <t>;2列×50行</t>
  </si>
  <si>
    <t>;表示出力keyNo.テーブル</t>
  </si>
  <si>
    <t>;2列×60行</t>
  </si>
  <si>
    <t>;　出力IO押された時のkeyNo.を設定します。</t>
  </si>
  <si>
    <t>;入力ON表示文字色RGB値</t>
    <rPh sb="1" eb="3">
      <t>ニュウリョク</t>
    </rPh>
    <phoneticPr fontId="1"/>
  </si>
  <si>
    <t>;入力OFF表示文字色RGB値</t>
    <rPh sb="1" eb="3">
      <t>ニュウリョク</t>
    </rPh>
    <phoneticPr fontId="1"/>
  </si>
  <si>
    <t>;出力ON表示文字色RGB値</t>
    <rPh sb="1" eb="3">
      <t>シュツリョク</t>
    </rPh>
    <phoneticPr fontId="1"/>
  </si>
  <si>
    <t>;出力OFF表示文字色RGB値</t>
    <rPh sb="1" eb="3">
      <t>シュツリョク</t>
    </rPh>
    <phoneticPr fontId="1"/>
  </si>
  <si>
    <t>;TAG軸操作</t>
    <rPh sb="4" eb="5">
      <t>ジク</t>
    </rPh>
    <phoneticPr fontId="1"/>
  </si>
  <si>
    <t>;現在位置　数値文字色RGB</t>
    <rPh sb="1" eb="5">
      <t>ゲンザイイチ</t>
    </rPh>
    <rPh sb="6" eb="8">
      <t>スウチ</t>
    </rPh>
    <rPh sb="8" eb="11">
      <t>モジショク</t>
    </rPh>
    <phoneticPr fontId="1"/>
  </si>
  <si>
    <t>;速度　数値文字色RGB</t>
    <rPh sb="1" eb="3">
      <t>ソクド</t>
    </rPh>
    <rPh sb="4" eb="6">
      <t>スウチ</t>
    </rPh>
    <rPh sb="6" eb="9">
      <t>モジショク</t>
    </rPh>
    <phoneticPr fontId="1"/>
  </si>
  <si>
    <t>;最大値　数値文字色RGB</t>
    <rPh sb="1" eb="4">
      <t>サイダイチ</t>
    </rPh>
    <rPh sb="5" eb="7">
      <t>スウチ</t>
    </rPh>
    <rPh sb="7" eb="10">
      <t>モジショク</t>
    </rPh>
    <rPh sb="9" eb="10">
      <t>イロ</t>
    </rPh>
    <phoneticPr fontId="1"/>
  </si>
  <si>
    <t>;エンコーダ　数値文字色RGB</t>
    <rPh sb="7" eb="9">
      <t>スウチ</t>
    </rPh>
    <rPh sb="9" eb="12">
      <t>モジショク</t>
    </rPh>
    <rPh sb="11" eb="12">
      <t>イロ</t>
    </rPh>
    <phoneticPr fontId="1"/>
  </si>
  <si>
    <t>;空き</t>
    <rPh sb="1" eb="2">
      <t>ア</t>
    </rPh>
    <phoneticPr fontId="1"/>
  </si>
  <si>
    <t>word</t>
    <phoneticPr fontId="1"/>
  </si>
  <si>
    <t>;現在位置</t>
    <rPh sb="1" eb="5">
      <t>ゲンザイイチ</t>
    </rPh>
    <phoneticPr fontId="1"/>
  </si>
  <si>
    <t>エンコーダ</t>
    <phoneticPr fontId="1"/>
  </si>
  <si>
    <t>最大値</t>
    <rPh sb="0" eb="3">
      <t>サイダイチ</t>
    </rPh>
    <phoneticPr fontId="1"/>
  </si>
  <si>
    <t>空き</t>
    <rPh sb="0" eb="1">
      <t>ア</t>
    </rPh>
    <phoneticPr fontId="1"/>
  </si>
  <si>
    <t>;軸1</t>
    <rPh sb="1" eb="2">
      <t>ジク</t>
    </rPh>
    <phoneticPr fontId="1"/>
  </si>
  <si>
    <t>;軸2</t>
    <rPh sb="1" eb="2">
      <t>ジク</t>
    </rPh>
    <phoneticPr fontId="1"/>
  </si>
  <si>
    <t>;軸3</t>
    <rPh sb="1" eb="2">
      <t>ジク</t>
    </rPh>
    <phoneticPr fontId="1"/>
  </si>
  <si>
    <t>;軸4</t>
    <rPh sb="1" eb="2">
      <t>ジク</t>
    </rPh>
    <phoneticPr fontId="1"/>
  </si>
  <si>
    <t>;軸5</t>
    <rPh sb="1" eb="2">
      <t>ジク</t>
    </rPh>
    <phoneticPr fontId="1"/>
  </si>
  <si>
    <t>;軸6</t>
    <rPh sb="1" eb="2">
      <t>ジク</t>
    </rPh>
    <phoneticPr fontId="1"/>
  </si>
  <si>
    <t>;軸7</t>
    <rPh sb="1" eb="2">
      <t>ジク</t>
    </rPh>
    <phoneticPr fontId="1"/>
  </si>
  <si>
    <t>;軸8</t>
    <rPh sb="1" eb="2">
      <t>ジク</t>
    </rPh>
    <phoneticPr fontId="1"/>
  </si>
  <si>
    <t>;TAG軸表示</t>
    <rPh sb="4" eb="5">
      <t>ジク</t>
    </rPh>
    <rPh sb="5" eb="7">
      <t>ヒョウジ</t>
    </rPh>
    <phoneticPr fontId="1"/>
  </si>
  <si>
    <t>;ページ数　文字色RGB</t>
    <rPh sb="4" eb="5">
      <t>スウ</t>
    </rPh>
    <rPh sb="6" eb="8">
      <t>モジ</t>
    </rPh>
    <rPh sb="8" eb="9">
      <t>ショク</t>
    </rPh>
    <phoneticPr fontId="1"/>
  </si>
  <si>
    <t>トルク</t>
    <phoneticPr fontId="1"/>
  </si>
  <si>
    <t>速度</t>
    <rPh sb="0" eb="2">
      <t>ソクド</t>
    </rPh>
    <phoneticPr fontId="1"/>
  </si>
  <si>
    <t>;奇数軸　現在位置　数値文字色RGB</t>
    <rPh sb="1" eb="3">
      <t>キスウ</t>
    </rPh>
    <rPh sb="3" eb="4">
      <t>ジク</t>
    </rPh>
    <rPh sb="5" eb="9">
      <t>ゲンザイイチ</t>
    </rPh>
    <rPh sb="10" eb="12">
      <t>スウチ</t>
    </rPh>
    <rPh sb="12" eb="15">
      <t>モジショク</t>
    </rPh>
    <phoneticPr fontId="1"/>
  </si>
  <si>
    <t>;偶数軸　現在位置　数値文字色RGB</t>
    <rPh sb="1" eb="3">
      <t>グウスウ</t>
    </rPh>
    <rPh sb="3" eb="4">
      <t>ジク</t>
    </rPh>
    <rPh sb="5" eb="9">
      <t>ゲンザイイチ</t>
    </rPh>
    <rPh sb="10" eb="12">
      <t>スウチ</t>
    </rPh>
    <rPh sb="12" eb="15">
      <t>モジショク</t>
    </rPh>
    <phoneticPr fontId="1"/>
  </si>
  <si>
    <t>;奇数軸　エンコーダ　数値文字色RGB</t>
    <rPh sb="11" eb="13">
      <t>スウチ</t>
    </rPh>
    <rPh sb="13" eb="16">
      <t>モジショク</t>
    </rPh>
    <rPh sb="15" eb="16">
      <t>イロ</t>
    </rPh>
    <phoneticPr fontId="1"/>
  </si>
  <si>
    <t>;偶数軸　エンコーダ　数値文字色RGB</t>
    <rPh sb="11" eb="13">
      <t>スウチ</t>
    </rPh>
    <rPh sb="13" eb="16">
      <t>モジショク</t>
    </rPh>
    <rPh sb="15" eb="16">
      <t>イロ</t>
    </rPh>
    <phoneticPr fontId="1"/>
  </si>
  <si>
    <t>;偶数軸　トルク　数値文字色RGB</t>
    <rPh sb="9" eb="11">
      <t>スウチ</t>
    </rPh>
    <rPh sb="11" eb="14">
      <t>モジショク</t>
    </rPh>
    <rPh sb="13" eb="14">
      <t>イロ</t>
    </rPh>
    <phoneticPr fontId="1"/>
  </si>
  <si>
    <t>;奇数軸　トルク　数値文字色RGB</t>
    <rPh sb="9" eb="11">
      <t>スウチ</t>
    </rPh>
    <rPh sb="11" eb="14">
      <t>モジショク</t>
    </rPh>
    <rPh sb="13" eb="14">
      <t>イロ</t>
    </rPh>
    <phoneticPr fontId="1"/>
  </si>
  <si>
    <t>;奇数軸　速度　数値文字色RGB</t>
    <rPh sb="5" eb="7">
      <t>ソクド</t>
    </rPh>
    <rPh sb="8" eb="10">
      <t>スウチ</t>
    </rPh>
    <rPh sb="10" eb="13">
      <t>モジショク</t>
    </rPh>
    <phoneticPr fontId="1"/>
  </si>
  <si>
    <t>;偶数軸　速度　数値文字色RGB</t>
    <rPh sb="5" eb="7">
      <t>ソクド</t>
    </rPh>
    <rPh sb="8" eb="10">
      <t>スウチ</t>
    </rPh>
    <rPh sb="10" eb="13">
      <t>モジショク</t>
    </rPh>
    <phoneticPr fontId="1"/>
  </si>
  <si>
    <t>;IO操作テーブル</t>
    <rPh sb="3" eb="5">
      <t>ソウサ</t>
    </rPh>
    <phoneticPr fontId="1"/>
  </si>
  <si>
    <t>;画面3　自動運転</t>
    <rPh sb="1" eb="3">
      <t>ガメン</t>
    </rPh>
    <rPh sb="5" eb="7">
      <t>ジドウ</t>
    </rPh>
    <rPh sb="7" eb="9">
      <t>ウンテン</t>
    </rPh>
    <phoneticPr fontId="2"/>
  </si>
  <si>
    <t>;位置数値　文字色RGB値</t>
    <rPh sb="3" eb="5">
      <t>スウチ</t>
    </rPh>
    <rPh sb="4" eb="5">
      <t>アタイ</t>
    </rPh>
    <rPh sb="6" eb="9">
      <t>モジショク</t>
    </rPh>
    <rPh sb="12" eb="13">
      <t>チ</t>
    </rPh>
    <phoneticPr fontId="1"/>
  </si>
  <si>
    <t>;エンコーダ数値　文字色RGB値</t>
    <rPh sb="6" eb="8">
      <t>スウチ</t>
    </rPh>
    <phoneticPr fontId="1"/>
  </si>
  <si>
    <t>;トルク数値　文字色RGB値</t>
    <rPh sb="4" eb="6">
      <t>スウチ</t>
    </rPh>
    <phoneticPr fontId="1"/>
  </si>
  <si>
    <t>;位置、エンコーダ、トルクの表示方式</t>
    <rPh sb="1" eb="3">
      <t>イチ</t>
    </rPh>
    <rPh sb="14" eb="16">
      <t>ヒョウジ</t>
    </rPh>
    <rPh sb="16" eb="18">
      <t>ホウシキ</t>
    </rPh>
    <phoneticPr fontId="1"/>
  </si>
  <si>
    <t>;現在位置、エンコーダ、トルク、原点百分比％の表示方式</t>
    <rPh sb="16" eb="18">
      <t>ゲンテン</t>
    </rPh>
    <rPh sb="18" eb="20">
      <t>ヒャクブン</t>
    </rPh>
    <rPh sb="20" eb="21">
      <t>ヒ</t>
    </rPh>
    <rPh sb="23" eb="27">
      <t>ヒョウジホウシキ</t>
    </rPh>
    <phoneticPr fontId="1"/>
  </si>
  <si>
    <t>;HOM（Di***)、OVR（Di***)、MB（Di***)の番号***</t>
    <rPh sb="33" eb="35">
      <t>バンゴウ</t>
    </rPh>
    <phoneticPr fontId="1"/>
  </si>
  <si>
    <t>;TAG軸情報</t>
    <rPh sb="4" eb="5">
      <t>ジク</t>
    </rPh>
    <rPh sb="5" eb="7">
      <t>ジョウホウ</t>
    </rPh>
    <phoneticPr fontId="1"/>
  </si>
  <si>
    <t>;TAG生産管理</t>
    <rPh sb="4" eb="8">
      <t>セイサンカンリ</t>
    </rPh>
    <phoneticPr fontId="1"/>
  </si>
  <si>
    <t>;軸情報テーブル</t>
    <rPh sb="1" eb="4">
      <t>ジクジョウホウ</t>
    </rPh>
    <phoneticPr fontId="1"/>
  </si>
  <si>
    <t>;生産管理テーブル</t>
    <phoneticPr fontId="1"/>
  </si>
  <si>
    <t>;ページ1/2</t>
    <phoneticPr fontId="1"/>
  </si>
  <si>
    <t>;ページ2/2</t>
    <phoneticPr fontId="1"/>
  </si>
  <si>
    <t>;取出時間　文字色RGB</t>
    <rPh sb="6" eb="9">
      <t>モジショク</t>
    </rPh>
    <phoneticPr fontId="1"/>
  </si>
  <si>
    <t>;サイクル時間　文字色RGB</t>
    <phoneticPr fontId="1"/>
  </si>
  <si>
    <t>;成型時間　文字色RGB</t>
    <phoneticPr fontId="1"/>
  </si>
  <si>
    <r>
      <t>;1回取出数</t>
    </r>
    <r>
      <rPr>
        <sz val="11"/>
        <color theme="1"/>
        <rFont val="Microsoft JhengHei"/>
        <family val="3"/>
        <charset val="134"/>
      </rPr>
      <t>/取出数</t>
    </r>
    <r>
      <rPr>
        <sz val="11"/>
        <color theme="1"/>
        <rFont val="MS UI Gothic"/>
        <family val="3"/>
        <charset val="128"/>
      </rPr>
      <t>　文字色RGB</t>
    </r>
    <phoneticPr fontId="1"/>
  </si>
  <si>
    <t>;生産数/予定数　文字色RGB</t>
    <rPh sb="3" eb="4">
      <t>カズ</t>
    </rPh>
    <phoneticPr fontId="1"/>
  </si>
  <si>
    <r>
      <t>;不良率</t>
    </r>
    <r>
      <rPr>
        <sz val="11"/>
        <color theme="1"/>
        <rFont val="Microsoft JhengHei"/>
        <family val="3"/>
        <charset val="134"/>
      </rPr>
      <t>%</t>
    </r>
    <r>
      <rPr>
        <sz val="11"/>
        <color theme="1"/>
        <rFont val="MS UI Gothic"/>
        <family val="3"/>
        <charset val="128"/>
      </rPr>
      <t>/達成率</t>
    </r>
    <r>
      <rPr>
        <sz val="11"/>
        <color theme="1"/>
        <rFont val="Microsoft JhengHei"/>
        <family val="3"/>
        <charset val="134"/>
      </rPr>
      <t>%</t>
    </r>
    <r>
      <rPr>
        <sz val="11"/>
        <color theme="1"/>
        <rFont val="MS UI Gothic"/>
        <family val="3"/>
        <charset val="128"/>
      </rPr>
      <t>　文字色RGB</t>
    </r>
    <phoneticPr fontId="1"/>
  </si>
  <si>
    <t>;生産終了予定時間　文字色RGB</t>
    <rPh sb="7" eb="9">
      <t>ジカン</t>
    </rPh>
    <phoneticPr fontId="1"/>
  </si>
  <si>
    <t>;不良回数　文字色RGB</t>
    <phoneticPr fontId="1"/>
  </si>
  <si>
    <t>;予め告知时间　文字色RGB</t>
    <rPh sb="1" eb="2">
      <t>アラカジ</t>
    </rPh>
    <rPh sb="3" eb="5">
      <t>コクチ</t>
    </rPh>
    <phoneticPr fontId="1"/>
  </si>
  <si>
    <t>;自動運転画面共通　ページ表示　文字色RGB値</t>
    <rPh sb="1" eb="7">
      <t>ジドウウンテンガメン</t>
    </rPh>
    <rPh sb="7" eb="9">
      <t>キョウツウ</t>
    </rPh>
    <rPh sb="13" eb="15">
      <t>ヒョウジ</t>
    </rPh>
    <rPh sb="16" eb="18">
      <t>モジ</t>
    </rPh>
    <rPh sb="18" eb="19">
      <t>ショク</t>
    </rPh>
    <rPh sb="22" eb="23">
      <t>チ</t>
    </rPh>
    <phoneticPr fontId="1"/>
  </si>
  <si>
    <t>;取出時間　表示方式</t>
    <rPh sb="6" eb="10">
      <t>ヒョウジホウシキ</t>
    </rPh>
    <phoneticPr fontId="1"/>
  </si>
  <si>
    <t>;サイクル時間　　表示方式</t>
    <phoneticPr fontId="1"/>
  </si>
  <si>
    <t>;成型時間　　表示方式</t>
    <phoneticPr fontId="1"/>
  </si>
  <si>
    <r>
      <t>;1回取出数</t>
    </r>
    <r>
      <rPr>
        <sz val="11"/>
        <color theme="1"/>
        <rFont val="Microsoft JhengHei"/>
        <family val="3"/>
        <charset val="134"/>
      </rPr>
      <t>/取出数</t>
    </r>
    <r>
      <rPr>
        <sz val="11"/>
        <color theme="1"/>
        <rFont val="MS UI Gothic"/>
        <family val="3"/>
        <charset val="128"/>
      </rPr>
      <t>　　表示方式</t>
    </r>
    <phoneticPr fontId="1"/>
  </si>
  <si>
    <t>;生産数/予定数　表示方式</t>
    <rPh sb="3" eb="4">
      <t>カズ</t>
    </rPh>
    <phoneticPr fontId="1"/>
  </si>
  <si>
    <r>
      <t>;不良率</t>
    </r>
    <r>
      <rPr>
        <sz val="11"/>
        <color theme="1"/>
        <rFont val="Microsoft JhengHei"/>
        <family val="3"/>
        <charset val="134"/>
      </rPr>
      <t>%</t>
    </r>
    <r>
      <rPr>
        <sz val="11"/>
        <color theme="1"/>
        <rFont val="MS UI Gothic"/>
        <family val="3"/>
        <charset val="128"/>
      </rPr>
      <t>/達成率</t>
    </r>
    <r>
      <rPr>
        <sz val="11"/>
        <color theme="1"/>
        <rFont val="Microsoft JhengHei"/>
        <family val="3"/>
        <charset val="134"/>
      </rPr>
      <t>%</t>
    </r>
    <r>
      <rPr>
        <sz val="11"/>
        <color theme="1"/>
        <rFont val="MS UI Gothic"/>
        <family val="3"/>
        <charset val="128"/>
      </rPr>
      <t>　表示方式</t>
    </r>
    <phoneticPr fontId="1"/>
  </si>
  <si>
    <t>;生産終了予定時間　表示方式</t>
    <rPh sb="7" eb="9">
      <t>ジカン</t>
    </rPh>
    <phoneticPr fontId="1"/>
  </si>
  <si>
    <t>;不良回数　表示方式</t>
    <phoneticPr fontId="1"/>
  </si>
  <si>
    <t>;告知时间　　表示方式</t>
    <rPh sb="1" eb="3">
      <t>コクチ</t>
    </rPh>
    <phoneticPr fontId="1"/>
  </si>
  <si>
    <r>
      <rPr>
        <sz val="11"/>
        <color theme="1"/>
        <rFont val="Microsoft YaHei"/>
        <family val="2"/>
        <charset val="134"/>
      </rPr>
      <t>00</t>
    </r>
    <r>
      <rPr>
        <sz val="11"/>
        <color theme="1"/>
        <rFont val="游ゴシック"/>
        <family val="2"/>
        <charset val="128"/>
        <scheme val="minor"/>
      </rPr>
      <t>0</t>
    </r>
    <phoneticPr fontId="1"/>
  </si>
  <si>
    <r>
      <rPr>
        <sz val="11"/>
        <color theme="1"/>
        <rFont val="Microsoft YaHei"/>
        <family val="2"/>
        <charset val="134"/>
      </rPr>
      <t>00</t>
    </r>
    <r>
      <rPr>
        <sz val="11"/>
        <color theme="1"/>
        <rFont val="游ゴシック"/>
        <family val="2"/>
        <charset val="128"/>
        <scheme val="minor"/>
      </rPr>
      <t>1</t>
    </r>
    <phoneticPr fontId="1"/>
  </si>
  <si>
    <r>
      <rPr>
        <sz val="11"/>
        <color theme="1"/>
        <rFont val="Microsoft YaHei"/>
        <family val="2"/>
        <charset val="134"/>
      </rPr>
      <t>00</t>
    </r>
    <r>
      <rPr>
        <sz val="11"/>
        <color theme="1"/>
        <rFont val="游ゴシック"/>
        <family val="2"/>
        <charset val="128"/>
        <scheme val="minor"/>
      </rPr>
      <t>2</t>
    </r>
    <phoneticPr fontId="1"/>
  </si>
  <si>
    <r>
      <rPr>
        <sz val="11"/>
        <color theme="1"/>
        <rFont val="Microsoft YaHei"/>
        <family val="2"/>
        <charset val="134"/>
      </rPr>
      <t>00</t>
    </r>
    <r>
      <rPr>
        <sz val="11"/>
        <color theme="1"/>
        <rFont val="游ゴシック"/>
        <family val="2"/>
        <charset val="128"/>
        <scheme val="minor"/>
      </rPr>
      <t>3</t>
    </r>
    <phoneticPr fontId="1"/>
  </si>
  <si>
    <r>
      <rPr>
        <sz val="11"/>
        <color theme="1"/>
        <rFont val="Microsoft YaHei"/>
        <family val="2"/>
        <charset val="134"/>
      </rPr>
      <t>00</t>
    </r>
    <r>
      <rPr>
        <sz val="11"/>
        <color theme="1"/>
        <rFont val="游ゴシック"/>
        <family val="2"/>
        <charset val="128"/>
        <scheme val="minor"/>
      </rPr>
      <t>4</t>
    </r>
    <phoneticPr fontId="1"/>
  </si>
  <si>
    <t>005</t>
    <phoneticPr fontId="1"/>
  </si>
  <si>
    <t>008</t>
    <phoneticPr fontId="1"/>
  </si>
  <si>
    <t>009</t>
    <phoneticPr fontId="1"/>
  </si>
  <si>
    <t>010</t>
  </si>
  <si>
    <t>011</t>
  </si>
  <si>
    <t>012</t>
  </si>
  <si>
    <t>013</t>
  </si>
  <si>
    <t>014</t>
  </si>
  <si>
    <t>015</t>
  </si>
  <si>
    <t>016</t>
  </si>
  <si>
    <t>017</t>
    <phoneticPr fontId="1"/>
  </si>
  <si>
    <t>018</t>
  </si>
  <si>
    <t>019</t>
  </si>
  <si>
    <t>020</t>
  </si>
  <si>
    <t>021</t>
    <phoneticPr fontId="1"/>
  </si>
  <si>
    <t>023</t>
  </si>
  <si>
    <t>022</t>
    <phoneticPr fontId="1"/>
  </si>
  <si>
    <t>064</t>
    <phoneticPr fontId="1"/>
  </si>
  <si>
    <t>065</t>
  </si>
  <si>
    <t>066</t>
  </si>
  <si>
    <t>068</t>
  </si>
  <si>
    <t>069</t>
  </si>
  <si>
    <t>070</t>
  </si>
  <si>
    <t>071</t>
  </si>
  <si>
    <t>073</t>
  </si>
  <si>
    <t>074</t>
  </si>
  <si>
    <t>075</t>
  </si>
  <si>
    <t>076</t>
  </si>
  <si>
    <t>078</t>
  </si>
  <si>
    <t>079</t>
  </si>
  <si>
    <t>128</t>
    <phoneticPr fontId="1"/>
  </si>
  <si>
    <t>067</t>
    <phoneticPr fontId="1"/>
  </si>
  <si>
    <t>072</t>
    <phoneticPr fontId="1"/>
  </si>
  <si>
    <t>077</t>
    <phoneticPr fontId="1"/>
  </si>
  <si>
    <t>129</t>
  </si>
  <si>
    <t>130</t>
    <phoneticPr fontId="1"/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</si>
  <si>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</si>
  <si>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</si>
  <si>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</si>
  <si>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</si>
  <si>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</si>
  <si>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</si>
  <si>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</si>
  <si>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</si>
  <si>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</si>
  <si>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</si>
  <si>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</si>
  <si>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</si>
  <si>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</si>
  <si>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193</t>
    <phoneticPr fontId="1"/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</si>
  <si>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</si>
  <si>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</si>
  <si>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</si>
  <si>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</si>
  <si>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</si>
  <si>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</si>
  <si>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</si>
  <si>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</si>
  <si>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</si>
  <si>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</si>
  <si>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</si>
  <si>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</si>
  <si>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</si>
  <si>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</si>
  <si>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</si>
  <si>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</si>
  <si>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</si>
  <si>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</si>
  <si>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</si>
  <si>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</si>
  <si>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</si>
  <si>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</si>
  <si>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</si>
  <si>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</si>
  <si>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</si>
  <si>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</si>
  <si>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</si>
  <si>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</si>
  <si>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</si>
  <si>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</si>
  <si>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;　表示したいDixxxのxxx部を設定します。</t>
    <phoneticPr fontId="1"/>
  </si>
  <si>
    <t>;　予備</t>
    <phoneticPr fontId="1"/>
  </si>
  <si>
    <t>;　入力してない（予備）は表示しない。</t>
    <rPh sb="2" eb="4">
      <t>ニュウリョク</t>
    </rPh>
    <rPh sb="9" eb="11">
      <t>ヨビ</t>
    </rPh>
    <rPh sb="13" eb="15">
      <t>ヒョウジ</t>
    </rPh>
    <phoneticPr fontId="1"/>
  </si>
  <si>
    <t>;ページ1</t>
    <phoneticPr fontId="1"/>
  </si>
  <si>
    <t>;ページ2</t>
    <phoneticPr fontId="1"/>
  </si>
  <si>
    <t>;ページ3</t>
    <phoneticPr fontId="1"/>
  </si>
  <si>
    <t>;ページ4</t>
    <phoneticPr fontId="1"/>
  </si>
  <si>
    <t>;ページ5</t>
    <phoneticPr fontId="1"/>
  </si>
  <si>
    <t>;ページ6</t>
    <phoneticPr fontId="1"/>
  </si>
  <si>
    <t>;ページ7</t>
    <phoneticPr fontId="1"/>
  </si>
  <si>
    <t>;ページ8</t>
    <phoneticPr fontId="1"/>
  </si>
  <si>
    <t>;ページ9</t>
    <phoneticPr fontId="1"/>
  </si>
  <si>
    <t>;ページ10</t>
    <phoneticPr fontId="1"/>
  </si>
  <si>
    <t>;ページ11</t>
    <phoneticPr fontId="1"/>
  </si>
  <si>
    <t>;ページ12</t>
    <phoneticPr fontId="1"/>
  </si>
  <si>
    <t>;表示入力番号テーブル</t>
    <phoneticPr fontId="1"/>
  </si>
  <si>
    <t>;表示出力番号テーブル</t>
    <rPh sb="3" eb="4">
      <t>シュツ</t>
    </rPh>
    <phoneticPr fontId="1"/>
  </si>
  <si>
    <t>;2列×60行</t>
    <phoneticPr fontId="1"/>
  </si>
  <si>
    <t>;　表示したいDOxxxのxxx部を設定します。</t>
    <phoneticPr fontId="1"/>
  </si>
  <si>
    <t>;IO表示</t>
    <rPh sb="3" eb="5">
      <t>ヒョウジ</t>
    </rPh>
    <phoneticPr fontId="1"/>
  </si>
  <si>
    <t>;タイマー</t>
    <phoneticPr fontId="1"/>
  </si>
  <si>
    <t>;タイマー　数値文字色RGB</t>
    <rPh sb="6" eb="8">
      <t>スウチ</t>
    </rPh>
    <rPh sb="8" eb="11">
      <t>モジショク</t>
    </rPh>
    <phoneticPr fontId="1"/>
  </si>
  <si>
    <t>;タイマー　数値表示方式</t>
    <rPh sb="6" eb="8">
      <t>スウチ</t>
    </rPh>
    <rPh sb="8" eb="10">
      <t>ヒョウジ</t>
    </rPh>
    <rPh sb="10" eb="12">
      <t>ホウシキ</t>
    </rPh>
    <phoneticPr fontId="1"/>
  </si>
  <si>
    <t>;空き</t>
    <rPh sb="1" eb="2">
      <t>ア</t>
    </rPh>
    <phoneticPr fontId="1"/>
  </si>
  <si>
    <t>;カウンター</t>
    <phoneticPr fontId="1"/>
  </si>
  <si>
    <t>;カウンター1　数値文字色RGB</t>
    <rPh sb="8" eb="10">
      <t>スウチ</t>
    </rPh>
    <rPh sb="10" eb="13">
      <t>モジショク</t>
    </rPh>
    <phoneticPr fontId="1"/>
  </si>
  <si>
    <t>;カウンター2　数値文字色RGB</t>
    <rPh sb="8" eb="10">
      <t>スウチ</t>
    </rPh>
    <rPh sb="10" eb="13">
      <t>モジショク</t>
    </rPh>
    <phoneticPr fontId="1"/>
  </si>
  <si>
    <t>;カウンター3　数値文字色RGB</t>
    <rPh sb="8" eb="10">
      <t>スウチ</t>
    </rPh>
    <rPh sb="10" eb="13">
      <t>モジショク</t>
    </rPh>
    <phoneticPr fontId="1"/>
  </si>
  <si>
    <t>;カウンター4　数値文字色RGB</t>
    <rPh sb="8" eb="10">
      <t>スウチ</t>
    </rPh>
    <rPh sb="10" eb="13">
      <t>モジショク</t>
    </rPh>
    <phoneticPr fontId="1"/>
  </si>
  <si>
    <t>;カウンター5　数値文字色RGB</t>
    <rPh sb="8" eb="10">
      <t>スウチ</t>
    </rPh>
    <rPh sb="10" eb="13">
      <t>モジショク</t>
    </rPh>
    <phoneticPr fontId="1"/>
  </si>
  <si>
    <t>;カウンター6　数値文字色RGB</t>
    <rPh sb="8" eb="10">
      <t>スウチ</t>
    </rPh>
    <rPh sb="10" eb="13">
      <t>モジショク</t>
    </rPh>
    <phoneticPr fontId="1"/>
  </si>
  <si>
    <t>;カウンター7　数値文字色RGB</t>
    <rPh sb="8" eb="10">
      <t>スウチ</t>
    </rPh>
    <rPh sb="10" eb="13">
      <t>モジショク</t>
    </rPh>
    <phoneticPr fontId="1"/>
  </si>
  <si>
    <t>;カウンター8　数値文字色RGB</t>
    <rPh sb="8" eb="10">
      <t>スウチ</t>
    </rPh>
    <rPh sb="10" eb="13">
      <t>モジショク</t>
    </rPh>
    <phoneticPr fontId="1"/>
  </si>
  <si>
    <t>;カウンター1　数値表示方式</t>
    <rPh sb="8" eb="10">
      <t>スウチ</t>
    </rPh>
    <rPh sb="10" eb="12">
      <t>ヒョウジ</t>
    </rPh>
    <rPh sb="12" eb="14">
      <t>ホウシキ</t>
    </rPh>
    <phoneticPr fontId="1"/>
  </si>
  <si>
    <t>;カウンター2　数値表示方式</t>
    <rPh sb="8" eb="10">
      <t>スウチ</t>
    </rPh>
    <rPh sb="10" eb="12">
      <t>ヒョウジ</t>
    </rPh>
    <rPh sb="12" eb="14">
      <t>ホウシキ</t>
    </rPh>
    <phoneticPr fontId="1"/>
  </si>
  <si>
    <t>;カウンター3　数値表示方式</t>
    <rPh sb="8" eb="10">
      <t>スウチ</t>
    </rPh>
    <rPh sb="10" eb="12">
      <t>ヒョウジ</t>
    </rPh>
    <rPh sb="12" eb="14">
      <t>ホウシキ</t>
    </rPh>
    <phoneticPr fontId="1"/>
  </si>
  <si>
    <t>;カウンター4　数値表示方式</t>
    <rPh sb="8" eb="10">
      <t>スウチ</t>
    </rPh>
    <rPh sb="10" eb="12">
      <t>ヒョウジ</t>
    </rPh>
    <rPh sb="12" eb="14">
      <t>ホウシキ</t>
    </rPh>
    <phoneticPr fontId="1"/>
  </si>
  <si>
    <t>;カウンター5　数値表示方式</t>
    <rPh sb="8" eb="10">
      <t>スウチ</t>
    </rPh>
    <rPh sb="10" eb="12">
      <t>ヒョウジ</t>
    </rPh>
    <rPh sb="12" eb="14">
      <t>ホウシキ</t>
    </rPh>
    <phoneticPr fontId="1"/>
  </si>
  <si>
    <t>;カウンター6　数値表示方式</t>
    <rPh sb="8" eb="10">
      <t>スウチ</t>
    </rPh>
    <rPh sb="10" eb="12">
      <t>ヒョウジ</t>
    </rPh>
    <rPh sb="12" eb="14">
      <t>ホウシキ</t>
    </rPh>
    <phoneticPr fontId="1"/>
  </si>
  <si>
    <t>;カウンター7　数値表示方式</t>
    <rPh sb="8" eb="10">
      <t>スウチ</t>
    </rPh>
    <rPh sb="10" eb="12">
      <t>ヒョウジ</t>
    </rPh>
    <rPh sb="12" eb="14">
      <t>ホウシキ</t>
    </rPh>
    <phoneticPr fontId="1"/>
  </si>
  <si>
    <t>;カウンター8　数値表示方式</t>
    <rPh sb="8" eb="10">
      <t>スウチ</t>
    </rPh>
    <rPh sb="10" eb="12">
      <t>ヒョウジ</t>
    </rPh>
    <rPh sb="12" eb="14">
      <t>ホウシキ</t>
    </rPh>
    <phoneticPr fontId="1"/>
  </si>
  <si>
    <t>;group</t>
  </si>
  <si>
    <t>;画面6　モード画面</t>
    <rPh sb="8" eb="10">
      <t>ガメン</t>
    </rPh>
    <phoneticPr fontId="1"/>
  </si>
  <si>
    <t>;画面7　位置設定画面</t>
    <rPh sb="5" eb="11">
      <t>イチセッテイガメン</t>
    </rPh>
    <phoneticPr fontId="1"/>
  </si>
  <si>
    <t>;画面8　パレタイズ画面</t>
    <rPh sb="10" eb="12">
      <t>ガメン</t>
    </rPh>
    <phoneticPr fontId="1"/>
  </si>
  <si>
    <t>;画面9　タイマー画面</t>
    <rPh sb="9" eb="11">
      <t>ガメン</t>
    </rPh>
    <phoneticPr fontId="1"/>
  </si>
  <si>
    <t>;画面10　カウンター画面</t>
    <rPh sb="11" eb="13">
      <t>ガメン</t>
    </rPh>
    <phoneticPr fontId="1"/>
  </si>
  <si>
    <t>;画面11　パス画面</t>
    <rPh sb="8" eb="10">
      <t>ガメン</t>
    </rPh>
    <phoneticPr fontId="1"/>
  </si>
  <si>
    <t>;画面12　プログラム画面</t>
    <rPh sb="11" eb="13">
      <t>ガメン</t>
    </rPh>
    <phoneticPr fontId="1"/>
  </si>
  <si>
    <t>;画面17　生産管理画面</t>
    <rPh sb="6" eb="12">
      <t>セイサンカンリガメン</t>
    </rPh>
    <phoneticPr fontId="1"/>
  </si>
  <si>
    <t>;画面13　システム設定画面</t>
    <rPh sb="10" eb="14">
      <t>セッテイガメン</t>
    </rPh>
    <phoneticPr fontId="1"/>
  </si>
  <si>
    <t>;画面14　機械パラメータ設定</t>
    <rPh sb="6" eb="8">
      <t>キカイ</t>
    </rPh>
    <rPh sb="13" eb="15">
      <t>セッテイ</t>
    </rPh>
    <phoneticPr fontId="1"/>
  </si>
  <si>
    <t>;画面15　区域設定画面</t>
    <rPh sb="6" eb="8">
      <t>クイキ</t>
    </rPh>
    <rPh sb="8" eb="10">
      <t>セッテイ</t>
    </rPh>
    <rPh sb="10" eb="12">
      <t>ガメン</t>
    </rPh>
    <phoneticPr fontId="1"/>
  </si>
  <si>
    <t>;画面16　メンテナンス画面</t>
    <rPh sb="12" eb="14">
      <t>ガメン</t>
    </rPh>
    <phoneticPr fontId="1"/>
  </si>
  <si>
    <t>;画面18　ABS設定画面</t>
    <rPh sb="9" eb="11">
      <t>セッテイ</t>
    </rPh>
    <rPh sb="11" eb="13">
      <t>ガメン</t>
    </rPh>
    <phoneticPr fontId="1"/>
  </si>
  <si>
    <t>;画面19　加減速画面</t>
    <rPh sb="6" eb="9">
      <t>カゲンソク</t>
    </rPh>
    <rPh sb="9" eb="11">
      <t>ガメン</t>
    </rPh>
    <phoneticPr fontId="1"/>
  </si>
  <si>
    <t>;画面20　バージョン管理</t>
    <rPh sb="11" eb="13">
      <t>カンリ</t>
    </rPh>
    <phoneticPr fontId="1"/>
  </si>
  <si>
    <t>;画面21　履歴画面</t>
    <rPh sb="6" eb="10">
      <t>リレキガメン</t>
    </rPh>
    <phoneticPr fontId="1"/>
  </si>
  <si>
    <t>;画面22　段取り換え画面</t>
    <rPh sb="6" eb="7">
      <t>ダン</t>
    </rPh>
    <rPh sb="7" eb="8">
      <t>ト</t>
    </rPh>
    <rPh sb="9" eb="10">
      <t>カ</t>
    </rPh>
    <rPh sb="11" eb="13">
      <t>ガメン</t>
    </rPh>
    <phoneticPr fontId="1"/>
  </si>
  <si>
    <t>;画面23　アラーム表示画面</t>
    <rPh sb="10" eb="12">
      <t>ヒョウジ</t>
    </rPh>
    <rPh sb="12" eb="14">
      <t>ガメン</t>
    </rPh>
    <phoneticPr fontId="1"/>
  </si>
  <si>
    <t>;画面24　ユーザレベル画面</t>
    <rPh sb="12" eb="14">
      <t>ガメン</t>
    </rPh>
    <phoneticPr fontId="1"/>
  </si>
  <si>
    <t>;画面25　速度設定画面</t>
    <rPh sb="6" eb="8">
      <t>ソクド</t>
    </rPh>
    <rPh sb="8" eb="10">
      <t>セッテイ</t>
    </rPh>
    <rPh sb="10" eb="12">
      <t>ガメン</t>
    </rPh>
    <phoneticPr fontId="1"/>
  </si>
  <si>
    <t>;画面26　言語選択画面</t>
    <rPh sb="6" eb="8">
      <t>ゲンゴ</t>
    </rPh>
    <rPh sb="8" eb="10">
      <t>センタク</t>
    </rPh>
    <rPh sb="10" eb="12">
      <t>ガメン</t>
    </rPh>
    <phoneticPr fontId="1"/>
  </si>
  <si>
    <t>C0</t>
    <phoneticPr fontId="1"/>
  </si>
  <si>
    <t>;選択されたTAG　文字表示RGB</t>
    <rPh sb="1" eb="3">
      <t>センタク</t>
    </rPh>
    <rPh sb="10" eb="12">
      <t>モジ</t>
    </rPh>
    <rPh sb="12" eb="14">
      <t>ヒョウジ</t>
    </rPh>
    <phoneticPr fontId="1"/>
  </si>
  <si>
    <t>;空き</t>
    <rPh sb="1" eb="2">
      <t>ア</t>
    </rPh>
    <phoneticPr fontId="1"/>
  </si>
  <si>
    <t>;</t>
    <phoneticPr fontId="1"/>
  </si>
  <si>
    <t>;画面5　教導画面</t>
    <phoneticPr fontId="1"/>
  </si>
  <si>
    <t>;画面4　モニタ画面</t>
    <phoneticPr fontId="1"/>
  </si>
  <si>
    <t>；モードの発行KEY NO.とDI***のテーブル</t>
    <rPh sb="5" eb="7">
      <t>ハッコウ</t>
    </rPh>
    <phoneticPr fontId="1"/>
  </si>
  <si>
    <r>
      <t>;</t>
    </r>
    <r>
      <rPr>
        <sz val="1"/>
        <color theme="1"/>
        <rFont val="游ゴシック"/>
        <family val="3"/>
        <charset val="128"/>
        <scheme val="minor"/>
      </rPr>
      <t>DIxxxx</t>
    </r>
    <phoneticPr fontId="12" type="noConversion"/>
  </si>
  <si>
    <t>;副臂</t>
    <phoneticPr fontId="12" type="noConversion"/>
  </si>
  <si>
    <t>;模外待机</t>
    <phoneticPr fontId="12" type="noConversion"/>
  </si>
  <si>
    <t>;下降待机</t>
    <phoneticPr fontId="12" type="noConversion"/>
  </si>
  <si>
    <t>;模内待机</t>
    <phoneticPr fontId="12" type="noConversion"/>
  </si>
  <si>
    <t>;不良品排出</t>
    <phoneticPr fontId="12" type="noConversion"/>
  </si>
  <si>
    <t>;初期品排出</t>
    <phoneticPr fontId="12" type="noConversion"/>
  </si>
  <si>
    <t>;中板信号</t>
    <phoneticPr fontId="12" type="noConversion"/>
  </si>
  <si>
    <t>;正臂内置料</t>
    <phoneticPr fontId="12" type="noConversion"/>
  </si>
  <si>
    <t>;副臂内置料</t>
    <phoneticPr fontId="12" type="noConversion"/>
  </si>
  <si>
    <t>;装箱分开方</t>
    <phoneticPr fontId="12" type="noConversion"/>
  </si>
  <si>
    <t>;横入置料</t>
    <phoneticPr fontId="12" type="noConversion"/>
  </si>
  <si>
    <t>;横出置料</t>
    <phoneticPr fontId="12" type="noConversion"/>
  </si>
  <si>
    <t>;抱具1</t>
    <phoneticPr fontId="12" type="noConversion"/>
  </si>
  <si>
    <t>;抱具2</t>
    <phoneticPr fontId="1"/>
  </si>
  <si>
    <t>;抱具3</t>
    <phoneticPr fontId="1"/>
  </si>
  <si>
    <t>;抱具4</t>
    <phoneticPr fontId="1"/>
  </si>
  <si>
    <t>;副臂下行放</t>
    <phoneticPr fontId="1"/>
  </si>
  <si>
    <t>;副臂后退放</t>
    <phoneticPr fontId="1"/>
  </si>
  <si>
    <t>;副臂U型取</t>
    <phoneticPr fontId="12" type="noConversion"/>
  </si>
  <si>
    <t>;吹气</t>
    <phoneticPr fontId="12" type="noConversion"/>
  </si>
  <si>
    <t>;正臂</t>
    <phoneticPr fontId="12" type="noConversion"/>
  </si>
  <si>
    <r>
      <t>;取出姿</t>
    </r>
    <r>
      <rPr>
        <sz val="9"/>
        <color theme="1"/>
        <rFont val="游ゴシック"/>
        <family val="2"/>
        <charset val="134"/>
        <scheme val="minor"/>
      </rPr>
      <t>势</t>
    </r>
    <r>
      <rPr>
        <sz val="9"/>
        <color theme="1"/>
        <rFont val="游ゴシック"/>
        <family val="3"/>
        <charset val="128"/>
        <scheme val="minor"/>
      </rPr>
      <t>1</t>
    </r>
    <phoneticPr fontId="12" type="noConversion"/>
  </si>
  <si>
    <r>
      <t>;取出姿</t>
    </r>
    <r>
      <rPr>
        <sz val="9"/>
        <color theme="1"/>
        <rFont val="游ゴシック"/>
        <family val="2"/>
        <charset val="134"/>
        <scheme val="minor"/>
      </rPr>
      <t>势</t>
    </r>
    <r>
      <rPr>
        <sz val="9"/>
        <color theme="1"/>
        <rFont val="游ゴシック"/>
        <family val="3"/>
        <charset val="128"/>
        <scheme val="minor"/>
      </rPr>
      <t>2</t>
    </r>
    <phoneticPr fontId="1"/>
  </si>
  <si>
    <r>
      <t>;固定</t>
    </r>
    <r>
      <rPr>
        <sz val="9"/>
        <color theme="1"/>
        <rFont val="游ゴシック"/>
        <family val="2"/>
        <charset val="134"/>
        <scheme val="minor"/>
      </rPr>
      <t>侧</t>
    </r>
    <r>
      <rPr>
        <sz val="9"/>
        <color theme="1"/>
        <rFont val="游ゴシック"/>
        <family val="3"/>
        <charset val="128"/>
        <scheme val="minor"/>
      </rPr>
      <t>取出</t>
    </r>
    <phoneticPr fontId="1"/>
  </si>
  <si>
    <r>
      <t>;</t>
    </r>
    <r>
      <rPr>
        <sz val="9"/>
        <color theme="1"/>
        <rFont val="游ゴシック"/>
        <family val="2"/>
        <charset val="134"/>
        <scheme val="minor"/>
      </rPr>
      <t>产</t>
    </r>
    <r>
      <rPr>
        <sz val="9"/>
        <color theme="1"/>
        <rFont val="游ゴシック"/>
        <family val="3"/>
        <charset val="128"/>
        <scheme val="minor"/>
      </rPr>
      <t>品掉落</t>
    </r>
    <phoneticPr fontId="12" type="noConversion"/>
  </si>
  <si>
    <r>
      <t>;</t>
    </r>
    <r>
      <rPr>
        <sz val="9"/>
        <color theme="1"/>
        <rFont val="游ゴシック"/>
        <family val="2"/>
        <charset val="134"/>
        <scheme val="minor"/>
      </rPr>
      <t>样</t>
    </r>
    <r>
      <rPr>
        <sz val="9"/>
        <color theme="1"/>
        <rFont val="游ゴシック"/>
        <family val="3"/>
        <charset val="128"/>
        <scheme val="minor"/>
      </rPr>
      <t>品排出</t>
    </r>
    <phoneticPr fontId="12" type="noConversion"/>
  </si>
  <si>
    <r>
      <t>;置物姿</t>
    </r>
    <r>
      <rPr>
        <sz val="9"/>
        <color theme="1"/>
        <rFont val="游ゴシック"/>
        <family val="2"/>
        <charset val="134"/>
        <scheme val="minor"/>
      </rPr>
      <t>势</t>
    </r>
    <phoneticPr fontId="12" type="noConversion"/>
  </si>
  <si>
    <r>
      <t>;</t>
    </r>
    <r>
      <rPr>
        <sz val="9"/>
        <color theme="1"/>
        <rFont val="游ゴシック"/>
        <family val="2"/>
        <charset val="134"/>
        <scheme val="minor"/>
      </rPr>
      <t>门</t>
    </r>
    <r>
      <rPr>
        <sz val="9"/>
        <color theme="1"/>
        <rFont val="游ゴシック"/>
        <family val="3"/>
        <charset val="128"/>
        <scheme val="minor"/>
      </rPr>
      <t>开可下</t>
    </r>
    <phoneticPr fontId="12" type="noConversion"/>
  </si>
  <si>
    <r>
      <t>;</t>
    </r>
    <r>
      <rPr>
        <sz val="9"/>
        <color theme="1"/>
        <rFont val="游ゴシック"/>
        <family val="2"/>
        <charset val="134"/>
        <scheme val="minor"/>
      </rPr>
      <t>顶针进检</t>
    </r>
    <phoneticPr fontId="12" type="noConversion"/>
  </si>
  <si>
    <r>
      <t>;</t>
    </r>
    <r>
      <rPr>
        <sz val="9"/>
        <color theme="1"/>
        <rFont val="游ゴシック"/>
        <family val="2"/>
        <charset val="134"/>
        <scheme val="minor"/>
      </rPr>
      <t>顶针联动</t>
    </r>
    <phoneticPr fontId="12" type="noConversion"/>
  </si>
  <si>
    <r>
      <t>;断</t>
    </r>
    <r>
      <rPr>
        <sz val="9"/>
        <color theme="1"/>
        <rFont val="游ゴシック"/>
        <family val="2"/>
        <charset val="134"/>
        <scheme val="minor"/>
      </rPr>
      <t>电</t>
    </r>
    <r>
      <rPr>
        <sz val="9"/>
        <color theme="1"/>
        <rFont val="游ゴシック"/>
        <family val="3"/>
        <charset val="128"/>
        <scheme val="minor"/>
      </rPr>
      <t>不吸</t>
    </r>
    <phoneticPr fontId="12" type="noConversion"/>
  </si>
  <si>
    <r>
      <t>;水口</t>
    </r>
    <r>
      <rPr>
        <sz val="9"/>
        <color theme="1"/>
        <rFont val="游ゴシック"/>
        <family val="2"/>
        <charset val="134"/>
        <scheme val="minor"/>
      </rPr>
      <t>夹检测</t>
    </r>
    <phoneticPr fontId="12" type="noConversion"/>
  </si>
  <si>
    <r>
      <t>;抱具1</t>
    </r>
    <r>
      <rPr>
        <sz val="9"/>
        <color theme="1"/>
        <rFont val="游ゴシック"/>
        <family val="2"/>
        <charset val="134"/>
        <scheme val="minor"/>
      </rPr>
      <t>检测</t>
    </r>
    <phoneticPr fontId="12" type="noConversion"/>
  </si>
  <si>
    <r>
      <t>;抱具2</t>
    </r>
    <r>
      <rPr>
        <sz val="9"/>
        <color theme="1"/>
        <rFont val="游ゴシック"/>
        <family val="2"/>
        <charset val="134"/>
        <scheme val="minor"/>
      </rPr>
      <t>检测</t>
    </r>
    <phoneticPr fontId="1"/>
  </si>
  <si>
    <r>
      <t>;抱具3</t>
    </r>
    <r>
      <rPr>
        <sz val="9"/>
        <color theme="1"/>
        <rFont val="游ゴシック"/>
        <family val="2"/>
        <charset val="134"/>
        <scheme val="minor"/>
      </rPr>
      <t>检测</t>
    </r>
    <phoneticPr fontId="1"/>
  </si>
  <si>
    <r>
      <t>;抱具4</t>
    </r>
    <r>
      <rPr>
        <sz val="9"/>
        <color theme="1"/>
        <rFont val="游ゴシック"/>
        <family val="2"/>
        <charset val="134"/>
        <scheme val="minor"/>
      </rPr>
      <t>检测</t>
    </r>
    <phoneticPr fontId="1"/>
  </si>
  <si>
    <r>
      <t>;吸</t>
    </r>
    <r>
      <rPr>
        <sz val="9"/>
        <color theme="1"/>
        <rFont val="游ゴシック"/>
        <family val="2"/>
        <charset val="134"/>
        <scheme val="minor"/>
      </rPr>
      <t>盘</t>
    </r>
    <r>
      <rPr>
        <sz val="9"/>
        <color theme="1"/>
        <rFont val="游ゴシック"/>
        <family val="3"/>
        <charset val="128"/>
        <scheme val="minor"/>
      </rPr>
      <t>1</t>
    </r>
    <phoneticPr fontId="12" type="noConversion"/>
  </si>
  <si>
    <r>
      <t>;吸</t>
    </r>
    <r>
      <rPr>
        <sz val="9"/>
        <color theme="1"/>
        <rFont val="游ゴシック"/>
        <family val="2"/>
        <charset val="134"/>
        <scheme val="minor"/>
      </rPr>
      <t>盘</t>
    </r>
    <r>
      <rPr>
        <sz val="9"/>
        <color theme="1"/>
        <rFont val="游ゴシック"/>
        <family val="3"/>
        <charset val="128"/>
        <scheme val="minor"/>
      </rPr>
      <t>2</t>
    </r>
    <phoneticPr fontId="1"/>
  </si>
  <si>
    <r>
      <t>;吸</t>
    </r>
    <r>
      <rPr>
        <sz val="9"/>
        <color theme="1"/>
        <rFont val="游ゴシック"/>
        <family val="2"/>
        <charset val="134"/>
        <scheme val="minor"/>
      </rPr>
      <t>盘</t>
    </r>
    <r>
      <rPr>
        <sz val="9"/>
        <color theme="1"/>
        <rFont val="游ゴシック"/>
        <family val="3"/>
        <charset val="128"/>
        <scheme val="minor"/>
      </rPr>
      <t>3</t>
    </r>
    <phoneticPr fontId="1"/>
  </si>
  <si>
    <r>
      <t>;吸</t>
    </r>
    <r>
      <rPr>
        <sz val="9"/>
        <color theme="1"/>
        <rFont val="游ゴシック"/>
        <family val="2"/>
        <charset val="134"/>
        <scheme val="minor"/>
      </rPr>
      <t>盘</t>
    </r>
    <r>
      <rPr>
        <sz val="9"/>
        <color theme="1"/>
        <rFont val="游ゴシック"/>
        <family val="3"/>
        <charset val="128"/>
        <scheme val="minor"/>
      </rPr>
      <t>4</t>
    </r>
    <phoneticPr fontId="1"/>
  </si>
  <si>
    <r>
      <t>;吸</t>
    </r>
    <r>
      <rPr>
        <sz val="9"/>
        <color theme="1"/>
        <rFont val="游ゴシック"/>
        <family val="2"/>
        <charset val="134"/>
        <scheme val="minor"/>
      </rPr>
      <t>盘</t>
    </r>
    <r>
      <rPr>
        <sz val="9"/>
        <color theme="1"/>
        <rFont val="游ゴシック"/>
        <family val="3"/>
        <charset val="128"/>
        <scheme val="minor"/>
      </rPr>
      <t>1</t>
    </r>
    <r>
      <rPr>
        <sz val="9"/>
        <color theme="1"/>
        <rFont val="游ゴシック"/>
        <family val="2"/>
        <charset val="134"/>
        <scheme val="minor"/>
      </rPr>
      <t>检测</t>
    </r>
    <phoneticPr fontId="12" type="noConversion"/>
  </si>
  <si>
    <r>
      <t>;吸</t>
    </r>
    <r>
      <rPr>
        <sz val="9"/>
        <color theme="1"/>
        <rFont val="游ゴシック"/>
        <family val="2"/>
        <charset val="134"/>
        <scheme val="minor"/>
      </rPr>
      <t>盘</t>
    </r>
    <r>
      <rPr>
        <sz val="9"/>
        <color theme="1"/>
        <rFont val="游ゴシック"/>
        <family val="3"/>
        <charset val="128"/>
        <scheme val="minor"/>
      </rPr>
      <t>2</t>
    </r>
    <r>
      <rPr>
        <sz val="9"/>
        <color theme="1"/>
        <rFont val="游ゴシック"/>
        <family val="2"/>
        <charset val="134"/>
        <scheme val="minor"/>
      </rPr>
      <t>检测</t>
    </r>
    <phoneticPr fontId="1"/>
  </si>
  <si>
    <r>
      <t>;吸</t>
    </r>
    <r>
      <rPr>
        <sz val="9"/>
        <color theme="1"/>
        <rFont val="游ゴシック"/>
        <family val="2"/>
        <charset val="134"/>
        <scheme val="minor"/>
      </rPr>
      <t>盘</t>
    </r>
    <r>
      <rPr>
        <sz val="9"/>
        <color theme="1"/>
        <rFont val="游ゴシック"/>
        <family val="3"/>
        <charset val="128"/>
        <scheme val="minor"/>
      </rPr>
      <t>3</t>
    </r>
    <r>
      <rPr>
        <sz val="9"/>
        <color theme="1"/>
        <rFont val="游ゴシック"/>
        <family val="2"/>
        <charset val="134"/>
        <scheme val="minor"/>
      </rPr>
      <t>检测</t>
    </r>
    <phoneticPr fontId="1"/>
  </si>
  <si>
    <r>
      <t>;吸</t>
    </r>
    <r>
      <rPr>
        <sz val="9"/>
        <color theme="1"/>
        <rFont val="游ゴシック"/>
        <family val="2"/>
        <charset val="134"/>
        <scheme val="minor"/>
      </rPr>
      <t>盘</t>
    </r>
    <r>
      <rPr>
        <sz val="9"/>
        <color theme="1"/>
        <rFont val="游ゴシック"/>
        <family val="3"/>
        <charset val="128"/>
        <scheme val="minor"/>
      </rPr>
      <t>4</t>
    </r>
    <r>
      <rPr>
        <sz val="9"/>
        <color theme="1"/>
        <rFont val="游ゴシック"/>
        <family val="2"/>
        <charset val="134"/>
        <scheme val="minor"/>
      </rPr>
      <t>检测</t>
    </r>
    <phoneticPr fontId="1"/>
  </si>
  <si>
    <r>
      <t>;</t>
    </r>
    <r>
      <rPr>
        <sz val="9"/>
        <color theme="1"/>
        <rFont val="游ゴシック"/>
        <family val="2"/>
        <charset val="134"/>
        <scheme val="minor"/>
      </rPr>
      <t>标</t>
    </r>
    <r>
      <rPr>
        <sz val="9"/>
        <color theme="1"/>
        <rFont val="游ゴシック"/>
        <family val="3"/>
        <charset val="128"/>
        <scheme val="minor"/>
      </rPr>
      <t>准程序</t>
    </r>
    <phoneticPr fontId="12" type="noConversion"/>
  </si>
  <si>
    <r>
      <t>;抱吸失</t>
    </r>
    <r>
      <rPr>
        <sz val="11"/>
        <color theme="1"/>
        <rFont val="游ゴシック"/>
        <family val="2"/>
        <charset val="134"/>
        <scheme val="minor"/>
      </rPr>
      <t>误</t>
    </r>
    <r>
      <rPr>
        <sz val="11"/>
        <color theme="1"/>
        <rFont val="游ゴシック"/>
        <family val="3"/>
        <charset val="128"/>
        <scheme val="minor"/>
      </rPr>
      <t>即停</t>
    </r>
    <phoneticPr fontId="1"/>
  </si>
  <si>
    <r>
      <t>;副臂</t>
    </r>
    <r>
      <rPr>
        <sz val="9"/>
        <color theme="1"/>
        <rFont val="游ゴシック"/>
        <family val="2"/>
        <charset val="134"/>
        <scheme val="minor"/>
      </rPr>
      <t>动</t>
    </r>
    <r>
      <rPr>
        <sz val="9"/>
        <color theme="1"/>
        <rFont val="游ゴシック"/>
        <family val="3"/>
        <charset val="128"/>
        <scheme val="minor"/>
      </rPr>
      <t>模</t>
    </r>
    <phoneticPr fontId="12" type="noConversion"/>
  </si>
  <si>
    <r>
      <t>;蜂</t>
    </r>
    <r>
      <rPr>
        <sz val="9"/>
        <color theme="1"/>
        <rFont val="游ゴシック"/>
        <family val="2"/>
        <charset val="134"/>
        <scheme val="minor"/>
      </rPr>
      <t>鸣</t>
    </r>
    <r>
      <rPr>
        <sz val="9"/>
        <color theme="1"/>
        <rFont val="游ゴシック"/>
        <family val="3"/>
        <charset val="128"/>
        <scheme val="minor"/>
      </rPr>
      <t>器</t>
    </r>
    <phoneticPr fontId="12" type="noConversion"/>
  </si>
  <si>
    <r>
      <t>;</t>
    </r>
    <r>
      <rPr>
        <sz val="9"/>
        <color theme="1"/>
        <rFont val="游ゴシック"/>
        <family val="2"/>
        <charset val="134"/>
        <scheme val="minor"/>
      </rPr>
      <t>顶</t>
    </r>
    <r>
      <rPr>
        <sz val="9"/>
        <color theme="1"/>
        <rFont val="游ゴシック"/>
        <family val="3"/>
        <charset val="128"/>
        <scheme val="minor"/>
      </rPr>
      <t>退中子</t>
    </r>
    <phoneticPr fontId="12" type="noConversion"/>
  </si>
  <si>
    <r>
      <t>;注塑机</t>
    </r>
    <r>
      <rPr>
        <sz val="9"/>
        <color theme="1"/>
        <rFont val="游ゴシック"/>
        <family val="2"/>
        <charset val="134"/>
        <scheme val="minor"/>
      </rPr>
      <t>监</t>
    </r>
    <r>
      <rPr>
        <sz val="9"/>
        <color theme="1"/>
        <rFont val="游ゴシック"/>
        <family val="3"/>
        <charset val="128"/>
        <scheme val="minor"/>
      </rPr>
      <t>控</t>
    </r>
    <phoneticPr fontId="12" type="noConversion"/>
  </si>
  <si>
    <r>
      <t>;</t>
    </r>
    <r>
      <rPr>
        <sz val="9"/>
        <color theme="1"/>
        <rFont val="游ゴシック"/>
        <family val="2"/>
        <charset val="134"/>
        <scheme val="minor"/>
      </rPr>
      <t>预</t>
    </r>
    <r>
      <rPr>
        <sz val="9"/>
        <color theme="1"/>
        <rFont val="游ゴシック"/>
        <family val="3"/>
        <charset val="128"/>
        <scheme val="minor"/>
      </rPr>
      <t>留功能</t>
    </r>
    <phoneticPr fontId="12" type="noConversion"/>
  </si>
  <si>
    <t>;KEY NO.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</si>
</sst>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1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sz val="11"/>
      <color theme="1"/>
      <name val="MS UI Gothic"/>
      <family val="3"/>
      <charset val="128"/>
    </font>
    <font>
      <sz val="11"/>
      <color theme="1"/>
      <name val="Microsoft JhengHei"/>
      <family val="3"/>
      <charset val="134"/>
    </font>
    <font>
      <sz val="11"/>
      <color theme="1"/>
      <name val="Microsoft YaHei"/>
      <family val="3"/>
      <charset val="134"/>
    </font>
    <font>
      <sz val="11"/>
      <color theme="1"/>
      <name val="Microsoft YaHei"/>
      <family val="2"/>
      <charset val="134"/>
    </font>
    <font>
      <sz val="11"/>
      <color theme="1"/>
      <name val="游ゴシック"/>
      <family val="2"/>
      <charset val="134"/>
      <scheme val="minor"/>
    </font>
    <font>
      <sz val="11"/>
      <color theme="1"/>
      <name val="微软雅黑"/>
      <family val="2"/>
      <charset val="134"/>
    </font>
    <font>
      <sz val="9"/>
      <name val="游ゴシック"/>
      <family val="3"/>
      <charset val="134"/>
      <scheme val="minor"/>
    </font>
    <font>
      <sz val="9"/>
      <color theme="1"/>
      <name val="微软雅黑"/>
      <family val="2"/>
      <charset val="134"/>
    </font>
    <font>
      <sz val="11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2"/>
      <charset val="134"/>
      <scheme val="minor"/>
    </font>
    <font>
      <sz val="8"/>
      <color theme="1"/>
      <name val="游ゴシック"/>
      <family val="3"/>
      <charset val="128"/>
      <scheme val="minor"/>
    </font>
    <font>
      <sz val="1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ill="1">
      <alignment vertical="center"/>
    </xf>
    <xf numFmtId="0" fontId="0" fillId="2" borderId="0" xfId="0" quotePrefix="1" applyFill="1">
      <alignment vertical="center"/>
    </xf>
    <xf numFmtId="0" fontId="0" fillId="2" borderId="0" xfId="0" applyFill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0" xfId="0" applyFill="1">
      <alignment vertical="center"/>
    </xf>
    <xf numFmtId="0" fontId="0" fillId="3" borderId="0" xfId="0" applyFill="1" applyBorder="1" applyAlignment="1">
      <alignment horizontal="right" vertical="center"/>
    </xf>
    <xf numFmtId="0" fontId="0" fillId="3" borderId="0" xfId="0" applyFill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0" fillId="3" borderId="0" xfId="0" applyFill="1" applyBorder="1" applyAlignment="1">
      <alignment horizontal="left" vertical="center"/>
    </xf>
    <xf numFmtId="0" fontId="3" fillId="3" borderId="0" xfId="0" applyFont="1" applyFill="1">
      <alignment vertical="center"/>
    </xf>
    <xf numFmtId="0" fontId="0" fillId="0" borderId="0" xfId="0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3" borderId="0" xfId="0" applyFill="1" applyAlignment="1">
      <alignment horizontal="right" vertical="center"/>
    </xf>
    <xf numFmtId="0" fontId="5" fillId="0" borderId="0" xfId="0" applyFont="1">
      <alignment vertical="center"/>
    </xf>
    <xf numFmtId="0" fontId="0" fillId="0" borderId="0" xfId="0" applyFill="1" applyAlignment="1">
      <alignment horizontal="left" vertical="center"/>
    </xf>
    <xf numFmtId="0" fontId="6" fillId="0" borderId="0" xfId="0" applyFont="1">
      <alignment vertical="center"/>
    </xf>
    <xf numFmtId="0" fontId="8" fillId="0" borderId="7" xfId="0" applyFont="1" applyBorder="1">
      <alignment vertical="center"/>
    </xf>
    <xf numFmtId="49" fontId="10" fillId="0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11" fillId="0" borderId="0" xfId="0" applyFont="1" applyAlignment="1"/>
    <xf numFmtId="0" fontId="13" fillId="0" borderId="0" xfId="0" applyFont="1" applyFill="1" applyBorder="1" applyAlignment="1">
      <alignment vertical="center" wrapText="1"/>
    </xf>
    <xf numFmtId="0" fontId="14" fillId="0" borderId="0" xfId="0" applyFont="1">
      <alignment vertical="center"/>
    </xf>
    <xf numFmtId="0" fontId="14" fillId="0" borderId="0" xfId="0" applyFont="1" applyAlignment="1"/>
    <xf numFmtId="0" fontId="14" fillId="3" borderId="0" xfId="0" applyFont="1" applyFill="1">
      <alignment vertical="center"/>
    </xf>
    <xf numFmtId="0" fontId="14" fillId="3" borderId="0" xfId="0" applyFont="1" applyFill="1" applyAlignment="1">
      <alignment horizontal="left" vertical="center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left" vertical="center"/>
    </xf>
    <xf numFmtId="0" fontId="15" fillId="0" borderId="0" xfId="0" applyFont="1">
      <alignment vertical="center"/>
    </xf>
    <xf numFmtId="0" fontId="15" fillId="0" borderId="0" xfId="0" applyFont="1" applyAlignment="1">
      <alignment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683558</xdr:colOff>
      <xdr:row>27</xdr:row>
      <xdr:rowOff>0</xdr:rowOff>
    </xdr:from>
    <xdr:to>
      <xdr:col>13</xdr:col>
      <xdr:colOff>612580</xdr:colOff>
      <xdr:row>43</xdr:row>
      <xdr:rowOff>163207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9FAA4966-3CC1-43D0-8ABE-21B58BBDDD4B}"/>
            </a:ext>
          </a:extLst>
        </xdr:cNvPr>
        <xdr:cNvSpPr txBox="1"/>
      </xdr:nvSpPr>
      <xdr:spPr>
        <a:xfrm>
          <a:off x="6947646" y="6353735"/>
          <a:ext cx="2663258" cy="39283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bit3-0</a:t>
          </a:r>
          <a:r>
            <a:rPr kumimoji="1" lang="ja-JP" altLang="en-US" sz="1100"/>
            <a:t>　：　小数部桁数</a:t>
          </a:r>
          <a:endParaRPr kumimoji="1" lang="en-US" altLang="ja-JP" sz="1100"/>
        </a:p>
        <a:p>
          <a:r>
            <a:rPr kumimoji="1" lang="en-US" altLang="ja-JP" sz="1100"/>
            <a:t>bit7-4</a:t>
          </a:r>
          <a:r>
            <a:rPr kumimoji="1" lang="ja-JP" altLang="en-US" sz="1100"/>
            <a:t>　：　整数部桁数</a:t>
          </a:r>
          <a:endParaRPr kumimoji="1" lang="en-US" altLang="ja-JP" sz="1100"/>
        </a:p>
        <a:p>
          <a:r>
            <a:rPr kumimoji="1" lang="en-US" altLang="ja-JP" sz="1100"/>
            <a:t>bit15-8</a:t>
          </a:r>
          <a:r>
            <a:rPr kumimoji="1" lang="ja-JP" altLang="en-US" sz="1100"/>
            <a:t>　：　単位メッセージ</a:t>
          </a:r>
          <a:r>
            <a:rPr kumimoji="1" lang="en-US" altLang="ja-JP" sz="1100"/>
            <a:t>No</a:t>
          </a:r>
          <a:r>
            <a:rPr kumimoji="1" lang="ja-JP" altLang="en-US" sz="1100"/>
            <a:t>．</a:t>
          </a:r>
          <a:endParaRPr kumimoji="1" lang="en-US" altLang="ja-JP" sz="1100"/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０：単位なし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１：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mm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２：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rad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３：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m/min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４：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rad/min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５：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６：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７：回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８：個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９：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１０：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１１：</a:t>
          </a:r>
        </a:p>
        <a:p>
          <a:endParaRPr lang="ja-JP" altLang="ja-JP">
            <a:effectLst/>
          </a:endParaRPr>
        </a:p>
        <a:p>
          <a:endParaRPr kumimoji="1" lang="en-US" altLang="ja-JP" sz="1100"/>
        </a:p>
      </xdr:txBody>
    </xdr:sp>
    <xdr:clientData/>
  </xdr:twoCellAnchor>
  <xdr:twoCellAnchor>
    <xdr:from>
      <xdr:col>10</xdr:col>
      <xdr:colOff>0</xdr:colOff>
      <xdr:row>232</xdr:row>
      <xdr:rowOff>0</xdr:rowOff>
    </xdr:from>
    <xdr:to>
      <xdr:col>13</xdr:col>
      <xdr:colOff>612581</xdr:colOff>
      <xdr:row>248</xdr:row>
      <xdr:rowOff>163208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B4B3BD7A-F4C2-4F0E-83B4-06E27E6AC5DB}"/>
            </a:ext>
          </a:extLst>
        </xdr:cNvPr>
        <xdr:cNvSpPr txBox="1"/>
      </xdr:nvSpPr>
      <xdr:spPr>
        <a:xfrm>
          <a:off x="6947647" y="40240324"/>
          <a:ext cx="2663258" cy="39283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bit3-0</a:t>
          </a:r>
          <a:r>
            <a:rPr kumimoji="1" lang="ja-JP" altLang="en-US" sz="1100"/>
            <a:t>　：　小数部桁数</a:t>
          </a:r>
          <a:endParaRPr kumimoji="1" lang="en-US" altLang="ja-JP" sz="1100"/>
        </a:p>
        <a:p>
          <a:r>
            <a:rPr kumimoji="1" lang="en-US" altLang="ja-JP" sz="1100"/>
            <a:t>bit7-4</a:t>
          </a:r>
          <a:r>
            <a:rPr kumimoji="1" lang="ja-JP" altLang="en-US" sz="1100"/>
            <a:t>　：　整数部桁数</a:t>
          </a:r>
          <a:endParaRPr kumimoji="1" lang="en-US" altLang="ja-JP" sz="1100"/>
        </a:p>
        <a:p>
          <a:r>
            <a:rPr kumimoji="1" lang="en-US" altLang="ja-JP" sz="1100"/>
            <a:t>bit15-8</a:t>
          </a:r>
          <a:r>
            <a:rPr kumimoji="1" lang="ja-JP" altLang="en-US" sz="1100"/>
            <a:t>　：　単位メッセージ</a:t>
          </a:r>
          <a:r>
            <a:rPr kumimoji="1" lang="en-US" altLang="ja-JP" sz="1100"/>
            <a:t>No</a:t>
          </a:r>
          <a:r>
            <a:rPr kumimoji="1" lang="ja-JP" altLang="en-US" sz="1100"/>
            <a:t>．</a:t>
          </a:r>
          <a:endParaRPr kumimoji="1" lang="en-US" altLang="ja-JP" sz="1100"/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０：単位なし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１：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mm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２：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rad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３：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m/min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４：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rad/min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５：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６：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７：回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８：個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９：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１０：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１１：</a:t>
          </a:r>
        </a:p>
        <a:p>
          <a:endParaRPr lang="ja-JP" altLang="ja-JP">
            <a:effectLst/>
          </a:endParaRPr>
        </a:p>
        <a:p>
          <a:endParaRPr kumimoji="1" lang="en-US" altLang="ja-JP" sz="1100"/>
        </a:p>
      </xdr:txBody>
    </xdr:sp>
    <xdr:clientData/>
  </xdr:twoCellAnchor>
  <xdr:twoCellAnchor>
    <xdr:from>
      <xdr:col>10</xdr:col>
      <xdr:colOff>0</xdr:colOff>
      <xdr:row>253</xdr:row>
      <xdr:rowOff>0</xdr:rowOff>
    </xdr:from>
    <xdr:to>
      <xdr:col>13</xdr:col>
      <xdr:colOff>612581</xdr:colOff>
      <xdr:row>270</xdr:row>
      <xdr:rowOff>163208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A7E50C55-A8B7-4774-92DE-0F97245A33DE}"/>
            </a:ext>
          </a:extLst>
        </xdr:cNvPr>
        <xdr:cNvSpPr txBox="1"/>
      </xdr:nvSpPr>
      <xdr:spPr>
        <a:xfrm>
          <a:off x="6947647" y="45182118"/>
          <a:ext cx="2663258" cy="39283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bit3-0</a:t>
          </a:r>
          <a:r>
            <a:rPr kumimoji="1" lang="ja-JP" altLang="en-US" sz="1100"/>
            <a:t>　：　小数部桁数</a:t>
          </a:r>
          <a:endParaRPr kumimoji="1" lang="en-US" altLang="ja-JP" sz="1100"/>
        </a:p>
        <a:p>
          <a:r>
            <a:rPr kumimoji="1" lang="en-US" altLang="ja-JP" sz="1100"/>
            <a:t>bit7-4</a:t>
          </a:r>
          <a:r>
            <a:rPr kumimoji="1" lang="ja-JP" altLang="en-US" sz="1100"/>
            <a:t>　：　整数部桁数</a:t>
          </a:r>
          <a:endParaRPr kumimoji="1" lang="en-US" altLang="ja-JP" sz="1100"/>
        </a:p>
        <a:p>
          <a:r>
            <a:rPr kumimoji="1" lang="en-US" altLang="ja-JP" sz="1100"/>
            <a:t>bit15-8</a:t>
          </a:r>
          <a:r>
            <a:rPr kumimoji="1" lang="ja-JP" altLang="en-US" sz="1100"/>
            <a:t>　：　単位メッセージ</a:t>
          </a:r>
          <a:r>
            <a:rPr kumimoji="1" lang="en-US" altLang="ja-JP" sz="1100"/>
            <a:t>No</a:t>
          </a:r>
          <a:r>
            <a:rPr kumimoji="1" lang="ja-JP" altLang="en-US" sz="1100"/>
            <a:t>．</a:t>
          </a:r>
          <a:endParaRPr kumimoji="1" lang="en-US" altLang="ja-JP" sz="1100"/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０：単位なし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１：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mm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２：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rad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３：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m/min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４：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rad/min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５：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６：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７：回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８：個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９：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１０：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１１：</a:t>
          </a:r>
        </a:p>
        <a:p>
          <a:endParaRPr lang="ja-JP" altLang="ja-JP">
            <a:effectLst/>
          </a:endParaRPr>
        </a:p>
        <a:p>
          <a:endParaRPr kumimoji="1" lang="en-US" altLang="ja-JP" sz="1100"/>
        </a:p>
      </xdr:txBody>
    </xdr:sp>
    <xdr:clientData/>
  </xdr:twoCellAnchor>
  <xdr:twoCellAnchor>
    <xdr:from>
      <xdr:col>12</xdr:col>
      <xdr:colOff>6723</xdr:colOff>
      <xdr:row>285</xdr:row>
      <xdr:rowOff>233645</xdr:rowOff>
    </xdr:from>
    <xdr:to>
      <xdr:col>15</xdr:col>
      <xdr:colOff>347382</xdr:colOff>
      <xdr:row>299</xdr:row>
      <xdr:rowOff>141196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942908F8-58F0-4CD4-9AF2-5190CDD2C04F}"/>
            </a:ext>
          </a:extLst>
        </xdr:cNvPr>
        <xdr:cNvSpPr txBox="1"/>
      </xdr:nvSpPr>
      <xdr:spPr>
        <a:xfrm>
          <a:off x="8321488" y="53181439"/>
          <a:ext cx="2391335" cy="320208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bit3-0</a:t>
          </a:r>
          <a:r>
            <a:rPr kumimoji="1" lang="ja-JP" altLang="en-US" sz="1100"/>
            <a:t>　：　小数部桁数</a:t>
          </a:r>
          <a:endParaRPr kumimoji="1" lang="en-US" altLang="ja-JP" sz="1100"/>
        </a:p>
        <a:p>
          <a:r>
            <a:rPr kumimoji="1" lang="en-US" altLang="ja-JP" sz="1100"/>
            <a:t>bit7-4</a:t>
          </a:r>
          <a:r>
            <a:rPr kumimoji="1" lang="ja-JP" altLang="en-US" sz="1100"/>
            <a:t>　：　整数部桁数</a:t>
          </a:r>
          <a:endParaRPr kumimoji="1" lang="en-US" altLang="ja-JP" sz="1100"/>
        </a:p>
        <a:p>
          <a:r>
            <a:rPr kumimoji="1" lang="en-US" altLang="ja-JP" sz="1100"/>
            <a:t>bit15-8</a:t>
          </a:r>
          <a:r>
            <a:rPr kumimoji="1" lang="ja-JP" altLang="en-US" sz="1100"/>
            <a:t>　：　単位メッセージ</a:t>
          </a:r>
          <a:r>
            <a:rPr kumimoji="1" lang="en-US" altLang="ja-JP" sz="1100"/>
            <a:t>No</a:t>
          </a:r>
          <a:r>
            <a:rPr kumimoji="1" lang="ja-JP" altLang="en-US" sz="1100"/>
            <a:t>．</a:t>
          </a:r>
          <a:endParaRPr kumimoji="1" lang="en-US" altLang="ja-JP" sz="1100"/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０：単位なし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１：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mm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２：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rad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３：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m/min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４：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rad/min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５：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６：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７：回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８：個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９：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</a:t>
          </a:r>
          <a:endParaRPr lang="ja-JP" altLang="ja-JP">
            <a:effectLst/>
          </a:endParaRPr>
        </a:p>
        <a:p>
          <a:endParaRPr kumimoji="1" lang="en-US" altLang="ja-JP" sz="1100"/>
        </a:p>
      </xdr:txBody>
    </xdr:sp>
    <xdr:clientData/>
  </xdr:twoCellAnchor>
  <xdr:twoCellAnchor>
    <xdr:from>
      <xdr:col>12</xdr:col>
      <xdr:colOff>0</xdr:colOff>
      <xdr:row>307</xdr:row>
      <xdr:rowOff>0</xdr:rowOff>
    </xdr:from>
    <xdr:to>
      <xdr:col>15</xdr:col>
      <xdr:colOff>340659</xdr:colOff>
      <xdr:row>320</xdr:row>
      <xdr:rowOff>142874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1C2A7B6B-26AF-409A-B86C-30D4D1021258}"/>
            </a:ext>
          </a:extLst>
        </xdr:cNvPr>
        <xdr:cNvSpPr txBox="1"/>
      </xdr:nvSpPr>
      <xdr:spPr>
        <a:xfrm>
          <a:off x="8314765" y="57889588"/>
          <a:ext cx="2391335" cy="32020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bit3-0</a:t>
          </a:r>
          <a:r>
            <a:rPr kumimoji="1" lang="ja-JP" altLang="en-US" sz="1100"/>
            <a:t>　：　小数部桁数</a:t>
          </a:r>
          <a:endParaRPr kumimoji="1" lang="en-US" altLang="ja-JP" sz="1100"/>
        </a:p>
        <a:p>
          <a:r>
            <a:rPr kumimoji="1" lang="en-US" altLang="ja-JP" sz="1100"/>
            <a:t>bit7-4</a:t>
          </a:r>
          <a:r>
            <a:rPr kumimoji="1" lang="ja-JP" altLang="en-US" sz="1100"/>
            <a:t>　：　整数部桁数</a:t>
          </a:r>
          <a:endParaRPr kumimoji="1" lang="en-US" altLang="ja-JP" sz="1100"/>
        </a:p>
        <a:p>
          <a:r>
            <a:rPr kumimoji="1" lang="en-US" altLang="ja-JP" sz="1100"/>
            <a:t>bit15-8</a:t>
          </a:r>
          <a:r>
            <a:rPr kumimoji="1" lang="ja-JP" altLang="en-US" sz="1100"/>
            <a:t>　：　単位メッセージ</a:t>
          </a:r>
          <a:r>
            <a:rPr kumimoji="1" lang="en-US" altLang="ja-JP" sz="1100"/>
            <a:t>No</a:t>
          </a:r>
          <a:r>
            <a:rPr kumimoji="1" lang="ja-JP" altLang="en-US" sz="1100"/>
            <a:t>．</a:t>
          </a:r>
          <a:endParaRPr kumimoji="1" lang="en-US" altLang="ja-JP" sz="1100"/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０：単位なし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１：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mm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２：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rad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３：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m/min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４：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rad/min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５：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６：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７：回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８：個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９：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</a:t>
          </a:r>
          <a:endParaRPr lang="ja-JP" altLang="ja-JP">
            <a:effectLst/>
          </a:endParaRPr>
        </a:p>
        <a:p>
          <a:endParaRPr kumimoji="1" lang="en-US" altLang="ja-JP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46"/>
  <sheetViews>
    <sheetView tabSelected="1" topLeftCell="A419" zoomScale="85" zoomScaleNormal="85" workbookViewId="0">
      <selection activeCell="A425" sqref="A425:F426"/>
    </sheetView>
  </sheetViews>
  <sheetFormatPr defaultRowHeight="18.75"/>
  <cols>
    <col min="1" max="1" width="10.5" bestFit="1" customWidth="1"/>
  </cols>
  <sheetData>
    <row r="1" spans="1:17">
      <c r="A1" s="11" t="s">
        <v>7</v>
      </c>
      <c r="B1" s="12">
        <v>1</v>
      </c>
      <c r="C1" s="4" t="s">
        <v>17</v>
      </c>
      <c r="D1" s="5"/>
      <c r="E1" s="5"/>
      <c r="F1" s="13" t="s">
        <v>4</v>
      </c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7">
      <c r="A2" s="1" t="s">
        <v>5</v>
      </c>
      <c r="B2" s="2" t="s">
        <v>6</v>
      </c>
      <c r="C2" s="1"/>
      <c r="D2" s="2" t="s">
        <v>12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7">
      <c r="A3" s="6">
        <v>255</v>
      </c>
      <c r="B3" s="6">
        <v>255</v>
      </c>
      <c r="C3" s="6">
        <v>255</v>
      </c>
      <c r="D3" t="s">
        <v>16</v>
      </c>
      <c r="I3" s="1"/>
      <c r="J3" s="1"/>
      <c r="K3" s="1"/>
      <c r="L3" s="1"/>
      <c r="M3" s="1"/>
      <c r="N3" s="1"/>
      <c r="O3" s="1"/>
      <c r="P3" s="1"/>
    </row>
    <row r="4" spans="1:17">
      <c r="A4" s="6">
        <v>255</v>
      </c>
      <c r="B4" s="6">
        <v>255</v>
      </c>
      <c r="C4" s="6">
        <v>255</v>
      </c>
      <c r="D4" s="2" t="s">
        <v>20</v>
      </c>
      <c r="I4" s="1"/>
      <c r="J4" s="1"/>
      <c r="K4" s="1"/>
      <c r="L4" s="1"/>
      <c r="M4" s="1"/>
      <c r="N4" s="1"/>
      <c r="O4" s="1"/>
      <c r="P4" s="1"/>
    </row>
    <row r="5" spans="1:17">
      <c r="A5" s="6">
        <v>255</v>
      </c>
      <c r="B5" s="6">
        <v>255</v>
      </c>
      <c r="C5" s="6">
        <v>255</v>
      </c>
      <c r="D5" s="2" t="s">
        <v>11</v>
      </c>
      <c r="I5" s="1"/>
      <c r="J5" s="1"/>
      <c r="K5" s="1"/>
      <c r="L5" s="1"/>
      <c r="M5" s="1"/>
      <c r="N5" s="1"/>
      <c r="O5" s="1"/>
      <c r="P5" s="1"/>
    </row>
    <row r="6" spans="1:17">
      <c r="A6" s="20">
        <v>255</v>
      </c>
      <c r="B6" s="20">
        <v>255</v>
      </c>
      <c r="C6" s="20">
        <v>255</v>
      </c>
      <c r="D6" s="2" t="s">
        <v>10</v>
      </c>
      <c r="F6" s="1"/>
      <c r="G6" s="1"/>
      <c r="H6" s="1"/>
      <c r="I6" s="1"/>
      <c r="J6" s="1"/>
      <c r="K6" s="1"/>
      <c r="L6" s="23"/>
      <c r="M6" s="1"/>
      <c r="N6" s="1"/>
      <c r="O6" s="1"/>
      <c r="P6" s="1"/>
    </row>
    <row r="7" spans="1:17">
      <c r="A7" s="20">
        <v>255</v>
      </c>
      <c r="B7" s="20">
        <v>255</v>
      </c>
      <c r="C7" s="20">
        <v>255</v>
      </c>
      <c r="D7" s="2" t="s">
        <v>21</v>
      </c>
      <c r="G7" s="1"/>
      <c r="H7" s="1"/>
      <c r="I7" s="1"/>
      <c r="J7" s="1"/>
      <c r="K7" s="1"/>
      <c r="L7" s="1"/>
      <c r="M7" s="1"/>
      <c r="N7" s="1"/>
      <c r="O7" s="1"/>
      <c r="P7" s="1"/>
    </row>
    <row r="8" spans="1:17">
      <c r="A8" s="21">
        <v>255</v>
      </c>
      <c r="B8" s="21">
        <v>255</v>
      </c>
      <c r="C8" s="21">
        <v>255</v>
      </c>
      <c r="D8" s="2" t="s">
        <v>22</v>
      </c>
      <c r="G8" s="1"/>
      <c r="H8" s="1"/>
      <c r="I8" s="1"/>
      <c r="J8" s="1"/>
      <c r="K8" s="1"/>
      <c r="L8" s="1"/>
      <c r="M8" s="1"/>
      <c r="N8" s="1"/>
      <c r="O8" s="1"/>
      <c r="P8" s="1"/>
    </row>
    <row r="9" spans="1:17">
      <c r="A9" s="22">
        <v>0</v>
      </c>
      <c r="B9" s="22">
        <v>0</v>
      </c>
      <c r="C9" s="22">
        <v>0</v>
      </c>
      <c r="D9" s="2" t="s">
        <v>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7">
      <c r="A10" s="9">
        <v>0</v>
      </c>
      <c r="B10" s="9">
        <v>0</v>
      </c>
      <c r="C10" s="9">
        <v>0</v>
      </c>
      <c r="D10" s="2" t="s">
        <v>14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7">
      <c r="A11" s="8">
        <v>1</v>
      </c>
      <c r="B11" s="8">
        <v>2</v>
      </c>
      <c r="C11" s="8">
        <v>0</v>
      </c>
      <c r="D11" s="8">
        <v>3</v>
      </c>
      <c r="E11" s="8">
        <v>7</v>
      </c>
      <c r="F11" s="8">
        <v>4</v>
      </c>
      <c r="G11" s="8">
        <v>5</v>
      </c>
      <c r="H11" s="8">
        <v>6</v>
      </c>
      <c r="I11" s="8">
        <v>8</v>
      </c>
      <c r="J11" s="8">
        <v>9</v>
      </c>
      <c r="K11" s="8">
        <v>10</v>
      </c>
      <c r="L11" s="8">
        <v>255</v>
      </c>
      <c r="M11" s="8">
        <v>255</v>
      </c>
      <c r="N11" s="8">
        <v>255</v>
      </c>
      <c r="O11" s="8">
        <v>255</v>
      </c>
      <c r="P11" s="8">
        <v>255</v>
      </c>
      <c r="Q11" t="s">
        <v>8</v>
      </c>
    </row>
    <row r="12" spans="1:17">
      <c r="A12" s="1" t="s">
        <v>5</v>
      </c>
      <c r="B12" s="2" t="s">
        <v>15</v>
      </c>
      <c r="C12" s="1"/>
      <c r="D12" s="2" t="s">
        <v>13</v>
      </c>
    </row>
    <row r="13" spans="1:17">
      <c r="A13" s="6">
        <v>0</v>
      </c>
      <c r="B13" s="6">
        <v>0</v>
      </c>
      <c r="C13" s="6">
        <v>0</v>
      </c>
      <c r="D13" s="2" t="s">
        <v>20</v>
      </c>
    </row>
    <row r="14" spans="1:17">
      <c r="A14" s="6">
        <v>0</v>
      </c>
      <c r="B14" s="6">
        <v>0</v>
      </c>
      <c r="C14" s="6">
        <v>0</v>
      </c>
      <c r="D14" s="2" t="s">
        <v>23</v>
      </c>
    </row>
    <row r="15" spans="1:17">
      <c r="A15" s="6">
        <v>0</v>
      </c>
      <c r="B15" s="2"/>
      <c r="C15" s="1"/>
      <c r="D15" s="2" t="s">
        <v>9</v>
      </c>
    </row>
    <row r="16" spans="1:17">
      <c r="A16" s="6">
        <v>0</v>
      </c>
      <c r="B16" s="2"/>
      <c r="C16" s="1"/>
      <c r="D16" s="2" t="s">
        <v>9</v>
      </c>
    </row>
    <row r="17" spans="1:16">
      <c r="A17" t="s">
        <v>6</v>
      </c>
      <c r="B17" s="2"/>
      <c r="C17" s="1"/>
      <c r="D17" s="2"/>
    </row>
    <row r="18" spans="1:16">
      <c r="A18" t="s">
        <v>6</v>
      </c>
      <c r="I18" s="1"/>
      <c r="J18" s="1"/>
      <c r="K18" s="1"/>
      <c r="L18" s="1"/>
      <c r="M18" s="1"/>
      <c r="N18" s="1"/>
      <c r="O18" s="1"/>
      <c r="P18" s="1"/>
    </row>
    <row r="19" spans="1:16">
      <c r="A19" s="6">
        <v>1</v>
      </c>
      <c r="B19" s="6">
        <v>2</v>
      </c>
      <c r="C19" s="6">
        <v>3</v>
      </c>
      <c r="D19" s="6">
        <v>4</v>
      </c>
      <c r="E19" s="6">
        <v>5</v>
      </c>
      <c r="F19" s="6">
        <v>6</v>
      </c>
      <c r="G19" s="6">
        <v>7</v>
      </c>
      <c r="H19" s="6">
        <v>8</v>
      </c>
      <c r="I19" s="2" t="s">
        <v>18</v>
      </c>
      <c r="J19" s="1"/>
      <c r="K19" s="1"/>
      <c r="L19" s="1"/>
      <c r="M19" s="1"/>
      <c r="N19" s="1"/>
      <c r="O19" s="1"/>
      <c r="P19" s="1"/>
    </row>
    <row r="20" spans="1:16">
      <c r="A20" s="6">
        <v>0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2" t="s">
        <v>15</v>
      </c>
      <c r="J20" s="1"/>
      <c r="K20" s="1"/>
      <c r="L20" s="1"/>
      <c r="M20" s="1"/>
      <c r="N20" s="1"/>
      <c r="O20" s="1"/>
      <c r="P20" s="1"/>
    </row>
    <row r="21" spans="1:16">
      <c r="A21" t="s">
        <v>6</v>
      </c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4" t="s">
        <v>6</v>
      </c>
      <c r="B22" s="7"/>
      <c r="C22" s="7"/>
      <c r="D22" s="2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s="3" customFormat="1">
      <c r="A23" s="11" t="s">
        <v>7</v>
      </c>
      <c r="B23" s="14">
        <f>B1+1</f>
        <v>2</v>
      </c>
      <c r="C23" s="15" t="s">
        <v>0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spans="1:16" s="3" customFormat="1">
      <c r="A24" s="11" t="s">
        <v>7</v>
      </c>
      <c r="B24" s="14">
        <f>B23+1</f>
        <v>3</v>
      </c>
      <c r="C24" s="15" t="s">
        <v>1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</row>
    <row r="25" spans="1:16" s="3" customFormat="1">
      <c r="A25" s="11" t="s">
        <v>7</v>
      </c>
      <c r="B25" s="14">
        <f>B24+1</f>
        <v>4</v>
      </c>
      <c r="C25" s="15" t="s">
        <v>2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spans="1:16" s="3" customFormat="1">
      <c r="A26" s="11" t="s">
        <v>7</v>
      </c>
      <c r="B26" s="14">
        <f>B25+1</f>
        <v>5</v>
      </c>
      <c r="C26" s="15" t="s">
        <v>25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spans="1:16" s="3" customFormat="1">
      <c r="A27" t="s">
        <v>26</v>
      </c>
      <c r="B27" s="24" t="s">
        <v>6</v>
      </c>
      <c r="C27"/>
      <c r="D27"/>
      <c r="E27"/>
      <c r="F27"/>
      <c r="G27"/>
      <c r="H27"/>
      <c r="I27"/>
    </row>
    <row r="28" spans="1:16" s="3" customFormat="1">
      <c r="A28" s="25">
        <v>0</v>
      </c>
      <c r="B28" s="25">
        <v>0</v>
      </c>
      <c r="C28" s="25">
        <v>0</v>
      </c>
      <c r="D28" t="s">
        <v>19</v>
      </c>
      <c r="E28"/>
      <c r="F28"/>
      <c r="G28" t="s">
        <v>35</v>
      </c>
      <c r="H28"/>
      <c r="I28"/>
    </row>
    <row r="29" spans="1:16" s="3" customFormat="1">
      <c r="A29" s="25">
        <v>0</v>
      </c>
      <c r="B29" s="25">
        <v>0</v>
      </c>
      <c r="C29" s="25">
        <v>0</v>
      </c>
      <c r="D29" t="s">
        <v>19</v>
      </c>
      <c r="E29"/>
      <c r="F29"/>
      <c r="G29" t="s">
        <v>36</v>
      </c>
      <c r="H29"/>
      <c r="I29"/>
    </row>
    <row r="30" spans="1:16" s="3" customFormat="1">
      <c r="A30" s="25">
        <v>0</v>
      </c>
      <c r="B30" s="25">
        <v>0</v>
      </c>
      <c r="C30" s="25">
        <v>0</v>
      </c>
      <c r="D30" t="s">
        <v>19</v>
      </c>
      <c r="E30"/>
      <c r="F30"/>
      <c r="G30" t="s">
        <v>37</v>
      </c>
      <c r="H30"/>
      <c r="I30"/>
    </row>
    <row r="31" spans="1:16" s="3" customFormat="1">
      <c r="A31" s="25">
        <v>0</v>
      </c>
      <c r="B31" s="25">
        <v>0</v>
      </c>
      <c r="C31" s="25">
        <v>0</v>
      </c>
      <c r="D31" t="s">
        <v>19</v>
      </c>
      <c r="E31"/>
      <c r="F31"/>
      <c r="G31" t="s">
        <v>38</v>
      </c>
      <c r="H31"/>
      <c r="I31"/>
    </row>
    <row r="32" spans="1:16" s="3" customFormat="1">
      <c r="A32" s="25">
        <v>0</v>
      </c>
      <c r="B32" s="25">
        <v>0</v>
      </c>
      <c r="C32" s="25">
        <v>0</v>
      </c>
      <c r="D32" t="s">
        <v>19</v>
      </c>
      <c r="E32"/>
      <c r="F32"/>
      <c r="G32" t="s">
        <v>39</v>
      </c>
      <c r="H32"/>
      <c r="I32"/>
    </row>
    <row r="33" spans="1:16" s="3" customFormat="1">
      <c r="A33" s="26">
        <v>0</v>
      </c>
      <c r="B33" t="s">
        <v>19</v>
      </c>
      <c r="C33"/>
      <c r="D33"/>
      <c r="E33"/>
      <c r="F33"/>
      <c r="G33" t="s">
        <v>56</v>
      </c>
      <c r="H33"/>
      <c r="I33"/>
    </row>
    <row r="34" spans="1:16" s="3" customFormat="1">
      <c r="A34" t="s">
        <v>19</v>
      </c>
      <c r="C34"/>
      <c r="D34"/>
      <c r="E34"/>
      <c r="F34"/>
      <c r="G34"/>
      <c r="H34"/>
      <c r="I34"/>
    </row>
    <row r="35" spans="1:16" s="3" customFormat="1">
      <c r="A35" t="s">
        <v>27</v>
      </c>
      <c r="B35" s="24" t="s">
        <v>6</v>
      </c>
      <c r="C35"/>
      <c r="D35"/>
      <c r="E35"/>
      <c r="F35"/>
      <c r="G35"/>
      <c r="H35"/>
      <c r="I35"/>
    </row>
    <row r="36" spans="1:16" s="3" customFormat="1">
      <c r="A36" t="s">
        <v>88</v>
      </c>
      <c r="B36"/>
      <c r="C36"/>
      <c r="D36"/>
      <c r="E36"/>
      <c r="F36"/>
      <c r="G36"/>
      <c r="H36"/>
      <c r="I36"/>
    </row>
    <row r="37" spans="1:16" s="3" customFormat="1">
      <c r="A37" s="6">
        <f>HEX2DEC(42)</f>
        <v>66</v>
      </c>
      <c r="B37" s="6">
        <f>HEX2DEC(41)</f>
        <v>65</v>
      </c>
      <c r="C37" s="6">
        <f>HEX2DEC(530)</f>
        <v>1328</v>
      </c>
      <c r="D37" s="6">
        <f>HEX2DEC(530)</f>
        <v>1328</v>
      </c>
      <c r="E37" s="6">
        <v>583</v>
      </c>
      <c r="F37" s="6">
        <v>591</v>
      </c>
      <c r="G37" s="6">
        <v>1655</v>
      </c>
      <c r="H37" s="6">
        <v>0</v>
      </c>
      <c r="I37" t="s">
        <v>28</v>
      </c>
    </row>
    <row r="38" spans="1:16" s="3" customFormat="1">
      <c r="A38" s="6">
        <f t="shared" ref="A38:A44" si="0">HEX2DEC(42)</f>
        <v>66</v>
      </c>
      <c r="B38" s="6">
        <f t="shared" ref="B38:B44" si="1">HEX2DEC(41)</f>
        <v>65</v>
      </c>
      <c r="C38" s="6">
        <f t="shared" ref="C38:D44" si="2">HEX2DEC(530)</f>
        <v>1328</v>
      </c>
      <c r="D38" s="6">
        <f t="shared" si="2"/>
        <v>1328</v>
      </c>
      <c r="E38" s="6">
        <v>582</v>
      </c>
      <c r="F38" s="6">
        <v>590</v>
      </c>
      <c r="G38" s="6">
        <v>1654</v>
      </c>
      <c r="H38" s="6">
        <v>0</v>
      </c>
      <c r="I38" t="s">
        <v>29</v>
      </c>
    </row>
    <row r="39" spans="1:16" s="3" customFormat="1">
      <c r="A39" s="6">
        <f t="shared" si="0"/>
        <v>66</v>
      </c>
      <c r="B39" s="6">
        <f t="shared" si="1"/>
        <v>65</v>
      </c>
      <c r="C39" s="6">
        <f t="shared" si="2"/>
        <v>1328</v>
      </c>
      <c r="D39" s="6">
        <f t="shared" si="2"/>
        <v>1328</v>
      </c>
      <c r="E39" s="6">
        <v>581</v>
      </c>
      <c r="F39" s="6">
        <v>589</v>
      </c>
      <c r="G39" s="6">
        <v>1653</v>
      </c>
      <c r="H39" s="6">
        <v>0</v>
      </c>
      <c r="I39" t="s">
        <v>30</v>
      </c>
    </row>
    <row r="40" spans="1:16" s="3" customFormat="1">
      <c r="A40" s="6">
        <f t="shared" si="0"/>
        <v>66</v>
      </c>
      <c r="B40" s="6">
        <f t="shared" si="1"/>
        <v>65</v>
      </c>
      <c r="C40" s="6">
        <f t="shared" si="2"/>
        <v>1328</v>
      </c>
      <c r="D40" s="6">
        <f t="shared" si="2"/>
        <v>1328</v>
      </c>
      <c r="E40" s="6">
        <v>580</v>
      </c>
      <c r="F40" s="6">
        <v>588</v>
      </c>
      <c r="G40" s="6">
        <v>1652</v>
      </c>
      <c r="H40" s="6">
        <v>0</v>
      </c>
      <c r="I40" t="s">
        <v>31</v>
      </c>
    </row>
    <row r="41" spans="1:16" s="3" customFormat="1">
      <c r="A41" s="6">
        <f t="shared" si="0"/>
        <v>66</v>
      </c>
      <c r="B41" s="6">
        <f t="shared" si="1"/>
        <v>65</v>
      </c>
      <c r="C41" s="6">
        <f t="shared" si="2"/>
        <v>1328</v>
      </c>
      <c r="D41" s="6">
        <f t="shared" si="2"/>
        <v>1328</v>
      </c>
      <c r="E41" s="6">
        <v>579</v>
      </c>
      <c r="F41" s="6">
        <v>587</v>
      </c>
      <c r="G41" s="6">
        <v>1651</v>
      </c>
      <c r="H41" s="6">
        <v>0</v>
      </c>
      <c r="I41" t="s">
        <v>32</v>
      </c>
    </row>
    <row r="42" spans="1:16" s="3" customFormat="1">
      <c r="A42" s="6">
        <f t="shared" si="0"/>
        <v>66</v>
      </c>
      <c r="B42" s="6">
        <f t="shared" si="1"/>
        <v>65</v>
      </c>
      <c r="C42" s="6">
        <f t="shared" si="2"/>
        <v>1328</v>
      </c>
      <c r="D42" s="6">
        <f t="shared" si="2"/>
        <v>1328</v>
      </c>
      <c r="E42" s="6">
        <v>578</v>
      </c>
      <c r="F42" s="6">
        <v>586</v>
      </c>
      <c r="G42" s="6">
        <v>1650</v>
      </c>
      <c r="H42" s="6">
        <v>0</v>
      </c>
      <c r="I42" t="s">
        <v>33</v>
      </c>
    </row>
    <row r="43" spans="1:16" s="3" customFormat="1">
      <c r="A43" s="6">
        <f t="shared" si="0"/>
        <v>66</v>
      </c>
      <c r="B43" s="6">
        <f t="shared" si="1"/>
        <v>65</v>
      </c>
      <c r="C43" s="6">
        <f t="shared" si="2"/>
        <v>1328</v>
      </c>
      <c r="D43" s="6">
        <f t="shared" si="2"/>
        <v>1328</v>
      </c>
      <c r="E43" s="6">
        <v>577</v>
      </c>
      <c r="F43" s="6">
        <v>585</v>
      </c>
      <c r="G43" s="6">
        <v>1649</v>
      </c>
      <c r="H43" s="6">
        <v>0</v>
      </c>
      <c r="I43" t="s">
        <v>34</v>
      </c>
    </row>
    <row r="44" spans="1:16" s="3" customFormat="1">
      <c r="A44" s="6">
        <f t="shared" si="0"/>
        <v>66</v>
      </c>
      <c r="B44" s="6">
        <f t="shared" si="1"/>
        <v>65</v>
      </c>
      <c r="C44" s="6">
        <f t="shared" si="2"/>
        <v>1328</v>
      </c>
      <c r="D44" s="6">
        <f t="shared" si="2"/>
        <v>1328</v>
      </c>
      <c r="E44" s="6">
        <v>576</v>
      </c>
      <c r="F44" s="6">
        <v>584</v>
      </c>
      <c r="G44" s="6">
        <v>1648</v>
      </c>
      <c r="H44" s="6">
        <v>0</v>
      </c>
      <c r="I44" t="s">
        <v>24</v>
      </c>
    </row>
    <row r="45" spans="1:16" s="3" customFormat="1">
      <c r="A45" s="24" t="s">
        <v>6</v>
      </c>
      <c r="B45" s="16"/>
      <c r="C45" s="17"/>
      <c r="E45" s="3" t="s">
        <v>89</v>
      </c>
    </row>
    <row r="46" spans="1:16" s="3" customFormat="1">
      <c r="A46" s="24" t="s">
        <v>6</v>
      </c>
      <c r="B46" s="16"/>
      <c r="C46" s="17"/>
    </row>
    <row r="47" spans="1:16" s="3" customFormat="1">
      <c r="A47" s="11" t="s">
        <v>7</v>
      </c>
      <c r="B47" s="14">
        <f>B26+1</f>
        <v>6</v>
      </c>
      <c r="C47" s="15" t="s">
        <v>3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</row>
    <row r="48" spans="1:16" s="3" customFormat="1">
      <c r="A48" t="s">
        <v>82</v>
      </c>
      <c r="B48"/>
      <c r="C48"/>
      <c r="D48"/>
      <c r="E48"/>
      <c r="F48"/>
      <c r="G48"/>
      <c r="H48"/>
      <c r="I48" t="s">
        <v>40</v>
      </c>
      <c r="J48"/>
      <c r="K48"/>
      <c r="L48"/>
    </row>
    <row r="49" spans="1:12" s="3" customFormat="1">
      <c r="A49" t="s">
        <v>26</v>
      </c>
      <c r="B49" t="s">
        <v>19</v>
      </c>
      <c r="C49"/>
      <c r="D49"/>
      <c r="E49"/>
      <c r="F49"/>
      <c r="G49"/>
      <c r="H49"/>
      <c r="I49"/>
      <c r="J49"/>
      <c r="K49"/>
      <c r="L49"/>
    </row>
    <row r="50" spans="1:12" s="3" customFormat="1">
      <c r="A50" s="6">
        <v>0</v>
      </c>
      <c r="B50" s="6">
        <v>0</v>
      </c>
      <c r="C50" s="6">
        <v>0</v>
      </c>
      <c r="D50" t="s">
        <v>19</v>
      </c>
      <c r="E50"/>
      <c r="F50" t="s">
        <v>47</v>
      </c>
      <c r="G50"/>
      <c r="H50"/>
      <c r="I50"/>
      <c r="J50"/>
      <c r="K50"/>
      <c r="L50"/>
    </row>
    <row r="51" spans="1:12" s="3" customFormat="1">
      <c r="A51" s="6">
        <v>0</v>
      </c>
      <c r="B51" s="6">
        <v>0</v>
      </c>
      <c r="C51" s="6">
        <v>0</v>
      </c>
      <c r="D51" t="s">
        <v>19</v>
      </c>
      <c r="E51"/>
      <c r="F51" t="s">
        <v>48</v>
      </c>
      <c r="G51"/>
      <c r="H51"/>
      <c r="I51"/>
      <c r="J51"/>
      <c r="K51"/>
      <c r="L51"/>
    </row>
    <row r="52" spans="1:12" s="3" customFormat="1">
      <c r="A52" s="6">
        <v>0</v>
      </c>
      <c r="B52" s="6">
        <v>0</v>
      </c>
      <c r="C52" s="6">
        <v>0</v>
      </c>
      <c r="D52" t="s">
        <v>19</v>
      </c>
      <c r="E52"/>
      <c r="F52" t="s">
        <v>49</v>
      </c>
      <c r="G52"/>
      <c r="H52"/>
      <c r="I52"/>
      <c r="J52"/>
      <c r="K52"/>
      <c r="L52"/>
    </row>
    <row r="53" spans="1:12" s="3" customFormat="1">
      <c r="A53" s="6">
        <v>0</v>
      </c>
      <c r="B53" s="6">
        <v>0</v>
      </c>
      <c r="C53" s="6">
        <v>0</v>
      </c>
      <c r="D53" t="s">
        <v>19</v>
      </c>
      <c r="E53"/>
      <c r="F53" t="s">
        <v>50</v>
      </c>
      <c r="G53"/>
      <c r="H53"/>
      <c r="I53"/>
      <c r="J53"/>
      <c r="K53"/>
      <c r="L53"/>
    </row>
    <row r="54" spans="1:12" s="3" customFormat="1">
      <c r="A54" s="6">
        <v>9</v>
      </c>
      <c r="B54" s="2" t="s">
        <v>19</v>
      </c>
      <c r="C54" s="1"/>
      <c r="D54"/>
      <c r="E54"/>
      <c r="F54" t="s">
        <v>41</v>
      </c>
      <c r="G54"/>
      <c r="H54"/>
      <c r="I54"/>
      <c r="J54"/>
      <c r="K54"/>
      <c r="L54"/>
    </row>
    <row r="55" spans="1:12" s="3" customFormat="1">
      <c r="A55" s="6">
        <v>12</v>
      </c>
      <c r="B55" s="2" t="s">
        <v>19</v>
      </c>
      <c r="C55" s="1"/>
      <c r="D55"/>
      <c r="E55"/>
      <c r="F55" t="s">
        <v>42</v>
      </c>
      <c r="G55"/>
      <c r="H55"/>
      <c r="I55"/>
      <c r="J55"/>
      <c r="K55"/>
      <c r="L55"/>
    </row>
    <row r="56" spans="1:12" s="3" customFormat="1">
      <c r="A56" s="6">
        <v>0</v>
      </c>
      <c r="B56" s="2" t="s">
        <v>19</v>
      </c>
      <c r="C56" s="1"/>
      <c r="D56"/>
      <c r="E56"/>
      <c r="F56"/>
      <c r="G56"/>
      <c r="H56"/>
      <c r="I56"/>
      <c r="J56"/>
      <c r="K56"/>
      <c r="L56"/>
    </row>
    <row r="57" spans="1:12" s="3" customFormat="1">
      <c r="A57" s="6">
        <v>0</v>
      </c>
      <c r="B57" s="2" t="s">
        <v>19</v>
      </c>
      <c r="C57" s="1"/>
      <c r="D57"/>
      <c r="E57"/>
      <c r="F57"/>
      <c r="G57"/>
      <c r="H57"/>
      <c r="I57"/>
      <c r="J57"/>
      <c r="K57"/>
      <c r="L57"/>
    </row>
    <row r="58" spans="1:12" s="3" customFormat="1">
      <c r="A58" t="s">
        <v>27</v>
      </c>
      <c r="B58" t="s">
        <v>19</v>
      </c>
      <c r="C58"/>
      <c r="D58"/>
      <c r="E58"/>
      <c r="F58"/>
      <c r="G58"/>
      <c r="H58"/>
      <c r="I58"/>
      <c r="J58"/>
      <c r="K58"/>
      <c r="L58"/>
    </row>
    <row r="59" spans="1:12" s="3" customFormat="1">
      <c r="A59" s="36" t="s">
        <v>115</v>
      </c>
      <c r="B59" s="37" t="s">
        <v>120</v>
      </c>
      <c r="C59" t="s">
        <v>203</v>
      </c>
      <c r="D59"/>
      <c r="E59"/>
      <c r="F59" t="s">
        <v>215</v>
      </c>
      <c r="G59"/>
      <c r="H59"/>
      <c r="I59"/>
      <c r="J59"/>
      <c r="K59"/>
      <c r="L59"/>
    </row>
    <row r="60" spans="1:12" s="3" customFormat="1">
      <c r="A60" s="36" t="s">
        <v>116</v>
      </c>
      <c r="B60" s="37" t="s">
        <v>121</v>
      </c>
      <c r="C60" t="s">
        <v>19</v>
      </c>
      <c r="D60"/>
      <c r="E60"/>
      <c r="F60" t="s">
        <v>43</v>
      </c>
      <c r="G60"/>
      <c r="H60"/>
      <c r="I60"/>
      <c r="J60"/>
      <c r="K60"/>
      <c r="L60"/>
    </row>
    <row r="61" spans="1:12" s="3" customFormat="1">
      <c r="A61" s="36" t="s">
        <v>117</v>
      </c>
      <c r="B61" s="37" t="s">
        <v>122</v>
      </c>
      <c r="C61" t="s">
        <v>19</v>
      </c>
      <c r="D61"/>
      <c r="E61"/>
      <c r="F61" t="s">
        <v>200</v>
      </c>
      <c r="G61"/>
      <c r="H61"/>
      <c r="I61"/>
      <c r="J61"/>
      <c r="K61"/>
      <c r="L61"/>
    </row>
    <row r="62" spans="1:12" s="3" customFormat="1">
      <c r="A62" s="36" t="s">
        <v>118</v>
      </c>
      <c r="B62" s="37" t="s">
        <v>123</v>
      </c>
      <c r="C62" t="s">
        <v>19</v>
      </c>
      <c r="D62"/>
      <c r="E62"/>
      <c r="F62" t="s">
        <v>202</v>
      </c>
      <c r="G62"/>
      <c r="H62"/>
      <c r="I62"/>
      <c r="J62"/>
      <c r="K62"/>
      <c r="L62"/>
    </row>
    <row r="63" spans="1:12" s="3" customFormat="1">
      <c r="A63" s="36" t="s">
        <v>119</v>
      </c>
      <c r="B63" s="37" t="s">
        <v>124</v>
      </c>
      <c r="C63" t="s">
        <v>19</v>
      </c>
      <c r="D63"/>
      <c r="E63"/>
      <c r="F63"/>
      <c r="G63"/>
      <c r="H63"/>
      <c r="I63"/>
      <c r="J63"/>
      <c r="K63"/>
      <c r="L63"/>
    </row>
    <row r="64" spans="1:12" s="3" customFormat="1">
      <c r="A64" s="37" t="s">
        <v>125</v>
      </c>
      <c r="B64" s="37" t="s">
        <v>130</v>
      </c>
      <c r="C64" t="s">
        <v>204</v>
      </c>
      <c r="D64"/>
      <c r="E64"/>
      <c r="F64"/>
      <c r="G64"/>
      <c r="H64"/>
      <c r="I64"/>
      <c r="J64"/>
      <c r="K64"/>
      <c r="L64"/>
    </row>
    <row r="65" spans="1:12" s="3" customFormat="1">
      <c r="A65" s="37" t="s">
        <v>126</v>
      </c>
      <c r="B65" s="37" t="s">
        <v>131</v>
      </c>
      <c r="C65" t="s">
        <v>19</v>
      </c>
      <c r="D65"/>
      <c r="E65"/>
      <c r="F65"/>
      <c r="G65"/>
      <c r="H65"/>
      <c r="I65"/>
      <c r="J65"/>
      <c r="K65"/>
      <c r="L65"/>
    </row>
    <row r="66" spans="1:12" s="3" customFormat="1">
      <c r="A66" s="37" t="s">
        <v>127</v>
      </c>
      <c r="B66" s="37" t="s">
        <v>132</v>
      </c>
      <c r="C66" t="s">
        <v>19</v>
      </c>
      <c r="D66"/>
      <c r="E66"/>
      <c r="F66"/>
      <c r="G66"/>
      <c r="H66"/>
      <c r="I66"/>
      <c r="J66"/>
      <c r="K66"/>
      <c r="L66"/>
    </row>
    <row r="67" spans="1:12" s="3" customFormat="1">
      <c r="A67" s="37" t="s">
        <v>128</v>
      </c>
      <c r="B67" s="37" t="s">
        <v>133</v>
      </c>
      <c r="C67" t="s">
        <v>19</v>
      </c>
      <c r="D67"/>
      <c r="E67"/>
      <c r="F67"/>
      <c r="G67"/>
      <c r="H67"/>
      <c r="I67"/>
      <c r="J67"/>
      <c r="K67"/>
      <c r="L67"/>
    </row>
    <row r="68" spans="1:12" s="3" customFormat="1">
      <c r="A68" s="37" t="s">
        <v>129</v>
      </c>
      <c r="B68" s="37" t="s">
        <v>134</v>
      </c>
      <c r="C68" t="s">
        <v>19</v>
      </c>
      <c r="D68"/>
      <c r="E68"/>
      <c r="F68"/>
      <c r="G68"/>
      <c r="H68"/>
      <c r="I68"/>
      <c r="J68"/>
      <c r="K68"/>
      <c r="L68"/>
    </row>
    <row r="69" spans="1:12" s="3" customFormat="1">
      <c r="A69" s="37" t="s">
        <v>136</v>
      </c>
      <c r="B69" s="37" t="s">
        <v>151</v>
      </c>
      <c r="C69" t="s">
        <v>205</v>
      </c>
      <c r="D69"/>
      <c r="E69"/>
      <c r="F69"/>
      <c r="G69"/>
      <c r="H69"/>
      <c r="I69"/>
      <c r="J69"/>
      <c r="K69"/>
      <c r="L69"/>
    </row>
    <row r="70" spans="1:12" s="3" customFormat="1">
      <c r="A70" s="37" t="s">
        <v>135</v>
      </c>
      <c r="B70" s="37" t="s">
        <v>140</v>
      </c>
      <c r="C70" t="s">
        <v>19</v>
      </c>
      <c r="D70"/>
      <c r="E70"/>
      <c r="F70"/>
      <c r="G70"/>
      <c r="H70"/>
      <c r="I70"/>
      <c r="J70"/>
      <c r="K70"/>
      <c r="L70"/>
    </row>
    <row r="71" spans="1:12" s="3" customFormat="1">
      <c r="A71" s="37" t="s">
        <v>137</v>
      </c>
      <c r="B71" s="37" t="s">
        <v>141</v>
      </c>
      <c r="C71" t="s">
        <v>19</v>
      </c>
      <c r="D71"/>
      <c r="E71"/>
      <c r="F71"/>
      <c r="G71"/>
      <c r="H71"/>
      <c r="I71"/>
      <c r="J71"/>
      <c r="K71"/>
      <c r="L71"/>
    </row>
    <row r="72" spans="1:12" s="3" customFormat="1">
      <c r="A72" s="37" t="s">
        <v>138</v>
      </c>
      <c r="B72" s="37" t="s">
        <v>142</v>
      </c>
      <c r="C72" t="s">
        <v>19</v>
      </c>
      <c r="D72"/>
      <c r="E72"/>
      <c r="F72"/>
      <c r="G72"/>
      <c r="H72"/>
      <c r="I72"/>
      <c r="J72"/>
      <c r="K72"/>
      <c r="L72"/>
    </row>
    <row r="73" spans="1:12" s="3" customFormat="1">
      <c r="A73" s="37" t="s">
        <v>139</v>
      </c>
      <c r="B73" s="37" t="s">
        <v>143</v>
      </c>
      <c r="C73" t="s">
        <v>19</v>
      </c>
      <c r="D73"/>
      <c r="E73"/>
      <c r="F73"/>
      <c r="G73"/>
      <c r="H73"/>
      <c r="I73"/>
      <c r="J73"/>
      <c r="K73"/>
      <c r="L73"/>
    </row>
    <row r="74" spans="1:12" s="3" customFormat="1">
      <c r="A74" s="37" t="s">
        <v>152</v>
      </c>
      <c r="B74" s="37" t="s">
        <v>153</v>
      </c>
      <c r="C74" t="s">
        <v>206</v>
      </c>
      <c r="D74"/>
      <c r="E74"/>
      <c r="F74"/>
      <c r="G74"/>
      <c r="H74"/>
      <c r="I74"/>
      <c r="J74"/>
      <c r="K74"/>
      <c r="L74"/>
    </row>
    <row r="75" spans="1:12" s="3" customFormat="1">
      <c r="A75" s="37" t="s">
        <v>144</v>
      </c>
      <c r="B75" s="37" t="s">
        <v>148</v>
      </c>
      <c r="C75" t="s">
        <v>19</v>
      </c>
      <c r="D75"/>
      <c r="E75"/>
      <c r="F75"/>
      <c r="G75"/>
      <c r="H75"/>
      <c r="I75"/>
      <c r="J75"/>
      <c r="K75"/>
      <c r="L75"/>
    </row>
    <row r="76" spans="1:12" s="3" customFormat="1">
      <c r="A76" s="37" t="s">
        <v>145</v>
      </c>
      <c r="B76" s="37" t="s">
        <v>149</v>
      </c>
      <c r="C76" t="s">
        <v>19</v>
      </c>
      <c r="D76"/>
      <c r="E76"/>
      <c r="F76"/>
      <c r="G76"/>
      <c r="H76"/>
      <c r="I76"/>
      <c r="J76"/>
      <c r="K76"/>
      <c r="L76"/>
    </row>
    <row r="77" spans="1:12" s="3" customFormat="1">
      <c r="A77" s="37" t="s">
        <v>146</v>
      </c>
      <c r="B77" s="37" t="s">
        <v>150</v>
      </c>
      <c r="C77" t="s">
        <v>19</v>
      </c>
      <c r="D77"/>
      <c r="E77"/>
      <c r="F77"/>
      <c r="G77"/>
      <c r="H77"/>
      <c r="I77"/>
      <c r="J77"/>
      <c r="K77"/>
      <c r="L77"/>
    </row>
    <row r="78" spans="1:12" s="3" customFormat="1">
      <c r="A78" s="37" t="s">
        <v>147</v>
      </c>
      <c r="B78" s="37" t="s">
        <v>154</v>
      </c>
      <c r="C78" t="s">
        <v>19</v>
      </c>
      <c r="D78"/>
      <c r="E78"/>
      <c r="F78"/>
      <c r="G78"/>
      <c r="H78"/>
      <c r="I78"/>
      <c r="J78"/>
      <c r="K78"/>
      <c r="L78"/>
    </row>
    <row r="79" spans="1:12" s="3" customFormat="1">
      <c r="A79" s="37" t="s">
        <v>155</v>
      </c>
      <c r="B79" s="37" t="s">
        <v>160</v>
      </c>
      <c r="C79" t="s">
        <v>207</v>
      </c>
      <c r="D79"/>
      <c r="E79"/>
      <c r="F79"/>
      <c r="G79"/>
      <c r="H79"/>
      <c r="I79"/>
      <c r="J79"/>
      <c r="K79"/>
      <c r="L79"/>
    </row>
    <row r="80" spans="1:12" s="3" customFormat="1">
      <c r="A80" s="37" t="s">
        <v>156</v>
      </c>
      <c r="B80" s="37" t="s">
        <v>161</v>
      </c>
      <c r="C80" t="s">
        <v>19</v>
      </c>
      <c r="D80"/>
      <c r="E80"/>
      <c r="F80"/>
      <c r="G80"/>
      <c r="H80"/>
      <c r="I80"/>
      <c r="J80"/>
      <c r="K80"/>
      <c r="L80"/>
    </row>
    <row r="81" spans="1:12" s="3" customFormat="1">
      <c r="A81" s="37" t="s">
        <v>157</v>
      </c>
      <c r="B81" s="37" t="s">
        <v>162</v>
      </c>
      <c r="C81" t="s">
        <v>19</v>
      </c>
      <c r="D81"/>
      <c r="E81"/>
      <c r="F81"/>
      <c r="G81"/>
      <c r="H81"/>
      <c r="I81"/>
      <c r="J81"/>
      <c r="K81"/>
      <c r="L81"/>
    </row>
    <row r="82" spans="1:12" s="3" customFormat="1">
      <c r="A82" s="37" t="s">
        <v>158</v>
      </c>
      <c r="B82" s="37" t="s">
        <v>163</v>
      </c>
      <c r="C82" t="s">
        <v>19</v>
      </c>
      <c r="D82"/>
      <c r="E82"/>
      <c r="F82"/>
      <c r="G82"/>
      <c r="H82"/>
      <c r="I82"/>
      <c r="J82"/>
      <c r="K82"/>
      <c r="L82"/>
    </row>
    <row r="83" spans="1:12" s="3" customFormat="1">
      <c r="A83" s="37" t="s">
        <v>159</v>
      </c>
      <c r="B83" s="37" t="s">
        <v>164</v>
      </c>
      <c r="C83" t="s">
        <v>19</v>
      </c>
      <c r="D83"/>
      <c r="E83"/>
      <c r="F83"/>
      <c r="G83"/>
      <c r="H83"/>
      <c r="I83"/>
      <c r="J83"/>
      <c r="K83"/>
      <c r="L83"/>
    </row>
    <row r="84" spans="1:12" s="3" customFormat="1">
      <c r="A84" s="37" t="s">
        <v>165</v>
      </c>
      <c r="B84" s="37" t="s">
        <v>169</v>
      </c>
      <c r="C84" t="s">
        <v>208</v>
      </c>
      <c r="D84"/>
      <c r="E84"/>
      <c r="F84"/>
      <c r="G84"/>
      <c r="H84"/>
      <c r="I84"/>
      <c r="J84"/>
      <c r="K84"/>
      <c r="L84"/>
    </row>
    <row r="85" spans="1:12" s="3" customFormat="1">
      <c r="A85" s="37" t="s">
        <v>166</v>
      </c>
      <c r="B85" s="37" t="s">
        <v>170</v>
      </c>
      <c r="C85" t="s">
        <v>19</v>
      </c>
      <c r="D85"/>
      <c r="E85"/>
      <c r="F85"/>
      <c r="G85"/>
      <c r="H85"/>
      <c r="I85"/>
      <c r="J85"/>
      <c r="K85"/>
      <c r="L85"/>
    </row>
    <row r="86" spans="1:12" s="3" customFormat="1">
      <c r="A86" s="37" t="s">
        <v>167</v>
      </c>
      <c r="B86" s="37" t="s">
        <v>171</v>
      </c>
      <c r="C86" t="s">
        <v>19</v>
      </c>
      <c r="D86"/>
      <c r="E86"/>
      <c r="F86"/>
      <c r="G86"/>
      <c r="H86"/>
      <c r="I86"/>
      <c r="J86"/>
      <c r="K86"/>
      <c r="L86"/>
    </row>
    <row r="87" spans="1:12" s="3" customFormat="1">
      <c r="A87" s="37" t="s">
        <v>168</v>
      </c>
      <c r="B87" s="37" t="s">
        <v>172</v>
      </c>
      <c r="C87" t="s">
        <v>19</v>
      </c>
      <c r="D87"/>
      <c r="E87"/>
      <c r="F87"/>
      <c r="G87"/>
      <c r="H87"/>
      <c r="I87"/>
      <c r="J87"/>
      <c r="K87"/>
      <c r="L87"/>
    </row>
    <row r="88" spans="1:12" s="3" customFormat="1">
      <c r="A88" s="8">
        <v>192</v>
      </c>
      <c r="B88" s="37" t="s">
        <v>173</v>
      </c>
      <c r="C88" t="s">
        <v>19</v>
      </c>
      <c r="D88"/>
      <c r="E88"/>
      <c r="F88"/>
      <c r="G88"/>
      <c r="H88"/>
      <c r="I88"/>
      <c r="J88"/>
      <c r="K88"/>
      <c r="L88"/>
    </row>
    <row r="89" spans="1:12" s="3" customFormat="1">
      <c r="A89" s="37" t="s">
        <v>174</v>
      </c>
      <c r="B89" s="37" t="s">
        <v>179</v>
      </c>
      <c r="C89" t="s">
        <v>209</v>
      </c>
      <c r="D89"/>
      <c r="E89"/>
      <c r="F89"/>
      <c r="G89"/>
      <c r="H89"/>
      <c r="I89"/>
      <c r="J89"/>
      <c r="K89"/>
      <c r="L89"/>
    </row>
    <row r="90" spans="1:12" s="3" customFormat="1">
      <c r="A90" s="37" t="s">
        <v>175</v>
      </c>
      <c r="B90" s="37" t="s">
        <v>180</v>
      </c>
      <c r="C90" t="s">
        <v>19</v>
      </c>
      <c r="D90"/>
      <c r="E90"/>
      <c r="F90"/>
      <c r="G90"/>
      <c r="H90"/>
      <c r="I90"/>
      <c r="J90"/>
      <c r="K90"/>
      <c r="L90"/>
    </row>
    <row r="91" spans="1:12" s="3" customFormat="1">
      <c r="A91" s="37" t="s">
        <v>176</v>
      </c>
      <c r="B91" s="37" t="s">
        <v>181</v>
      </c>
      <c r="C91" t="s">
        <v>19</v>
      </c>
      <c r="D91"/>
      <c r="E91"/>
      <c r="F91"/>
      <c r="G91"/>
      <c r="H91"/>
      <c r="I91"/>
      <c r="J91"/>
      <c r="K91"/>
      <c r="L91"/>
    </row>
    <row r="92" spans="1:12" s="3" customFormat="1">
      <c r="A92" s="37" t="s">
        <v>177</v>
      </c>
      <c r="B92" s="37" t="s">
        <v>182</v>
      </c>
      <c r="C92" t="s">
        <v>19</v>
      </c>
      <c r="D92"/>
      <c r="E92"/>
      <c r="F92"/>
      <c r="G92"/>
      <c r="H92"/>
      <c r="I92"/>
      <c r="J92"/>
      <c r="K92"/>
      <c r="L92"/>
    </row>
    <row r="93" spans="1:12" s="3" customFormat="1">
      <c r="A93" s="37" t="s">
        <v>178</v>
      </c>
      <c r="B93" s="37" t="s">
        <v>183</v>
      </c>
      <c r="C93" t="s">
        <v>19</v>
      </c>
      <c r="D93"/>
      <c r="E93"/>
      <c r="F93"/>
      <c r="G93"/>
      <c r="H93"/>
      <c r="I93"/>
      <c r="J93"/>
      <c r="K93"/>
      <c r="L93"/>
    </row>
    <row r="94" spans="1:12" s="3" customFormat="1">
      <c r="A94" s="37" t="s">
        <v>184</v>
      </c>
      <c r="B94" s="37" t="s">
        <v>189</v>
      </c>
      <c r="C94" t="s">
        <v>210</v>
      </c>
      <c r="D94"/>
      <c r="E94"/>
      <c r="F94"/>
      <c r="G94"/>
      <c r="H94"/>
      <c r="I94"/>
      <c r="J94"/>
      <c r="K94"/>
      <c r="L94"/>
    </row>
    <row r="95" spans="1:12" s="3" customFormat="1">
      <c r="A95" s="37" t="s">
        <v>185</v>
      </c>
      <c r="B95" s="37" t="s">
        <v>190</v>
      </c>
      <c r="C95" t="s">
        <v>19</v>
      </c>
      <c r="D95"/>
      <c r="E95"/>
      <c r="F95"/>
      <c r="G95"/>
      <c r="H95"/>
      <c r="I95"/>
      <c r="J95"/>
      <c r="K95"/>
      <c r="L95"/>
    </row>
    <row r="96" spans="1:12" s="3" customFormat="1">
      <c r="A96" s="37" t="s">
        <v>186</v>
      </c>
      <c r="B96" s="37" t="s">
        <v>191</v>
      </c>
      <c r="C96" t="s">
        <v>19</v>
      </c>
      <c r="D96"/>
      <c r="E96"/>
      <c r="F96"/>
      <c r="G96"/>
      <c r="H96"/>
      <c r="I96"/>
      <c r="J96"/>
      <c r="K96"/>
      <c r="L96"/>
    </row>
    <row r="97" spans="1:12" s="3" customFormat="1">
      <c r="A97" s="37" t="s">
        <v>187</v>
      </c>
      <c r="B97" s="37" t="s">
        <v>192</v>
      </c>
      <c r="C97" t="s">
        <v>19</v>
      </c>
      <c r="D97"/>
      <c r="E97"/>
      <c r="F97"/>
      <c r="G97"/>
      <c r="H97"/>
      <c r="I97"/>
      <c r="J97"/>
      <c r="K97"/>
      <c r="L97"/>
    </row>
    <row r="98" spans="1:12" s="3" customFormat="1">
      <c r="A98" s="37" t="s">
        <v>188</v>
      </c>
      <c r="B98" s="37" t="s">
        <v>193</v>
      </c>
      <c r="C98" t="s">
        <v>19</v>
      </c>
      <c r="D98"/>
      <c r="E98"/>
      <c r="F98"/>
      <c r="G98"/>
      <c r="H98"/>
      <c r="I98"/>
      <c r="J98"/>
      <c r="K98"/>
      <c r="L98"/>
    </row>
    <row r="99" spans="1:12" s="3" customFormat="1">
      <c r="A99" s="37" t="s">
        <v>194</v>
      </c>
      <c r="B99" s="37" t="s">
        <v>199</v>
      </c>
      <c r="C99" t="s">
        <v>211</v>
      </c>
      <c r="D99"/>
      <c r="E99"/>
      <c r="F99"/>
      <c r="G99"/>
      <c r="H99"/>
      <c r="I99"/>
      <c r="J99"/>
      <c r="K99"/>
      <c r="L99"/>
    </row>
    <row r="100" spans="1:12" s="3" customFormat="1">
      <c r="A100" s="37" t="s">
        <v>195</v>
      </c>
      <c r="B100" s="8"/>
      <c r="C100" t="s">
        <v>19</v>
      </c>
      <c r="D100"/>
      <c r="E100"/>
      <c r="F100" t="s">
        <v>201</v>
      </c>
      <c r="G100"/>
      <c r="H100"/>
      <c r="I100"/>
      <c r="J100"/>
      <c r="K100"/>
      <c r="L100"/>
    </row>
    <row r="101" spans="1:12" s="3" customFormat="1">
      <c r="A101" s="37" t="s">
        <v>196</v>
      </c>
      <c r="B101" s="8"/>
      <c r="C101" t="s">
        <v>19</v>
      </c>
      <c r="D101"/>
      <c r="E101"/>
      <c r="F101" t="s">
        <v>201</v>
      </c>
      <c r="G101"/>
      <c r="H101"/>
      <c r="I101"/>
      <c r="J101"/>
      <c r="K101"/>
      <c r="L101"/>
    </row>
    <row r="102" spans="1:12" s="3" customFormat="1">
      <c r="A102" s="37" t="s">
        <v>197</v>
      </c>
      <c r="B102" s="8"/>
      <c r="C102" t="s">
        <v>19</v>
      </c>
      <c r="D102"/>
      <c r="E102"/>
      <c r="F102" t="s">
        <v>201</v>
      </c>
      <c r="G102"/>
      <c r="H102"/>
      <c r="I102"/>
      <c r="J102"/>
      <c r="K102"/>
      <c r="L102"/>
    </row>
    <row r="103" spans="1:12" s="3" customFormat="1">
      <c r="A103" s="37" t="s">
        <v>198</v>
      </c>
      <c r="B103" s="38"/>
      <c r="C103" t="s">
        <v>19</v>
      </c>
      <c r="D103"/>
      <c r="E103"/>
      <c r="F103" t="s">
        <v>201</v>
      </c>
      <c r="G103"/>
      <c r="H103"/>
      <c r="I103"/>
      <c r="J103"/>
      <c r="K103"/>
      <c r="L103"/>
    </row>
    <row r="104" spans="1:12" s="3" customFormat="1">
      <c r="A104" s="8"/>
      <c r="B104" s="8"/>
      <c r="C104" t="s">
        <v>212</v>
      </c>
      <c r="D104"/>
      <c r="E104" t="s">
        <v>201</v>
      </c>
      <c r="F104" t="s">
        <v>201</v>
      </c>
      <c r="G104"/>
      <c r="H104"/>
      <c r="I104"/>
      <c r="J104"/>
      <c r="K104"/>
      <c r="L104"/>
    </row>
    <row r="105" spans="1:12" s="3" customFormat="1">
      <c r="A105" s="8"/>
      <c r="B105" s="8"/>
      <c r="C105" t="s">
        <v>19</v>
      </c>
      <c r="D105"/>
      <c r="E105" t="s">
        <v>201</v>
      </c>
      <c r="F105" t="s">
        <v>201</v>
      </c>
      <c r="G105"/>
      <c r="H105"/>
      <c r="I105"/>
      <c r="J105"/>
      <c r="K105"/>
      <c r="L105"/>
    </row>
    <row r="106" spans="1:12" s="3" customFormat="1">
      <c r="A106" s="8"/>
      <c r="B106" s="8"/>
      <c r="C106" t="s">
        <v>19</v>
      </c>
      <c r="D106"/>
      <c r="E106" t="s">
        <v>201</v>
      </c>
      <c r="F106" t="s">
        <v>201</v>
      </c>
      <c r="G106"/>
      <c r="H106"/>
      <c r="I106"/>
      <c r="J106"/>
      <c r="K106"/>
      <c r="L106"/>
    </row>
    <row r="107" spans="1:12" s="3" customFormat="1">
      <c r="A107" s="8"/>
      <c r="B107" s="8"/>
      <c r="C107" t="s">
        <v>19</v>
      </c>
      <c r="D107"/>
      <c r="E107" t="s">
        <v>201</v>
      </c>
      <c r="F107" t="s">
        <v>201</v>
      </c>
      <c r="G107"/>
      <c r="H107"/>
      <c r="I107"/>
      <c r="J107"/>
      <c r="K107"/>
      <c r="L107"/>
    </row>
    <row r="108" spans="1:12" s="3" customFormat="1">
      <c r="A108" s="8"/>
      <c r="B108" s="8"/>
      <c r="C108" t="s">
        <v>19</v>
      </c>
      <c r="D108"/>
      <c r="E108" t="s">
        <v>201</v>
      </c>
      <c r="F108" t="s">
        <v>201</v>
      </c>
      <c r="G108"/>
      <c r="H108"/>
      <c r="I108"/>
      <c r="J108"/>
      <c r="K108"/>
      <c r="L108"/>
    </row>
    <row r="109" spans="1:12" s="3" customFormat="1">
      <c r="A109" t="s">
        <v>27</v>
      </c>
      <c r="B109" t="s">
        <v>19</v>
      </c>
      <c r="C109"/>
      <c r="D109"/>
      <c r="E109"/>
      <c r="F109"/>
      <c r="G109"/>
      <c r="H109"/>
      <c r="I109"/>
      <c r="J109"/>
      <c r="K109"/>
      <c r="L109"/>
    </row>
    <row r="110" spans="1:12" s="3" customFormat="1">
      <c r="A110" s="6">
        <v>140</v>
      </c>
      <c r="B110" s="6">
        <v>141</v>
      </c>
      <c r="C110" t="s">
        <v>203</v>
      </c>
      <c r="D110"/>
      <c r="E110"/>
      <c r="F110" t="s">
        <v>216</v>
      </c>
      <c r="G110"/>
      <c r="H110"/>
      <c r="I110"/>
      <c r="J110"/>
      <c r="K110"/>
      <c r="L110"/>
    </row>
    <row r="111" spans="1:12" s="3" customFormat="1">
      <c r="A111" s="6">
        <v>142</v>
      </c>
      <c r="B111" s="6">
        <v>143</v>
      </c>
      <c r="C111" t="s">
        <v>19</v>
      </c>
      <c r="D111"/>
      <c r="E111"/>
      <c r="F111" t="s">
        <v>217</v>
      </c>
      <c r="G111"/>
      <c r="H111"/>
      <c r="I111"/>
      <c r="J111"/>
      <c r="K111"/>
      <c r="L111"/>
    </row>
    <row r="112" spans="1:12" s="3" customFormat="1">
      <c r="A112" s="6">
        <v>144</v>
      </c>
      <c r="B112" s="6">
        <v>145</v>
      </c>
      <c r="C112" t="s">
        <v>19</v>
      </c>
      <c r="D112"/>
      <c r="E112"/>
      <c r="F112" t="s">
        <v>218</v>
      </c>
      <c r="G112"/>
      <c r="H112"/>
      <c r="I112"/>
      <c r="J112"/>
      <c r="K112"/>
      <c r="L112"/>
    </row>
    <row r="113" spans="1:12" s="3" customFormat="1">
      <c r="A113" s="6">
        <v>146</v>
      </c>
      <c r="B113" s="6">
        <v>147</v>
      </c>
      <c r="C113" t="s">
        <v>19</v>
      </c>
      <c r="D113"/>
      <c r="E113"/>
      <c r="F113" t="s">
        <v>202</v>
      </c>
      <c r="G113"/>
      <c r="H113"/>
      <c r="I113"/>
      <c r="J113"/>
      <c r="K113"/>
      <c r="L113"/>
    </row>
    <row r="114" spans="1:12" s="3" customFormat="1">
      <c r="A114" s="6">
        <v>148</v>
      </c>
      <c r="B114" s="6">
        <v>149</v>
      </c>
      <c r="C114" t="s">
        <v>19</v>
      </c>
      <c r="D114"/>
      <c r="E114"/>
      <c r="F114"/>
      <c r="G114"/>
      <c r="H114"/>
      <c r="I114"/>
      <c r="J114"/>
      <c r="K114"/>
      <c r="L114"/>
    </row>
    <row r="115" spans="1:12" s="3" customFormat="1">
      <c r="A115" s="6">
        <v>150</v>
      </c>
      <c r="B115" s="6">
        <v>151</v>
      </c>
      <c r="C115" t="s">
        <v>204</v>
      </c>
      <c r="D115"/>
      <c r="E115"/>
      <c r="F115"/>
      <c r="G115"/>
      <c r="H115"/>
      <c r="I115"/>
      <c r="J115"/>
      <c r="K115"/>
      <c r="L115"/>
    </row>
    <row r="116" spans="1:12" s="3" customFormat="1">
      <c r="A116" s="6">
        <v>152</v>
      </c>
      <c r="B116" s="6">
        <v>153</v>
      </c>
      <c r="C116" t="s">
        <v>19</v>
      </c>
      <c r="D116"/>
      <c r="E116"/>
      <c r="F116"/>
      <c r="G116"/>
      <c r="H116"/>
      <c r="I116"/>
      <c r="J116"/>
      <c r="K116"/>
      <c r="L116"/>
    </row>
    <row r="117" spans="1:12" s="3" customFormat="1">
      <c r="A117" s="6">
        <v>154</v>
      </c>
      <c r="B117" s="6">
        <v>155</v>
      </c>
      <c r="C117" t="s">
        <v>19</v>
      </c>
      <c r="D117"/>
      <c r="E117"/>
      <c r="F117"/>
      <c r="G117"/>
      <c r="H117"/>
      <c r="I117"/>
      <c r="J117"/>
      <c r="K117"/>
      <c r="L117"/>
    </row>
    <row r="118" spans="1:12" s="3" customFormat="1">
      <c r="A118" s="6">
        <v>156</v>
      </c>
      <c r="B118" s="6">
        <v>157</v>
      </c>
      <c r="C118" t="s">
        <v>19</v>
      </c>
      <c r="D118"/>
      <c r="E118"/>
      <c r="F118"/>
      <c r="G118"/>
      <c r="H118"/>
      <c r="I118"/>
      <c r="J118"/>
      <c r="K118"/>
      <c r="L118"/>
    </row>
    <row r="119" spans="1:12" s="3" customFormat="1">
      <c r="A119" s="6">
        <v>158</v>
      </c>
      <c r="B119" s="6">
        <v>159</v>
      </c>
      <c r="C119" t="s">
        <v>19</v>
      </c>
      <c r="D119"/>
      <c r="E119"/>
      <c r="F119"/>
      <c r="G119"/>
      <c r="H119"/>
      <c r="I119"/>
      <c r="J119"/>
      <c r="K119"/>
      <c r="L119"/>
    </row>
    <row r="120" spans="1:12" s="3" customFormat="1">
      <c r="A120" s="6">
        <v>160</v>
      </c>
      <c r="B120" s="6">
        <v>161</v>
      </c>
      <c r="C120" t="s">
        <v>205</v>
      </c>
      <c r="D120"/>
      <c r="E120"/>
      <c r="F120"/>
      <c r="G120"/>
      <c r="H120"/>
      <c r="I120"/>
      <c r="J120"/>
      <c r="K120"/>
      <c r="L120"/>
    </row>
    <row r="121" spans="1:12" s="3" customFormat="1">
      <c r="A121" s="6">
        <v>162</v>
      </c>
      <c r="B121" s="6">
        <v>163</v>
      </c>
      <c r="C121" t="s">
        <v>19</v>
      </c>
      <c r="D121"/>
      <c r="E121"/>
      <c r="F121"/>
      <c r="G121"/>
      <c r="H121"/>
      <c r="I121"/>
      <c r="J121"/>
      <c r="K121"/>
      <c r="L121"/>
    </row>
    <row r="122" spans="1:12" s="3" customFormat="1">
      <c r="A122" s="6">
        <v>164</v>
      </c>
      <c r="B122" s="6">
        <v>165</v>
      </c>
      <c r="C122" t="s">
        <v>19</v>
      </c>
      <c r="D122"/>
      <c r="E122"/>
      <c r="F122"/>
      <c r="G122"/>
      <c r="H122"/>
      <c r="I122"/>
      <c r="J122"/>
      <c r="K122"/>
      <c r="L122"/>
    </row>
    <row r="123" spans="1:12" s="3" customFormat="1">
      <c r="A123" s="6">
        <v>166</v>
      </c>
      <c r="B123" s="6">
        <v>167</v>
      </c>
      <c r="C123" t="s">
        <v>19</v>
      </c>
      <c r="D123"/>
      <c r="E123"/>
      <c r="F123"/>
      <c r="G123"/>
      <c r="H123"/>
      <c r="I123"/>
      <c r="J123"/>
      <c r="K123"/>
      <c r="L123"/>
    </row>
    <row r="124" spans="1:12" s="3" customFormat="1">
      <c r="A124" s="6">
        <v>168</v>
      </c>
      <c r="B124" s="6">
        <v>169</v>
      </c>
      <c r="C124" t="s">
        <v>19</v>
      </c>
      <c r="D124"/>
      <c r="E124"/>
      <c r="F124"/>
      <c r="G124"/>
      <c r="H124"/>
      <c r="I124"/>
      <c r="J124"/>
      <c r="K124"/>
      <c r="L124"/>
    </row>
    <row r="125" spans="1:12" s="3" customFormat="1">
      <c r="A125" s="6">
        <v>170</v>
      </c>
      <c r="B125" s="6">
        <v>171</v>
      </c>
      <c r="C125" t="s">
        <v>206</v>
      </c>
      <c r="D125"/>
      <c r="E125"/>
      <c r="F125"/>
      <c r="G125"/>
      <c r="H125"/>
      <c r="I125"/>
      <c r="J125"/>
      <c r="K125"/>
      <c r="L125"/>
    </row>
    <row r="126" spans="1:12" s="3" customFormat="1">
      <c r="A126" s="6">
        <v>172</v>
      </c>
      <c r="B126" s="6">
        <v>173</v>
      </c>
      <c r="C126" t="s">
        <v>19</v>
      </c>
      <c r="D126"/>
      <c r="E126"/>
      <c r="F126"/>
      <c r="G126"/>
      <c r="H126"/>
      <c r="I126"/>
      <c r="J126"/>
      <c r="K126"/>
      <c r="L126"/>
    </row>
    <row r="127" spans="1:12" s="3" customFormat="1">
      <c r="A127" s="6">
        <v>174</v>
      </c>
      <c r="B127" s="6">
        <v>175</v>
      </c>
      <c r="C127" t="s">
        <v>19</v>
      </c>
      <c r="D127"/>
      <c r="E127"/>
      <c r="F127"/>
      <c r="G127"/>
      <c r="H127"/>
      <c r="I127"/>
      <c r="J127"/>
      <c r="K127"/>
      <c r="L127"/>
    </row>
    <row r="128" spans="1:12" s="3" customFormat="1">
      <c r="A128" s="6">
        <v>176</v>
      </c>
      <c r="B128" s="6">
        <v>177</v>
      </c>
      <c r="C128" t="s">
        <v>19</v>
      </c>
      <c r="D128"/>
      <c r="E128"/>
      <c r="F128"/>
      <c r="G128"/>
      <c r="H128"/>
      <c r="I128"/>
      <c r="J128"/>
      <c r="K128"/>
      <c r="L128"/>
    </row>
    <row r="129" spans="1:12" s="3" customFormat="1">
      <c r="A129" s="6">
        <v>178</v>
      </c>
      <c r="B129" s="6">
        <v>179</v>
      </c>
      <c r="C129" t="s">
        <v>19</v>
      </c>
      <c r="D129"/>
      <c r="E129"/>
      <c r="F129"/>
      <c r="G129"/>
      <c r="H129"/>
      <c r="I129"/>
      <c r="J129"/>
      <c r="K129"/>
      <c r="L129"/>
    </row>
    <row r="130" spans="1:12" s="3" customFormat="1">
      <c r="A130" s="6">
        <v>180</v>
      </c>
      <c r="B130" s="6">
        <v>181</v>
      </c>
      <c r="C130" t="s">
        <v>207</v>
      </c>
      <c r="D130"/>
      <c r="E130"/>
      <c r="F130"/>
      <c r="G130"/>
      <c r="H130"/>
      <c r="I130"/>
      <c r="J130"/>
      <c r="K130"/>
      <c r="L130"/>
    </row>
    <row r="131" spans="1:12" s="3" customFormat="1">
      <c r="A131" s="6">
        <v>182</v>
      </c>
      <c r="B131" s="6">
        <v>183</v>
      </c>
      <c r="C131" t="s">
        <v>19</v>
      </c>
      <c r="D131"/>
      <c r="E131"/>
      <c r="F131"/>
      <c r="G131"/>
      <c r="H131"/>
      <c r="I131"/>
      <c r="J131"/>
      <c r="K131"/>
      <c r="L131"/>
    </row>
    <row r="132" spans="1:12" s="3" customFormat="1">
      <c r="A132" s="6">
        <v>184</v>
      </c>
      <c r="B132" s="6">
        <v>185</v>
      </c>
      <c r="C132" t="s">
        <v>19</v>
      </c>
      <c r="D132"/>
      <c r="E132"/>
      <c r="F132"/>
      <c r="G132"/>
      <c r="H132"/>
      <c r="I132"/>
      <c r="J132"/>
      <c r="K132"/>
      <c r="L132"/>
    </row>
    <row r="133" spans="1:12" s="3" customFormat="1">
      <c r="A133" s="6">
        <v>186</v>
      </c>
      <c r="B133" s="6">
        <v>187</v>
      </c>
      <c r="C133" t="s">
        <v>19</v>
      </c>
      <c r="D133"/>
      <c r="E133"/>
      <c r="F133"/>
      <c r="G133"/>
      <c r="H133"/>
      <c r="I133"/>
      <c r="J133"/>
      <c r="K133"/>
      <c r="L133"/>
    </row>
    <row r="134" spans="1:12" s="3" customFormat="1">
      <c r="A134" s="6">
        <v>188</v>
      </c>
      <c r="B134" s="6">
        <v>189</v>
      </c>
      <c r="C134" t="s">
        <v>19</v>
      </c>
      <c r="D134"/>
      <c r="E134"/>
      <c r="F134"/>
      <c r="G134"/>
      <c r="H134"/>
      <c r="I134"/>
      <c r="J134"/>
      <c r="K134"/>
      <c r="L134"/>
    </row>
    <row r="135" spans="1:12" s="3" customFormat="1">
      <c r="A135" s="6">
        <v>190</v>
      </c>
      <c r="B135" s="6">
        <v>191</v>
      </c>
      <c r="C135" t="s">
        <v>208</v>
      </c>
      <c r="D135"/>
      <c r="E135"/>
      <c r="F135"/>
      <c r="G135"/>
      <c r="H135"/>
      <c r="I135"/>
      <c r="J135"/>
      <c r="K135"/>
      <c r="L135"/>
    </row>
    <row r="136" spans="1:12" s="3" customFormat="1">
      <c r="A136" s="6">
        <v>192</v>
      </c>
      <c r="B136" s="6">
        <v>193</v>
      </c>
      <c r="C136" t="s">
        <v>19</v>
      </c>
      <c r="D136"/>
      <c r="E136"/>
      <c r="F136"/>
      <c r="G136"/>
      <c r="H136"/>
      <c r="I136"/>
      <c r="J136"/>
      <c r="K136"/>
      <c r="L136"/>
    </row>
    <row r="137" spans="1:12" s="3" customFormat="1">
      <c r="A137" s="6">
        <v>194</v>
      </c>
      <c r="B137" s="6">
        <v>195</v>
      </c>
      <c r="C137" t="s">
        <v>19</v>
      </c>
      <c r="D137"/>
      <c r="E137"/>
      <c r="F137"/>
      <c r="G137"/>
      <c r="H137"/>
      <c r="I137"/>
      <c r="J137"/>
      <c r="K137"/>
      <c r="L137"/>
    </row>
    <row r="138" spans="1:12" s="3" customFormat="1">
      <c r="A138" s="6">
        <v>196</v>
      </c>
      <c r="B138" s="6">
        <v>197</v>
      </c>
      <c r="C138" t="s">
        <v>19</v>
      </c>
      <c r="D138"/>
      <c r="E138"/>
      <c r="F138"/>
      <c r="G138"/>
      <c r="H138"/>
      <c r="I138"/>
      <c r="J138"/>
      <c r="K138"/>
      <c r="L138"/>
    </row>
    <row r="139" spans="1:12" s="3" customFormat="1">
      <c r="A139" s="6">
        <v>198</v>
      </c>
      <c r="B139" s="6">
        <v>199</v>
      </c>
      <c r="C139" t="s">
        <v>19</v>
      </c>
      <c r="D139"/>
      <c r="E139"/>
      <c r="F139"/>
      <c r="G139"/>
      <c r="H139"/>
      <c r="I139"/>
      <c r="J139"/>
      <c r="K139"/>
      <c r="L139"/>
    </row>
    <row r="140" spans="1:12" s="3" customFormat="1">
      <c r="A140" s="6">
        <v>140</v>
      </c>
      <c r="B140" s="6">
        <v>141</v>
      </c>
      <c r="C140" t="s">
        <v>209</v>
      </c>
      <c r="D140"/>
      <c r="E140"/>
      <c r="F140"/>
      <c r="G140"/>
      <c r="H140"/>
      <c r="I140"/>
      <c r="J140"/>
      <c r="K140"/>
      <c r="L140"/>
    </row>
    <row r="141" spans="1:12" s="3" customFormat="1">
      <c r="A141" s="6">
        <v>142</v>
      </c>
      <c r="B141" s="6">
        <v>143</v>
      </c>
      <c r="C141" t="s">
        <v>19</v>
      </c>
      <c r="D141"/>
      <c r="E141"/>
      <c r="F141"/>
      <c r="G141"/>
      <c r="H141"/>
      <c r="I141"/>
      <c r="J141"/>
      <c r="K141"/>
      <c r="L141"/>
    </row>
    <row r="142" spans="1:12" s="3" customFormat="1">
      <c r="A142" s="6">
        <v>144</v>
      </c>
      <c r="B142" s="6">
        <v>145</v>
      </c>
      <c r="C142" t="s">
        <v>19</v>
      </c>
      <c r="D142"/>
      <c r="E142"/>
      <c r="F142"/>
      <c r="G142"/>
      <c r="H142"/>
      <c r="I142"/>
      <c r="J142"/>
      <c r="K142"/>
      <c r="L142"/>
    </row>
    <row r="143" spans="1:12" s="3" customFormat="1">
      <c r="A143" s="6">
        <v>146</v>
      </c>
      <c r="B143" s="6">
        <v>147</v>
      </c>
      <c r="C143" t="s">
        <v>19</v>
      </c>
      <c r="D143"/>
      <c r="E143"/>
      <c r="F143"/>
      <c r="G143"/>
      <c r="H143"/>
      <c r="I143"/>
      <c r="J143"/>
      <c r="K143"/>
      <c r="L143"/>
    </row>
    <row r="144" spans="1:12" s="3" customFormat="1">
      <c r="A144" s="6">
        <v>148</v>
      </c>
      <c r="B144" s="6">
        <v>149</v>
      </c>
      <c r="C144" t="s">
        <v>19</v>
      </c>
      <c r="D144"/>
      <c r="E144"/>
      <c r="F144"/>
      <c r="G144"/>
      <c r="H144"/>
      <c r="I144"/>
      <c r="J144"/>
      <c r="K144"/>
      <c r="L144"/>
    </row>
    <row r="145" spans="1:12" s="3" customFormat="1">
      <c r="A145" s="6">
        <v>150</v>
      </c>
      <c r="B145" s="6">
        <v>151</v>
      </c>
      <c r="C145" t="s">
        <v>210</v>
      </c>
      <c r="D145"/>
      <c r="E145"/>
      <c r="F145"/>
      <c r="G145"/>
      <c r="H145"/>
      <c r="I145"/>
      <c r="J145"/>
      <c r="K145"/>
      <c r="L145"/>
    </row>
    <row r="146" spans="1:12" s="3" customFormat="1">
      <c r="A146" s="6">
        <v>152</v>
      </c>
      <c r="B146" s="6">
        <v>153</v>
      </c>
      <c r="C146" t="s">
        <v>19</v>
      </c>
      <c r="D146"/>
      <c r="E146"/>
      <c r="F146"/>
      <c r="G146"/>
      <c r="H146"/>
      <c r="I146"/>
      <c r="J146"/>
      <c r="K146"/>
      <c r="L146"/>
    </row>
    <row r="147" spans="1:12" s="3" customFormat="1">
      <c r="A147" s="6">
        <v>154</v>
      </c>
      <c r="B147" s="6">
        <v>155</v>
      </c>
      <c r="C147" t="s">
        <v>19</v>
      </c>
      <c r="D147"/>
      <c r="E147"/>
      <c r="F147"/>
      <c r="G147"/>
      <c r="H147"/>
      <c r="I147"/>
      <c r="J147"/>
      <c r="K147"/>
      <c r="L147"/>
    </row>
    <row r="148" spans="1:12" s="3" customFormat="1">
      <c r="A148" s="6">
        <v>156</v>
      </c>
      <c r="B148" s="6">
        <v>157</v>
      </c>
      <c r="C148" t="s">
        <v>19</v>
      </c>
      <c r="D148"/>
      <c r="E148"/>
      <c r="F148"/>
      <c r="G148"/>
      <c r="H148"/>
      <c r="I148"/>
      <c r="J148"/>
      <c r="K148"/>
      <c r="L148"/>
    </row>
    <row r="149" spans="1:12" s="3" customFormat="1">
      <c r="A149" s="6">
        <v>158</v>
      </c>
      <c r="B149" s="6">
        <v>159</v>
      </c>
      <c r="C149" t="s">
        <v>19</v>
      </c>
      <c r="D149"/>
      <c r="E149"/>
      <c r="F149"/>
      <c r="G149"/>
      <c r="H149"/>
      <c r="I149"/>
      <c r="J149"/>
      <c r="K149"/>
      <c r="L149"/>
    </row>
    <row r="150" spans="1:12" s="3" customFormat="1">
      <c r="A150" s="6">
        <v>160</v>
      </c>
      <c r="B150" s="6">
        <v>161</v>
      </c>
      <c r="C150" t="s">
        <v>211</v>
      </c>
      <c r="D150"/>
      <c r="E150"/>
      <c r="F150"/>
      <c r="G150"/>
      <c r="H150"/>
      <c r="I150"/>
      <c r="J150"/>
      <c r="K150"/>
      <c r="L150"/>
    </row>
    <row r="151" spans="1:12" s="3" customFormat="1">
      <c r="A151" s="6">
        <v>162</v>
      </c>
      <c r="B151" s="6">
        <v>163</v>
      </c>
      <c r="C151" t="s">
        <v>19</v>
      </c>
      <c r="D151"/>
      <c r="E151"/>
      <c r="F151"/>
      <c r="G151"/>
      <c r="H151"/>
      <c r="I151"/>
      <c r="J151"/>
      <c r="K151"/>
      <c r="L151"/>
    </row>
    <row r="152" spans="1:12" s="3" customFormat="1">
      <c r="A152" s="6">
        <v>164</v>
      </c>
      <c r="B152" s="6">
        <v>165</v>
      </c>
      <c r="C152" t="s">
        <v>19</v>
      </c>
      <c r="D152"/>
      <c r="E152"/>
      <c r="F152"/>
      <c r="G152"/>
      <c r="H152"/>
      <c r="I152"/>
      <c r="J152"/>
      <c r="K152"/>
      <c r="L152"/>
    </row>
    <row r="153" spans="1:12" s="3" customFormat="1">
      <c r="A153" s="6">
        <v>166</v>
      </c>
      <c r="B153" s="6">
        <v>167</v>
      </c>
      <c r="C153" t="s">
        <v>19</v>
      </c>
      <c r="D153"/>
      <c r="E153"/>
      <c r="F153"/>
      <c r="G153"/>
      <c r="H153"/>
      <c r="I153"/>
      <c r="J153"/>
      <c r="K153"/>
      <c r="L153"/>
    </row>
    <row r="154" spans="1:12" s="3" customFormat="1">
      <c r="A154" s="6">
        <v>168</v>
      </c>
      <c r="B154" s="6">
        <v>169</v>
      </c>
      <c r="C154" t="s">
        <v>19</v>
      </c>
      <c r="D154"/>
      <c r="E154"/>
      <c r="F154"/>
      <c r="G154"/>
      <c r="H154"/>
      <c r="I154"/>
      <c r="J154"/>
      <c r="K154"/>
      <c r="L154"/>
    </row>
    <row r="155" spans="1:12" s="3" customFormat="1">
      <c r="A155" s="6">
        <v>170</v>
      </c>
      <c r="B155" s="6">
        <v>171</v>
      </c>
      <c r="C155" t="s">
        <v>212</v>
      </c>
      <c r="D155"/>
      <c r="E155"/>
      <c r="F155"/>
      <c r="G155"/>
      <c r="H155"/>
      <c r="I155"/>
      <c r="J155"/>
      <c r="K155"/>
      <c r="L155"/>
    </row>
    <row r="156" spans="1:12" s="3" customFormat="1">
      <c r="A156" s="6">
        <v>172</v>
      </c>
      <c r="B156" s="6">
        <v>173</v>
      </c>
      <c r="C156" t="s">
        <v>19</v>
      </c>
      <c r="D156"/>
      <c r="E156"/>
      <c r="F156"/>
      <c r="G156"/>
      <c r="H156"/>
      <c r="I156"/>
      <c r="J156"/>
      <c r="K156"/>
      <c r="L156"/>
    </row>
    <row r="157" spans="1:12" s="3" customFormat="1">
      <c r="A157" s="6">
        <v>174</v>
      </c>
      <c r="B157" s="6">
        <v>175</v>
      </c>
      <c r="C157" t="s">
        <v>19</v>
      </c>
      <c r="D157"/>
      <c r="E157"/>
      <c r="F157"/>
      <c r="G157"/>
      <c r="H157"/>
      <c r="I157"/>
      <c r="J157"/>
      <c r="K157"/>
      <c r="L157"/>
    </row>
    <row r="158" spans="1:12" s="3" customFormat="1">
      <c r="A158" s="6">
        <v>176</v>
      </c>
      <c r="B158" s="6">
        <v>177</v>
      </c>
      <c r="C158" t="s">
        <v>19</v>
      </c>
      <c r="D158"/>
      <c r="E158"/>
      <c r="F158"/>
      <c r="G158"/>
      <c r="H158"/>
      <c r="I158"/>
      <c r="J158"/>
      <c r="K158"/>
      <c r="L158"/>
    </row>
    <row r="159" spans="1:12" s="3" customFormat="1">
      <c r="A159" s="6">
        <v>178</v>
      </c>
      <c r="B159" s="6">
        <v>179</v>
      </c>
      <c r="C159" t="s">
        <v>19</v>
      </c>
      <c r="D159"/>
      <c r="E159"/>
      <c r="F159"/>
      <c r="G159"/>
      <c r="H159"/>
      <c r="I159"/>
      <c r="J159"/>
      <c r="K159"/>
      <c r="L159"/>
    </row>
    <row r="160" spans="1:12" s="3" customFormat="1">
      <c r="A160" s="6">
        <v>180</v>
      </c>
      <c r="B160" s="6">
        <v>181</v>
      </c>
      <c r="C160" t="s">
        <v>213</v>
      </c>
      <c r="D160"/>
      <c r="E160"/>
      <c r="F160"/>
      <c r="G160"/>
      <c r="H160"/>
      <c r="I160"/>
      <c r="J160"/>
      <c r="K160"/>
      <c r="L160"/>
    </row>
    <row r="161" spans="1:12" s="3" customFormat="1">
      <c r="A161" s="6">
        <v>182</v>
      </c>
      <c r="B161" s="6">
        <v>183</v>
      </c>
      <c r="C161" t="s">
        <v>19</v>
      </c>
      <c r="D161"/>
      <c r="E161"/>
      <c r="F161"/>
      <c r="G161"/>
      <c r="H161"/>
      <c r="I161"/>
      <c r="J161"/>
      <c r="K161"/>
      <c r="L161"/>
    </row>
    <row r="162" spans="1:12" s="3" customFormat="1">
      <c r="A162" s="6">
        <v>184</v>
      </c>
      <c r="B162" s="6">
        <v>185</v>
      </c>
      <c r="C162" t="s">
        <v>19</v>
      </c>
      <c r="D162"/>
      <c r="E162"/>
      <c r="F162"/>
      <c r="G162"/>
      <c r="H162"/>
      <c r="I162"/>
      <c r="J162"/>
      <c r="K162"/>
      <c r="L162"/>
    </row>
    <row r="163" spans="1:12" s="3" customFormat="1">
      <c r="A163" s="6">
        <v>186</v>
      </c>
      <c r="B163" s="6">
        <v>187</v>
      </c>
      <c r="C163" t="s">
        <v>19</v>
      </c>
      <c r="D163"/>
      <c r="E163"/>
      <c r="F163"/>
      <c r="G163"/>
      <c r="H163"/>
      <c r="I163"/>
      <c r="J163"/>
      <c r="K163"/>
      <c r="L163"/>
    </row>
    <row r="164" spans="1:12" s="3" customFormat="1">
      <c r="A164" s="6">
        <v>188</v>
      </c>
      <c r="B164" s="6">
        <v>189</v>
      </c>
      <c r="C164" t="s">
        <v>19</v>
      </c>
      <c r="D164"/>
      <c r="E164"/>
      <c r="F164"/>
      <c r="G164"/>
      <c r="H164"/>
      <c r="I164"/>
      <c r="J164"/>
      <c r="K164"/>
      <c r="L164"/>
    </row>
    <row r="165" spans="1:12" s="3" customFormat="1">
      <c r="A165" s="6">
        <v>190</v>
      </c>
      <c r="B165" s="6">
        <v>191</v>
      </c>
      <c r="C165" t="s">
        <v>214</v>
      </c>
      <c r="D165"/>
      <c r="E165"/>
      <c r="F165"/>
      <c r="G165"/>
      <c r="H165"/>
      <c r="I165"/>
      <c r="J165"/>
      <c r="K165"/>
      <c r="L165"/>
    </row>
    <row r="166" spans="1:12" s="3" customFormat="1">
      <c r="A166" s="6">
        <v>192</v>
      </c>
      <c r="B166" s="6">
        <v>193</v>
      </c>
      <c r="C166" t="s">
        <v>19</v>
      </c>
      <c r="D166"/>
      <c r="E166"/>
      <c r="F166"/>
      <c r="G166"/>
      <c r="H166"/>
      <c r="I166"/>
      <c r="J166"/>
      <c r="K166"/>
      <c r="L166"/>
    </row>
    <row r="167" spans="1:12" s="3" customFormat="1">
      <c r="A167" s="6">
        <v>194</v>
      </c>
      <c r="B167" s="6">
        <v>195</v>
      </c>
      <c r="C167" t="s">
        <v>19</v>
      </c>
      <c r="D167"/>
      <c r="E167"/>
      <c r="F167"/>
      <c r="G167"/>
      <c r="H167"/>
      <c r="I167"/>
      <c r="J167"/>
      <c r="K167"/>
      <c r="L167"/>
    </row>
    <row r="168" spans="1:12" s="3" customFormat="1">
      <c r="A168" s="6">
        <v>196</v>
      </c>
      <c r="B168" s="6">
        <v>197</v>
      </c>
      <c r="C168" t="s">
        <v>19</v>
      </c>
      <c r="D168"/>
      <c r="E168"/>
      <c r="F168"/>
      <c r="G168"/>
      <c r="H168"/>
      <c r="I168"/>
      <c r="J168"/>
      <c r="K168"/>
      <c r="L168"/>
    </row>
    <row r="169" spans="1:12" s="3" customFormat="1">
      <c r="A169" s="6">
        <v>198</v>
      </c>
      <c r="B169" s="6">
        <v>199</v>
      </c>
      <c r="C169" t="s">
        <v>19</v>
      </c>
      <c r="D169"/>
      <c r="E169"/>
      <c r="F169"/>
      <c r="G169"/>
      <c r="H169"/>
      <c r="I169"/>
      <c r="J169"/>
      <c r="K169"/>
      <c r="L169"/>
    </row>
    <row r="170" spans="1:12" s="3" customFormat="1">
      <c r="A170" t="s">
        <v>27</v>
      </c>
      <c r="B170" t="s">
        <v>19</v>
      </c>
      <c r="C170"/>
      <c r="D170"/>
      <c r="E170"/>
      <c r="F170"/>
      <c r="G170"/>
      <c r="H170"/>
      <c r="I170"/>
      <c r="J170"/>
      <c r="K170"/>
      <c r="L170"/>
    </row>
    <row r="171" spans="1:12" s="3" customFormat="1">
      <c r="A171" s="6">
        <v>140</v>
      </c>
      <c r="B171" s="6">
        <v>141</v>
      </c>
      <c r="C171" t="s">
        <v>203</v>
      </c>
      <c r="D171"/>
      <c r="E171"/>
      <c r="F171" t="s">
        <v>44</v>
      </c>
      <c r="G171"/>
      <c r="H171"/>
      <c r="I171"/>
      <c r="J171"/>
      <c r="K171"/>
      <c r="L171"/>
    </row>
    <row r="172" spans="1:12" s="3" customFormat="1">
      <c r="A172" s="6">
        <v>142</v>
      </c>
      <c r="B172" s="6">
        <v>143</v>
      </c>
      <c r="C172" t="s">
        <v>19</v>
      </c>
      <c r="D172"/>
      <c r="E172"/>
      <c r="F172" t="s">
        <v>45</v>
      </c>
      <c r="G172"/>
      <c r="H172"/>
      <c r="I172"/>
      <c r="J172"/>
      <c r="K172"/>
      <c r="L172"/>
    </row>
    <row r="173" spans="1:12" s="3" customFormat="1">
      <c r="A173" s="6">
        <v>144</v>
      </c>
      <c r="B173" s="6">
        <v>145</v>
      </c>
      <c r="C173" t="s">
        <v>19</v>
      </c>
      <c r="D173"/>
      <c r="E173"/>
      <c r="F173" t="s">
        <v>46</v>
      </c>
      <c r="G173"/>
      <c r="H173"/>
      <c r="I173"/>
      <c r="J173"/>
      <c r="K173"/>
      <c r="L173"/>
    </row>
    <row r="174" spans="1:12" s="3" customFormat="1">
      <c r="A174" s="6">
        <v>146</v>
      </c>
      <c r="B174" s="6">
        <v>147</v>
      </c>
      <c r="C174" t="s">
        <v>19</v>
      </c>
      <c r="D174"/>
      <c r="E174"/>
      <c r="F174"/>
      <c r="G174"/>
      <c r="H174"/>
      <c r="I174"/>
      <c r="J174"/>
      <c r="K174"/>
      <c r="L174"/>
    </row>
    <row r="175" spans="1:12" s="3" customFormat="1">
      <c r="A175" s="6">
        <v>148</v>
      </c>
      <c r="B175" s="6">
        <v>149</v>
      </c>
      <c r="C175" t="s">
        <v>19</v>
      </c>
      <c r="D175"/>
      <c r="E175"/>
      <c r="F175"/>
      <c r="G175"/>
      <c r="H175"/>
      <c r="I175"/>
      <c r="J175"/>
      <c r="K175"/>
      <c r="L175"/>
    </row>
    <row r="176" spans="1:12" s="3" customFormat="1">
      <c r="A176" s="6">
        <v>150</v>
      </c>
      <c r="B176" s="6">
        <v>151</v>
      </c>
      <c r="C176" t="s">
        <v>204</v>
      </c>
      <c r="D176"/>
      <c r="E176"/>
      <c r="F176"/>
      <c r="G176"/>
      <c r="H176"/>
      <c r="I176"/>
      <c r="J176"/>
      <c r="K176"/>
      <c r="L176"/>
    </row>
    <row r="177" spans="1:12" s="3" customFormat="1">
      <c r="A177" s="6">
        <v>152</v>
      </c>
      <c r="B177" s="6">
        <v>153</v>
      </c>
      <c r="C177" t="s">
        <v>19</v>
      </c>
      <c r="D177"/>
      <c r="E177"/>
      <c r="F177"/>
      <c r="G177"/>
      <c r="H177"/>
      <c r="I177"/>
      <c r="J177"/>
      <c r="K177"/>
      <c r="L177"/>
    </row>
    <row r="178" spans="1:12" s="3" customFormat="1">
      <c r="A178" s="6">
        <v>154</v>
      </c>
      <c r="B178" s="6">
        <v>155</v>
      </c>
      <c r="C178" t="s">
        <v>19</v>
      </c>
      <c r="D178"/>
      <c r="E178"/>
      <c r="F178"/>
      <c r="G178"/>
      <c r="H178"/>
      <c r="I178"/>
      <c r="J178"/>
      <c r="K178"/>
      <c r="L178"/>
    </row>
    <row r="179" spans="1:12" s="3" customFormat="1">
      <c r="A179" s="6">
        <v>156</v>
      </c>
      <c r="B179" s="6">
        <v>157</v>
      </c>
      <c r="C179" t="s">
        <v>19</v>
      </c>
      <c r="D179"/>
      <c r="E179"/>
      <c r="F179"/>
      <c r="G179"/>
      <c r="H179"/>
      <c r="I179"/>
      <c r="J179"/>
      <c r="K179"/>
      <c r="L179"/>
    </row>
    <row r="180" spans="1:12" s="3" customFormat="1">
      <c r="A180" s="6">
        <v>158</v>
      </c>
      <c r="B180" s="6">
        <v>159</v>
      </c>
      <c r="C180" t="s">
        <v>19</v>
      </c>
      <c r="D180"/>
      <c r="E180"/>
      <c r="F180"/>
      <c r="G180"/>
      <c r="H180"/>
      <c r="I180"/>
      <c r="J180"/>
      <c r="K180"/>
      <c r="L180"/>
    </row>
    <row r="181" spans="1:12" s="3" customFormat="1">
      <c r="A181" s="6">
        <v>160</v>
      </c>
      <c r="B181" s="6">
        <v>161</v>
      </c>
      <c r="C181" t="s">
        <v>205</v>
      </c>
      <c r="D181"/>
      <c r="E181"/>
      <c r="F181"/>
      <c r="G181"/>
      <c r="H181"/>
      <c r="I181"/>
      <c r="J181"/>
      <c r="K181"/>
      <c r="L181"/>
    </row>
    <row r="182" spans="1:12" s="3" customFormat="1">
      <c r="A182" s="6">
        <v>162</v>
      </c>
      <c r="B182" s="6">
        <v>163</v>
      </c>
      <c r="C182" t="s">
        <v>19</v>
      </c>
      <c r="D182"/>
      <c r="E182"/>
      <c r="F182"/>
      <c r="G182"/>
      <c r="H182"/>
      <c r="I182"/>
      <c r="J182"/>
      <c r="K182"/>
      <c r="L182"/>
    </row>
    <row r="183" spans="1:12" s="3" customFormat="1">
      <c r="A183" s="6">
        <v>164</v>
      </c>
      <c r="B183" s="6">
        <v>165</v>
      </c>
      <c r="C183" t="s">
        <v>19</v>
      </c>
      <c r="D183"/>
      <c r="E183"/>
      <c r="F183"/>
      <c r="G183"/>
      <c r="H183"/>
      <c r="I183"/>
      <c r="J183"/>
      <c r="K183"/>
      <c r="L183"/>
    </row>
    <row r="184" spans="1:12" s="3" customFormat="1">
      <c r="A184" s="6">
        <v>166</v>
      </c>
      <c r="B184" s="6">
        <v>167</v>
      </c>
      <c r="C184" t="s">
        <v>19</v>
      </c>
      <c r="D184"/>
      <c r="E184"/>
      <c r="F184"/>
      <c r="G184"/>
      <c r="H184"/>
      <c r="I184"/>
      <c r="J184"/>
      <c r="K184"/>
      <c r="L184"/>
    </row>
    <row r="185" spans="1:12" s="3" customFormat="1">
      <c r="A185" s="6">
        <v>168</v>
      </c>
      <c r="B185" s="6">
        <v>169</v>
      </c>
      <c r="C185" t="s">
        <v>19</v>
      </c>
      <c r="D185"/>
      <c r="E185"/>
      <c r="F185"/>
      <c r="G185"/>
      <c r="H185"/>
      <c r="I185"/>
      <c r="J185"/>
      <c r="K185"/>
      <c r="L185"/>
    </row>
    <row r="186" spans="1:12" s="3" customFormat="1">
      <c r="A186" s="6">
        <v>170</v>
      </c>
      <c r="B186" s="6">
        <v>171</v>
      </c>
      <c r="C186" t="s">
        <v>206</v>
      </c>
      <c r="D186"/>
      <c r="E186"/>
      <c r="F186"/>
      <c r="G186"/>
      <c r="H186"/>
      <c r="I186"/>
      <c r="J186"/>
      <c r="K186"/>
      <c r="L186"/>
    </row>
    <row r="187" spans="1:12" s="3" customFormat="1">
      <c r="A187" s="6">
        <v>172</v>
      </c>
      <c r="B187" s="6">
        <v>173</v>
      </c>
      <c r="C187" t="s">
        <v>19</v>
      </c>
      <c r="D187"/>
      <c r="E187"/>
      <c r="F187"/>
      <c r="G187"/>
      <c r="H187"/>
      <c r="I187"/>
      <c r="J187"/>
      <c r="K187"/>
      <c r="L187"/>
    </row>
    <row r="188" spans="1:12" s="3" customFormat="1">
      <c r="A188" s="6">
        <v>174</v>
      </c>
      <c r="B188" s="6">
        <v>175</v>
      </c>
      <c r="C188" t="s">
        <v>19</v>
      </c>
      <c r="D188"/>
      <c r="E188"/>
      <c r="F188"/>
      <c r="G188"/>
      <c r="H188"/>
      <c r="I188"/>
      <c r="J188"/>
      <c r="K188"/>
      <c r="L188"/>
    </row>
    <row r="189" spans="1:12" s="3" customFormat="1">
      <c r="A189" s="6">
        <v>176</v>
      </c>
      <c r="B189" s="6">
        <v>177</v>
      </c>
      <c r="C189" t="s">
        <v>19</v>
      </c>
      <c r="D189"/>
      <c r="E189"/>
      <c r="F189"/>
      <c r="G189"/>
      <c r="H189"/>
      <c r="I189"/>
      <c r="J189"/>
      <c r="K189"/>
      <c r="L189"/>
    </row>
    <row r="190" spans="1:12" s="3" customFormat="1">
      <c r="A190" s="6">
        <v>178</v>
      </c>
      <c r="B190" s="6">
        <v>179</v>
      </c>
      <c r="C190" t="s">
        <v>19</v>
      </c>
      <c r="D190"/>
      <c r="E190"/>
      <c r="F190"/>
      <c r="G190"/>
      <c r="H190"/>
      <c r="I190"/>
      <c r="J190"/>
      <c r="K190"/>
      <c r="L190"/>
    </row>
    <row r="191" spans="1:12" s="3" customFormat="1">
      <c r="A191" s="6">
        <v>180</v>
      </c>
      <c r="B191" s="6">
        <v>181</v>
      </c>
      <c r="C191" t="s">
        <v>207</v>
      </c>
      <c r="D191"/>
      <c r="E191"/>
      <c r="F191"/>
      <c r="G191"/>
      <c r="H191"/>
      <c r="I191"/>
      <c r="J191"/>
      <c r="K191"/>
      <c r="L191"/>
    </row>
    <row r="192" spans="1:12" s="3" customFormat="1">
      <c r="A192" s="6">
        <v>182</v>
      </c>
      <c r="B192" s="6">
        <v>183</v>
      </c>
      <c r="C192" t="s">
        <v>19</v>
      </c>
      <c r="D192"/>
      <c r="E192"/>
      <c r="F192"/>
      <c r="G192"/>
      <c r="H192"/>
      <c r="I192"/>
      <c r="J192"/>
      <c r="K192"/>
      <c r="L192"/>
    </row>
    <row r="193" spans="1:12" s="3" customFormat="1">
      <c r="A193" s="6">
        <v>184</v>
      </c>
      <c r="B193" s="6">
        <v>185</v>
      </c>
      <c r="C193" t="s">
        <v>19</v>
      </c>
      <c r="D193"/>
      <c r="E193"/>
      <c r="F193"/>
      <c r="G193"/>
      <c r="H193"/>
      <c r="I193"/>
      <c r="J193"/>
      <c r="K193"/>
      <c r="L193"/>
    </row>
    <row r="194" spans="1:12" s="3" customFormat="1">
      <c r="A194" s="6">
        <v>186</v>
      </c>
      <c r="B194" s="6">
        <v>187</v>
      </c>
      <c r="C194" t="s">
        <v>19</v>
      </c>
      <c r="D194"/>
      <c r="E194"/>
      <c r="F194"/>
      <c r="G194"/>
      <c r="H194"/>
      <c r="I194"/>
      <c r="J194"/>
      <c r="K194"/>
      <c r="L194"/>
    </row>
    <row r="195" spans="1:12" s="3" customFormat="1">
      <c r="A195" s="6">
        <v>188</v>
      </c>
      <c r="B195" s="6">
        <v>189</v>
      </c>
      <c r="C195" t="s">
        <v>19</v>
      </c>
      <c r="D195"/>
      <c r="E195"/>
      <c r="F195"/>
      <c r="G195"/>
      <c r="H195"/>
      <c r="I195"/>
      <c r="J195"/>
      <c r="K195"/>
      <c r="L195"/>
    </row>
    <row r="196" spans="1:12" s="3" customFormat="1">
      <c r="A196" s="6">
        <v>190</v>
      </c>
      <c r="B196" s="6">
        <v>191</v>
      </c>
      <c r="C196" t="s">
        <v>208</v>
      </c>
      <c r="D196"/>
      <c r="E196"/>
      <c r="F196"/>
      <c r="G196"/>
      <c r="H196"/>
      <c r="I196"/>
      <c r="J196"/>
      <c r="K196"/>
      <c r="L196"/>
    </row>
    <row r="197" spans="1:12" s="3" customFormat="1">
      <c r="A197" s="6">
        <v>192</v>
      </c>
      <c r="B197" s="6">
        <v>193</v>
      </c>
      <c r="C197" t="s">
        <v>19</v>
      </c>
      <c r="D197"/>
      <c r="E197"/>
      <c r="F197"/>
      <c r="G197"/>
      <c r="H197"/>
      <c r="I197"/>
      <c r="J197"/>
      <c r="K197"/>
      <c r="L197"/>
    </row>
    <row r="198" spans="1:12" s="3" customFormat="1">
      <c r="A198" s="6">
        <v>194</v>
      </c>
      <c r="B198" s="6">
        <v>195</v>
      </c>
      <c r="C198" t="s">
        <v>19</v>
      </c>
      <c r="D198"/>
      <c r="E198"/>
      <c r="F198"/>
      <c r="G198"/>
      <c r="H198"/>
      <c r="I198"/>
      <c r="J198"/>
      <c r="K198"/>
      <c r="L198"/>
    </row>
    <row r="199" spans="1:12" s="3" customFormat="1">
      <c r="A199" s="6">
        <v>196</v>
      </c>
      <c r="B199" s="6">
        <v>197</v>
      </c>
      <c r="C199" t="s">
        <v>19</v>
      </c>
      <c r="D199"/>
      <c r="E199"/>
      <c r="F199"/>
      <c r="G199"/>
      <c r="H199"/>
      <c r="I199"/>
      <c r="J199"/>
      <c r="K199"/>
      <c r="L199"/>
    </row>
    <row r="200" spans="1:12" s="3" customFormat="1">
      <c r="A200" s="6">
        <v>198</v>
      </c>
      <c r="B200" s="6">
        <v>199</v>
      </c>
      <c r="C200" t="s">
        <v>19</v>
      </c>
      <c r="D200"/>
      <c r="E200"/>
      <c r="F200"/>
      <c r="G200"/>
      <c r="H200"/>
      <c r="I200"/>
      <c r="J200"/>
      <c r="K200"/>
      <c r="L200"/>
    </row>
    <row r="201" spans="1:12" s="3" customFormat="1">
      <c r="A201" s="6">
        <v>140</v>
      </c>
      <c r="B201" s="6">
        <v>141</v>
      </c>
      <c r="C201" t="s">
        <v>209</v>
      </c>
      <c r="D201"/>
      <c r="E201"/>
      <c r="F201"/>
      <c r="G201"/>
      <c r="H201"/>
      <c r="I201"/>
      <c r="J201"/>
      <c r="K201"/>
      <c r="L201"/>
    </row>
    <row r="202" spans="1:12" s="3" customFormat="1">
      <c r="A202" s="6">
        <v>142</v>
      </c>
      <c r="B202" s="6">
        <v>143</v>
      </c>
      <c r="C202" t="s">
        <v>19</v>
      </c>
      <c r="D202"/>
      <c r="E202"/>
      <c r="F202"/>
      <c r="G202"/>
      <c r="H202"/>
      <c r="I202"/>
      <c r="J202"/>
      <c r="K202"/>
      <c r="L202"/>
    </row>
    <row r="203" spans="1:12" s="3" customFormat="1">
      <c r="A203" s="6">
        <v>144</v>
      </c>
      <c r="B203" s="6">
        <v>145</v>
      </c>
      <c r="C203" t="s">
        <v>19</v>
      </c>
      <c r="D203"/>
      <c r="E203"/>
      <c r="F203"/>
      <c r="G203"/>
      <c r="H203"/>
      <c r="I203"/>
      <c r="J203"/>
      <c r="K203"/>
      <c r="L203"/>
    </row>
    <row r="204" spans="1:12" s="3" customFormat="1">
      <c r="A204" s="6">
        <v>146</v>
      </c>
      <c r="B204" s="6">
        <v>147</v>
      </c>
      <c r="C204" t="s">
        <v>19</v>
      </c>
      <c r="D204"/>
      <c r="E204"/>
      <c r="F204"/>
      <c r="G204"/>
      <c r="H204"/>
      <c r="I204"/>
      <c r="J204"/>
      <c r="K204"/>
      <c r="L204"/>
    </row>
    <row r="205" spans="1:12" s="3" customFormat="1">
      <c r="A205" s="6">
        <v>148</v>
      </c>
      <c r="B205" s="6">
        <v>149</v>
      </c>
      <c r="C205" t="s">
        <v>19</v>
      </c>
      <c r="D205"/>
      <c r="E205"/>
      <c r="F205"/>
      <c r="G205"/>
      <c r="H205"/>
      <c r="I205"/>
      <c r="J205"/>
      <c r="K205"/>
      <c r="L205"/>
    </row>
    <row r="206" spans="1:12" s="3" customFormat="1">
      <c r="A206" s="6">
        <v>150</v>
      </c>
      <c r="B206" s="6">
        <v>151</v>
      </c>
      <c r="C206" t="s">
        <v>210</v>
      </c>
      <c r="D206"/>
      <c r="E206"/>
      <c r="F206"/>
      <c r="G206"/>
      <c r="H206"/>
      <c r="I206"/>
      <c r="J206"/>
      <c r="K206"/>
      <c r="L206"/>
    </row>
    <row r="207" spans="1:12" s="3" customFormat="1">
      <c r="A207" s="6">
        <v>152</v>
      </c>
      <c r="B207" s="6">
        <v>153</v>
      </c>
      <c r="C207" t="s">
        <v>19</v>
      </c>
      <c r="D207"/>
      <c r="E207"/>
      <c r="F207"/>
      <c r="G207"/>
      <c r="H207"/>
      <c r="I207"/>
      <c r="J207"/>
      <c r="K207"/>
      <c r="L207"/>
    </row>
    <row r="208" spans="1:12" s="3" customFormat="1">
      <c r="A208" s="6">
        <v>154</v>
      </c>
      <c r="B208" s="6">
        <v>155</v>
      </c>
      <c r="C208" t="s">
        <v>19</v>
      </c>
      <c r="D208"/>
      <c r="E208"/>
      <c r="F208"/>
      <c r="G208"/>
      <c r="H208"/>
      <c r="I208"/>
      <c r="J208"/>
      <c r="K208"/>
      <c r="L208"/>
    </row>
    <row r="209" spans="1:12" s="3" customFormat="1">
      <c r="A209" s="6">
        <v>156</v>
      </c>
      <c r="B209" s="6">
        <v>157</v>
      </c>
      <c r="C209" t="s">
        <v>19</v>
      </c>
      <c r="D209"/>
      <c r="E209"/>
      <c r="F209"/>
      <c r="G209"/>
      <c r="H209"/>
      <c r="I209"/>
      <c r="J209"/>
      <c r="K209"/>
      <c r="L209"/>
    </row>
    <row r="210" spans="1:12" s="3" customFormat="1">
      <c r="A210" s="6">
        <v>158</v>
      </c>
      <c r="B210" s="6">
        <v>159</v>
      </c>
      <c r="C210" t="s">
        <v>19</v>
      </c>
      <c r="D210"/>
      <c r="E210"/>
      <c r="F210"/>
      <c r="G210"/>
      <c r="H210"/>
      <c r="I210"/>
      <c r="J210"/>
      <c r="K210"/>
      <c r="L210"/>
    </row>
    <row r="211" spans="1:12" s="3" customFormat="1">
      <c r="A211" s="6">
        <v>160</v>
      </c>
      <c r="B211" s="6">
        <v>161</v>
      </c>
      <c r="C211" t="s">
        <v>211</v>
      </c>
      <c r="D211"/>
      <c r="E211"/>
      <c r="F211"/>
      <c r="G211"/>
      <c r="H211"/>
      <c r="I211"/>
      <c r="J211"/>
      <c r="K211"/>
      <c r="L211"/>
    </row>
    <row r="212" spans="1:12" s="3" customFormat="1">
      <c r="A212" s="6">
        <v>162</v>
      </c>
      <c r="B212" s="6">
        <v>163</v>
      </c>
      <c r="C212" t="s">
        <v>19</v>
      </c>
      <c r="D212"/>
      <c r="E212"/>
      <c r="F212"/>
      <c r="G212"/>
      <c r="H212"/>
      <c r="I212"/>
      <c r="J212"/>
      <c r="K212"/>
      <c r="L212"/>
    </row>
    <row r="213" spans="1:12" s="3" customFormat="1">
      <c r="A213" s="6">
        <v>164</v>
      </c>
      <c r="B213" s="6">
        <v>165</v>
      </c>
      <c r="C213" t="s">
        <v>19</v>
      </c>
      <c r="D213"/>
      <c r="E213"/>
      <c r="F213"/>
      <c r="G213"/>
      <c r="H213"/>
      <c r="I213"/>
      <c r="J213"/>
      <c r="K213"/>
      <c r="L213"/>
    </row>
    <row r="214" spans="1:12" s="3" customFormat="1">
      <c r="A214" s="6">
        <v>166</v>
      </c>
      <c r="B214" s="6">
        <v>167</v>
      </c>
      <c r="C214" t="s">
        <v>19</v>
      </c>
      <c r="D214"/>
      <c r="E214"/>
      <c r="F214"/>
      <c r="G214"/>
      <c r="H214"/>
      <c r="I214"/>
      <c r="J214"/>
      <c r="K214"/>
      <c r="L214"/>
    </row>
    <row r="215" spans="1:12" s="3" customFormat="1">
      <c r="A215" s="6">
        <v>168</v>
      </c>
      <c r="B215" s="6">
        <v>169</v>
      </c>
      <c r="C215" t="s">
        <v>19</v>
      </c>
      <c r="D215"/>
      <c r="E215"/>
      <c r="F215"/>
      <c r="G215"/>
      <c r="H215"/>
      <c r="I215"/>
      <c r="J215"/>
      <c r="K215"/>
      <c r="L215"/>
    </row>
    <row r="216" spans="1:12" s="3" customFormat="1">
      <c r="A216" s="6">
        <v>170</v>
      </c>
      <c r="B216" s="6">
        <v>171</v>
      </c>
      <c r="C216" t="s">
        <v>212</v>
      </c>
      <c r="D216"/>
      <c r="E216"/>
      <c r="F216"/>
      <c r="G216"/>
      <c r="H216"/>
      <c r="I216"/>
      <c r="J216"/>
      <c r="K216"/>
      <c r="L216"/>
    </row>
    <row r="217" spans="1:12" s="3" customFormat="1">
      <c r="A217" s="6">
        <v>172</v>
      </c>
      <c r="B217" s="6">
        <v>173</v>
      </c>
      <c r="C217" t="s">
        <v>19</v>
      </c>
      <c r="D217"/>
      <c r="E217"/>
      <c r="F217"/>
      <c r="G217"/>
      <c r="H217"/>
      <c r="I217"/>
      <c r="J217"/>
      <c r="K217"/>
      <c r="L217"/>
    </row>
    <row r="218" spans="1:12" s="3" customFormat="1">
      <c r="A218" s="6">
        <v>174</v>
      </c>
      <c r="B218" s="6">
        <v>175</v>
      </c>
      <c r="C218" t="s">
        <v>19</v>
      </c>
      <c r="D218"/>
      <c r="E218"/>
      <c r="F218"/>
      <c r="G218"/>
      <c r="H218"/>
      <c r="I218"/>
      <c r="J218"/>
      <c r="K218"/>
      <c r="L218"/>
    </row>
    <row r="219" spans="1:12" s="3" customFormat="1">
      <c r="A219" s="6">
        <v>176</v>
      </c>
      <c r="B219" s="6">
        <v>177</v>
      </c>
      <c r="C219" t="s">
        <v>19</v>
      </c>
      <c r="D219"/>
      <c r="E219"/>
      <c r="F219"/>
      <c r="G219"/>
      <c r="H219"/>
      <c r="I219"/>
      <c r="J219"/>
      <c r="K219"/>
      <c r="L219"/>
    </row>
    <row r="220" spans="1:12" s="3" customFormat="1">
      <c r="A220" s="6">
        <v>178</v>
      </c>
      <c r="B220" s="6">
        <v>179</v>
      </c>
      <c r="C220" t="s">
        <v>19</v>
      </c>
      <c r="D220"/>
      <c r="E220"/>
      <c r="F220"/>
      <c r="G220"/>
      <c r="H220"/>
      <c r="I220"/>
      <c r="J220"/>
      <c r="K220"/>
      <c r="L220"/>
    </row>
    <row r="221" spans="1:12" s="3" customFormat="1">
      <c r="A221" s="6">
        <v>180</v>
      </c>
      <c r="B221" s="6">
        <v>181</v>
      </c>
      <c r="C221" t="s">
        <v>213</v>
      </c>
      <c r="D221"/>
      <c r="E221"/>
      <c r="F221"/>
      <c r="G221"/>
      <c r="H221"/>
      <c r="I221"/>
      <c r="J221"/>
      <c r="K221"/>
      <c r="L221"/>
    </row>
    <row r="222" spans="1:12" s="3" customFormat="1">
      <c r="A222" s="6">
        <v>182</v>
      </c>
      <c r="B222" s="6">
        <v>183</v>
      </c>
      <c r="C222" t="s">
        <v>19</v>
      </c>
      <c r="D222"/>
      <c r="E222"/>
      <c r="F222"/>
      <c r="G222"/>
      <c r="H222"/>
      <c r="I222"/>
      <c r="J222"/>
      <c r="K222"/>
      <c r="L222"/>
    </row>
    <row r="223" spans="1:12" s="3" customFormat="1">
      <c r="A223" s="6">
        <v>184</v>
      </c>
      <c r="B223" s="6">
        <v>185</v>
      </c>
      <c r="C223" t="s">
        <v>19</v>
      </c>
      <c r="D223"/>
      <c r="E223"/>
      <c r="F223"/>
      <c r="G223"/>
      <c r="H223"/>
      <c r="I223"/>
      <c r="J223"/>
      <c r="K223"/>
      <c r="L223"/>
    </row>
    <row r="224" spans="1:12" s="3" customFormat="1">
      <c r="A224" s="6">
        <v>186</v>
      </c>
      <c r="B224" s="6">
        <v>187</v>
      </c>
      <c r="C224" t="s">
        <v>19</v>
      </c>
      <c r="D224"/>
      <c r="E224"/>
      <c r="F224"/>
      <c r="G224"/>
      <c r="H224"/>
      <c r="I224"/>
      <c r="J224"/>
      <c r="K224"/>
      <c r="L224"/>
    </row>
    <row r="225" spans="1:12" s="3" customFormat="1">
      <c r="A225" s="6">
        <v>188</v>
      </c>
      <c r="B225" s="6">
        <v>189</v>
      </c>
      <c r="C225" t="s">
        <v>19</v>
      </c>
      <c r="D225"/>
      <c r="E225"/>
      <c r="F225"/>
      <c r="G225"/>
      <c r="H225"/>
      <c r="I225"/>
      <c r="J225"/>
      <c r="K225"/>
      <c r="L225"/>
    </row>
    <row r="226" spans="1:12" s="3" customFormat="1">
      <c r="A226" s="6">
        <v>190</v>
      </c>
      <c r="B226" s="6">
        <v>191</v>
      </c>
      <c r="C226" t="s">
        <v>214</v>
      </c>
      <c r="D226"/>
      <c r="E226"/>
      <c r="F226"/>
      <c r="G226"/>
      <c r="H226"/>
      <c r="I226"/>
      <c r="J226"/>
      <c r="K226"/>
      <c r="L226"/>
    </row>
    <row r="227" spans="1:12" s="3" customFormat="1">
      <c r="A227" s="6">
        <v>192</v>
      </c>
      <c r="B227" s="6">
        <v>193</v>
      </c>
      <c r="C227" t="s">
        <v>19</v>
      </c>
      <c r="D227"/>
      <c r="E227"/>
      <c r="F227"/>
      <c r="G227"/>
      <c r="H227"/>
      <c r="I227"/>
      <c r="J227"/>
      <c r="K227"/>
      <c r="L227"/>
    </row>
    <row r="228" spans="1:12" s="3" customFormat="1">
      <c r="A228" s="6">
        <v>194</v>
      </c>
      <c r="B228" s="6">
        <v>195</v>
      </c>
      <c r="C228" t="s">
        <v>19</v>
      </c>
      <c r="D228"/>
      <c r="E228"/>
      <c r="F228"/>
      <c r="G228"/>
      <c r="H228"/>
      <c r="I228"/>
      <c r="J228"/>
      <c r="K228"/>
      <c r="L228"/>
    </row>
    <row r="229" spans="1:12" s="3" customFormat="1">
      <c r="A229" s="6">
        <v>196</v>
      </c>
      <c r="B229" s="6">
        <v>197</v>
      </c>
      <c r="C229" t="s">
        <v>19</v>
      </c>
      <c r="D229"/>
      <c r="E229"/>
      <c r="F229"/>
      <c r="G229"/>
      <c r="H229"/>
      <c r="I229"/>
      <c r="J229"/>
      <c r="K229"/>
      <c r="L229"/>
    </row>
    <row r="230" spans="1:12" s="3" customFormat="1">
      <c r="A230" s="6">
        <v>198</v>
      </c>
      <c r="B230" s="6">
        <v>199</v>
      </c>
      <c r="C230" t="s">
        <v>19</v>
      </c>
      <c r="D230"/>
      <c r="E230"/>
      <c r="F230"/>
      <c r="G230"/>
      <c r="H230"/>
      <c r="I230"/>
      <c r="J230"/>
      <c r="K230"/>
      <c r="L230"/>
    </row>
    <row r="231" spans="1:12" s="3" customFormat="1">
      <c r="A231" t="s">
        <v>19</v>
      </c>
      <c r="B231" s="24"/>
      <c r="C231" s="17"/>
      <c r="I231" t="s">
        <v>51</v>
      </c>
    </row>
    <row r="232" spans="1:12" s="3" customFormat="1">
      <c r="A232" t="s">
        <v>26</v>
      </c>
      <c r="B232" t="s">
        <v>19</v>
      </c>
      <c r="C232" s="17"/>
    </row>
    <row r="233" spans="1:12" s="3" customFormat="1">
      <c r="A233" s="8">
        <v>0</v>
      </c>
      <c r="B233" s="6">
        <v>0</v>
      </c>
      <c r="C233" s="6">
        <v>0</v>
      </c>
      <c r="D233" t="s">
        <v>19</v>
      </c>
      <c r="F233" t="s">
        <v>52</v>
      </c>
    </row>
    <row r="234" spans="1:12" s="3" customFormat="1">
      <c r="A234" s="8">
        <v>0</v>
      </c>
      <c r="B234" s="6">
        <v>0</v>
      </c>
      <c r="C234" s="6">
        <v>0</v>
      </c>
      <c r="D234" t="s">
        <v>19</v>
      </c>
      <c r="F234" t="s">
        <v>55</v>
      </c>
    </row>
    <row r="235" spans="1:12" s="3" customFormat="1">
      <c r="A235" s="8">
        <v>0</v>
      </c>
      <c r="B235" s="6">
        <v>0</v>
      </c>
      <c r="C235" s="6">
        <v>0</v>
      </c>
      <c r="D235" t="s">
        <v>19</v>
      </c>
      <c r="F235" t="s">
        <v>54</v>
      </c>
    </row>
    <row r="236" spans="1:12" s="3" customFormat="1">
      <c r="A236" s="8">
        <v>0</v>
      </c>
      <c r="B236" s="6">
        <v>0</v>
      </c>
      <c r="C236" s="6">
        <v>0</v>
      </c>
      <c r="D236" t="s">
        <v>19</v>
      </c>
      <c r="F236" t="s">
        <v>53</v>
      </c>
    </row>
    <row r="237" spans="1:12" s="3" customFormat="1">
      <c r="A237" s="8">
        <v>0</v>
      </c>
      <c r="B237" t="s">
        <v>19</v>
      </c>
      <c r="C237" s="17"/>
      <c r="F237" t="s">
        <v>56</v>
      </c>
    </row>
    <row r="238" spans="1:12" s="3" customFormat="1">
      <c r="A238" s="8">
        <v>0</v>
      </c>
      <c r="B238" t="s">
        <v>19</v>
      </c>
      <c r="C238" s="17"/>
      <c r="F238" t="s">
        <v>56</v>
      </c>
    </row>
    <row r="239" spans="1:12" s="3" customFormat="1">
      <c r="A239" s="8">
        <v>0</v>
      </c>
      <c r="B239" t="s">
        <v>19</v>
      </c>
      <c r="C239" s="17"/>
      <c r="F239" t="s">
        <v>56</v>
      </c>
    </row>
    <row r="240" spans="1:12" s="3" customFormat="1">
      <c r="A240" s="8">
        <v>0</v>
      </c>
      <c r="B240" t="s">
        <v>19</v>
      </c>
      <c r="C240" s="17"/>
      <c r="F240" t="s">
        <v>56</v>
      </c>
    </row>
    <row r="241" spans="1:9" s="3" customFormat="1">
      <c r="A241" t="s">
        <v>57</v>
      </c>
      <c r="B241" t="s">
        <v>19</v>
      </c>
      <c r="C241" s="17"/>
    </row>
    <row r="242" spans="1:9" s="3" customFormat="1">
      <c r="A242" s="28" t="s">
        <v>58</v>
      </c>
      <c r="B242" s="29" t="s">
        <v>59</v>
      </c>
      <c r="C242" s="30" t="s">
        <v>60</v>
      </c>
      <c r="D242" s="30" t="s">
        <v>61</v>
      </c>
    </row>
    <row r="243" spans="1:9" s="3" customFormat="1">
      <c r="A243" s="6">
        <f>HEX2DEC(42)</f>
        <v>66</v>
      </c>
      <c r="B243" s="6">
        <f>HEX2DEC(40)</f>
        <v>64</v>
      </c>
      <c r="C243" s="6">
        <f>HEX2DEC(41)</f>
        <v>65</v>
      </c>
      <c r="D243" s="19">
        <v>0</v>
      </c>
      <c r="E243" t="s">
        <v>19</v>
      </c>
      <c r="F243" t="s">
        <v>62</v>
      </c>
    </row>
    <row r="244" spans="1:9" s="3" customFormat="1">
      <c r="A244" s="6">
        <f t="shared" ref="A244:A250" si="3">HEX2DEC(42)</f>
        <v>66</v>
      </c>
      <c r="B244" s="6">
        <f t="shared" ref="B244:B250" si="4">HEX2DEC(40)</f>
        <v>64</v>
      </c>
      <c r="C244" s="6">
        <f t="shared" ref="C244:C250" si="5">HEX2DEC(41)</f>
        <v>65</v>
      </c>
      <c r="D244" s="19">
        <v>0</v>
      </c>
      <c r="E244" t="s">
        <v>19</v>
      </c>
      <c r="F244" t="s">
        <v>63</v>
      </c>
    </row>
    <row r="245" spans="1:9" s="3" customFormat="1">
      <c r="A245" s="6">
        <f t="shared" si="3"/>
        <v>66</v>
      </c>
      <c r="B245" s="6">
        <f t="shared" si="4"/>
        <v>64</v>
      </c>
      <c r="C245" s="6">
        <f t="shared" si="5"/>
        <v>65</v>
      </c>
      <c r="D245" s="19">
        <v>0</v>
      </c>
      <c r="E245" t="s">
        <v>19</v>
      </c>
      <c r="F245" t="s">
        <v>64</v>
      </c>
    </row>
    <row r="246" spans="1:9" s="3" customFormat="1">
      <c r="A246" s="6">
        <f t="shared" si="3"/>
        <v>66</v>
      </c>
      <c r="B246" s="6">
        <f t="shared" si="4"/>
        <v>64</v>
      </c>
      <c r="C246" s="6">
        <f t="shared" si="5"/>
        <v>65</v>
      </c>
      <c r="D246" s="19">
        <v>0</v>
      </c>
      <c r="E246" t="s">
        <v>19</v>
      </c>
      <c r="F246" t="s">
        <v>65</v>
      </c>
    </row>
    <row r="247" spans="1:9" s="3" customFormat="1">
      <c r="A247" s="6">
        <f t="shared" si="3"/>
        <v>66</v>
      </c>
      <c r="B247" s="6">
        <f t="shared" si="4"/>
        <v>64</v>
      </c>
      <c r="C247" s="6">
        <f t="shared" si="5"/>
        <v>65</v>
      </c>
      <c r="D247" s="19">
        <v>0</v>
      </c>
      <c r="E247" t="s">
        <v>19</v>
      </c>
      <c r="F247" t="s">
        <v>66</v>
      </c>
    </row>
    <row r="248" spans="1:9" s="3" customFormat="1">
      <c r="A248" s="6">
        <f t="shared" si="3"/>
        <v>66</v>
      </c>
      <c r="B248" s="6">
        <f t="shared" si="4"/>
        <v>64</v>
      </c>
      <c r="C248" s="6">
        <f t="shared" si="5"/>
        <v>65</v>
      </c>
      <c r="D248" s="19">
        <v>0</v>
      </c>
      <c r="E248" t="s">
        <v>19</v>
      </c>
      <c r="F248" t="s">
        <v>67</v>
      </c>
    </row>
    <row r="249" spans="1:9" s="3" customFormat="1">
      <c r="A249" s="6">
        <f t="shared" si="3"/>
        <v>66</v>
      </c>
      <c r="B249" s="6">
        <f t="shared" si="4"/>
        <v>64</v>
      </c>
      <c r="C249" s="6">
        <f t="shared" si="5"/>
        <v>65</v>
      </c>
      <c r="D249" s="19">
        <v>0</v>
      </c>
      <c r="E249" t="s">
        <v>19</v>
      </c>
      <c r="F249" t="s">
        <v>68</v>
      </c>
    </row>
    <row r="250" spans="1:9" s="3" customFormat="1">
      <c r="A250" s="6">
        <f t="shared" si="3"/>
        <v>66</v>
      </c>
      <c r="B250" s="6">
        <f t="shared" si="4"/>
        <v>64</v>
      </c>
      <c r="C250" s="6">
        <f t="shared" si="5"/>
        <v>65</v>
      </c>
      <c r="D250" s="19">
        <v>0</v>
      </c>
      <c r="E250" t="s">
        <v>19</v>
      </c>
      <c r="F250" t="s">
        <v>69</v>
      </c>
    </row>
    <row r="251" spans="1:9" s="3" customFormat="1">
      <c r="A251" t="s">
        <v>19</v>
      </c>
      <c r="B251" s="27"/>
      <c r="C251" s="18"/>
      <c r="D251" s="18"/>
    </row>
    <row r="252" spans="1:9" s="3" customFormat="1">
      <c r="A252" t="s">
        <v>19</v>
      </c>
      <c r="B252" s="24"/>
      <c r="C252" s="17"/>
      <c r="I252" t="s">
        <v>70</v>
      </c>
    </row>
    <row r="253" spans="1:9" s="3" customFormat="1">
      <c r="A253" t="s">
        <v>26</v>
      </c>
      <c r="B253" t="s">
        <v>19</v>
      </c>
      <c r="C253" s="17"/>
    </row>
    <row r="254" spans="1:9" s="3" customFormat="1">
      <c r="A254" s="8">
        <v>255</v>
      </c>
      <c r="B254" s="6">
        <v>255</v>
      </c>
      <c r="C254" s="6">
        <v>255</v>
      </c>
      <c r="D254" t="s">
        <v>19</v>
      </c>
      <c r="F254" t="s">
        <v>74</v>
      </c>
    </row>
    <row r="255" spans="1:9" s="3" customFormat="1">
      <c r="A255" s="8">
        <v>0</v>
      </c>
      <c r="B255" s="8">
        <v>0</v>
      </c>
      <c r="C255" s="8">
        <v>0</v>
      </c>
      <c r="D255" t="s">
        <v>19</v>
      </c>
      <c r="F255" t="s">
        <v>75</v>
      </c>
    </row>
    <row r="256" spans="1:9" s="3" customFormat="1">
      <c r="A256" s="8">
        <v>255</v>
      </c>
      <c r="B256" s="6">
        <v>255</v>
      </c>
      <c r="C256" s="6">
        <v>255</v>
      </c>
      <c r="D256" t="s">
        <v>19</v>
      </c>
      <c r="F256" t="s">
        <v>76</v>
      </c>
    </row>
    <row r="257" spans="1:6" s="3" customFormat="1">
      <c r="A257" s="8">
        <v>0</v>
      </c>
      <c r="B257" s="8">
        <v>0</v>
      </c>
      <c r="C257" s="8">
        <v>0</v>
      </c>
      <c r="F257" t="s">
        <v>77</v>
      </c>
    </row>
    <row r="258" spans="1:6" s="3" customFormat="1">
      <c r="A258" s="8">
        <v>255</v>
      </c>
      <c r="B258" s="6">
        <v>255</v>
      </c>
      <c r="C258" s="6">
        <v>255</v>
      </c>
      <c r="D258" t="s">
        <v>19</v>
      </c>
      <c r="F258" t="s">
        <v>79</v>
      </c>
    </row>
    <row r="259" spans="1:6" s="3" customFormat="1">
      <c r="A259" s="8">
        <v>0</v>
      </c>
      <c r="B259" s="8">
        <v>0</v>
      </c>
      <c r="C259" s="8">
        <v>0</v>
      </c>
      <c r="F259" t="s">
        <v>78</v>
      </c>
    </row>
    <row r="260" spans="1:6" s="3" customFormat="1">
      <c r="A260" s="8">
        <v>255</v>
      </c>
      <c r="B260" s="6">
        <v>255</v>
      </c>
      <c r="C260" s="6">
        <v>255</v>
      </c>
      <c r="D260" t="s">
        <v>19</v>
      </c>
      <c r="F260" t="s">
        <v>80</v>
      </c>
    </row>
    <row r="261" spans="1:6" s="3" customFormat="1">
      <c r="A261" s="8">
        <v>0</v>
      </c>
      <c r="B261" s="6">
        <v>0</v>
      </c>
      <c r="C261" s="6">
        <v>0</v>
      </c>
      <c r="D261" t="s">
        <v>19</v>
      </c>
      <c r="F261" t="s">
        <v>81</v>
      </c>
    </row>
    <row r="262" spans="1:6" s="3" customFormat="1">
      <c r="A262" s="8">
        <v>0</v>
      </c>
      <c r="B262" s="6">
        <v>0</v>
      </c>
      <c r="C262" s="6">
        <v>0</v>
      </c>
      <c r="D262" t="s">
        <v>19</v>
      </c>
      <c r="F262" t="s">
        <v>71</v>
      </c>
    </row>
    <row r="263" spans="1:6" s="3" customFormat="1">
      <c r="A263" s="8">
        <v>0</v>
      </c>
      <c r="B263" s="6">
        <v>0</v>
      </c>
      <c r="C263" s="6">
        <v>0</v>
      </c>
      <c r="D263" t="s">
        <v>19</v>
      </c>
      <c r="F263" t="s">
        <v>56</v>
      </c>
    </row>
    <row r="264" spans="1:6" s="3" customFormat="1">
      <c r="A264" t="s">
        <v>57</v>
      </c>
      <c r="B264" t="s">
        <v>19</v>
      </c>
      <c r="C264" s="17"/>
    </row>
    <row r="265" spans="1:6" s="3" customFormat="1">
      <c r="A265" s="28" t="s">
        <v>58</v>
      </c>
      <c r="B265" s="29" t="s">
        <v>59</v>
      </c>
      <c r="C265" s="30" t="s">
        <v>72</v>
      </c>
      <c r="D265" s="30" t="s">
        <v>73</v>
      </c>
    </row>
    <row r="266" spans="1:6" s="3" customFormat="1">
      <c r="A266" s="6">
        <f>HEX2DEC(42)</f>
        <v>66</v>
      </c>
      <c r="B266" s="6">
        <f>HEX2DEC(40)</f>
        <v>64</v>
      </c>
      <c r="C266" s="6">
        <f>HEX2DEC(530)</f>
        <v>1328</v>
      </c>
      <c r="D266" s="6">
        <f>HEX2DEC(30)</f>
        <v>48</v>
      </c>
      <c r="E266" t="s">
        <v>19</v>
      </c>
      <c r="F266" t="s">
        <v>62</v>
      </c>
    </row>
    <row r="267" spans="1:6" s="3" customFormat="1">
      <c r="A267" s="6">
        <f t="shared" ref="A267:A273" si="6">HEX2DEC(42)</f>
        <v>66</v>
      </c>
      <c r="B267" s="6">
        <f t="shared" ref="B267:B273" si="7">HEX2DEC(40)</f>
        <v>64</v>
      </c>
      <c r="C267" s="6">
        <f t="shared" ref="C267:C273" si="8">HEX2DEC(530)</f>
        <v>1328</v>
      </c>
      <c r="D267" s="6">
        <f t="shared" ref="D267:D273" si="9">HEX2DEC(30)</f>
        <v>48</v>
      </c>
      <c r="E267" t="s">
        <v>19</v>
      </c>
      <c r="F267" t="s">
        <v>63</v>
      </c>
    </row>
    <row r="268" spans="1:6" s="3" customFormat="1">
      <c r="A268" s="6">
        <f t="shared" si="6"/>
        <v>66</v>
      </c>
      <c r="B268" s="6">
        <f t="shared" si="7"/>
        <v>64</v>
      </c>
      <c r="C268" s="6">
        <f t="shared" si="8"/>
        <v>1328</v>
      </c>
      <c r="D268" s="6">
        <f t="shared" si="9"/>
        <v>48</v>
      </c>
      <c r="E268" t="s">
        <v>19</v>
      </c>
      <c r="F268" t="s">
        <v>64</v>
      </c>
    </row>
    <row r="269" spans="1:6" s="3" customFormat="1">
      <c r="A269" s="6">
        <f t="shared" si="6"/>
        <v>66</v>
      </c>
      <c r="B269" s="6">
        <f t="shared" si="7"/>
        <v>64</v>
      </c>
      <c r="C269" s="6">
        <f t="shared" si="8"/>
        <v>1328</v>
      </c>
      <c r="D269" s="6">
        <f t="shared" si="9"/>
        <v>48</v>
      </c>
      <c r="E269" t="s">
        <v>19</v>
      </c>
      <c r="F269" t="s">
        <v>65</v>
      </c>
    </row>
    <row r="270" spans="1:6" s="3" customFormat="1">
      <c r="A270" s="6">
        <f t="shared" si="6"/>
        <v>66</v>
      </c>
      <c r="B270" s="6">
        <f t="shared" si="7"/>
        <v>64</v>
      </c>
      <c r="C270" s="6">
        <f t="shared" si="8"/>
        <v>1328</v>
      </c>
      <c r="D270" s="6">
        <f t="shared" si="9"/>
        <v>48</v>
      </c>
      <c r="E270" t="s">
        <v>19</v>
      </c>
      <c r="F270" t="s">
        <v>66</v>
      </c>
    </row>
    <row r="271" spans="1:6" s="3" customFormat="1">
      <c r="A271" s="6">
        <f t="shared" si="6"/>
        <v>66</v>
      </c>
      <c r="B271" s="6">
        <f t="shared" si="7"/>
        <v>64</v>
      </c>
      <c r="C271" s="6">
        <f t="shared" si="8"/>
        <v>1328</v>
      </c>
      <c r="D271" s="6">
        <f t="shared" si="9"/>
        <v>48</v>
      </c>
      <c r="E271" t="s">
        <v>19</v>
      </c>
      <c r="F271" t="s">
        <v>67</v>
      </c>
    </row>
    <row r="272" spans="1:6" s="3" customFormat="1">
      <c r="A272" s="6">
        <f t="shared" si="6"/>
        <v>66</v>
      </c>
      <c r="B272" s="6">
        <f t="shared" si="7"/>
        <v>64</v>
      </c>
      <c r="C272" s="6">
        <f t="shared" si="8"/>
        <v>1328</v>
      </c>
      <c r="D272" s="6">
        <f t="shared" si="9"/>
        <v>48</v>
      </c>
      <c r="E272" t="s">
        <v>19</v>
      </c>
      <c r="F272" t="s">
        <v>68</v>
      </c>
    </row>
    <row r="273" spans="1:16" s="3" customFormat="1">
      <c r="A273" s="6">
        <f t="shared" si="6"/>
        <v>66</v>
      </c>
      <c r="B273" s="6">
        <f t="shared" si="7"/>
        <v>64</v>
      </c>
      <c r="C273" s="6">
        <f t="shared" si="8"/>
        <v>1328</v>
      </c>
      <c r="D273" s="6">
        <f t="shared" si="9"/>
        <v>48</v>
      </c>
      <c r="E273" t="s">
        <v>19</v>
      </c>
      <c r="F273" t="s">
        <v>69</v>
      </c>
    </row>
    <row r="274" spans="1:16">
      <c r="A274" s="31" t="s">
        <v>7</v>
      </c>
      <c r="B274" s="12">
        <f>B47+1</f>
        <v>7</v>
      </c>
      <c r="C274" s="15" t="s">
        <v>83</v>
      </c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</row>
    <row r="275" spans="1:16">
      <c r="A275" s="2" t="s">
        <v>92</v>
      </c>
      <c r="B275" s="33"/>
      <c r="C275" s="17"/>
      <c r="D275" s="3"/>
      <c r="E275" s="3"/>
      <c r="F275" s="3"/>
      <c r="G275" s="3"/>
      <c r="H275" s="3"/>
      <c r="I275" t="s">
        <v>90</v>
      </c>
      <c r="J275" s="3"/>
      <c r="K275" s="3"/>
      <c r="L275" s="3"/>
      <c r="M275" s="3"/>
      <c r="N275" s="3"/>
      <c r="O275" s="3"/>
      <c r="P275" s="3"/>
    </row>
    <row r="276" spans="1:16">
      <c r="A276" s="1" t="s">
        <v>5</v>
      </c>
      <c r="B276" s="2" t="s">
        <v>6</v>
      </c>
      <c r="J276" s="32"/>
      <c r="K276" s="32"/>
      <c r="L276" s="32"/>
      <c r="M276" s="32"/>
      <c r="N276" s="32"/>
      <c r="O276" s="32"/>
      <c r="P276" s="32"/>
    </row>
    <row r="277" spans="1:16">
      <c r="A277" s="6">
        <v>0</v>
      </c>
      <c r="B277" s="6">
        <v>0</v>
      </c>
      <c r="C277" s="6">
        <v>0</v>
      </c>
      <c r="D277" t="s">
        <v>6</v>
      </c>
      <c r="E277" t="s">
        <v>84</v>
      </c>
      <c r="I277" s="32"/>
      <c r="J277" s="32"/>
      <c r="K277" s="32"/>
      <c r="L277" s="32"/>
      <c r="M277" s="32"/>
      <c r="N277" s="32"/>
      <c r="O277" s="32"/>
      <c r="P277" s="32"/>
    </row>
    <row r="278" spans="1:16">
      <c r="A278" s="6">
        <v>0</v>
      </c>
      <c r="B278" s="6">
        <v>0</v>
      </c>
      <c r="C278" s="6">
        <v>0</v>
      </c>
      <c r="D278" t="s">
        <v>6</v>
      </c>
      <c r="E278" t="s">
        <v>85</v>
      </c>
      <c r="I278" s="32"/>
      <c r="J278" s="32"/>
      <c r="K278" s="32"/>
      <c r="L278" s="32"/>
      <c r="M278" s="32"/>
      <c r="N278" s="32"/>
      <c r="O278" s="32"/>
      <c r="P278" s="32"/>
    </row>
    <row r="279" spans="1:16">
      <c r="A279" s="6">
        <v>0</v>
      </c>
      <c r="B279" s="6">
        <v>0</v>
      </c>
      <c r="C279" s="6">
        <v>0</v>
      </c>
      <c r="D279" t="s">
        <v>6</v>
      </c>
      <c r="E279" t="s">
        <v>86</v>
      </c>
      <c r="I279" s="32"/>
      <c r="J279" s="32"/>
      <c r="K279" s="32"/>
      <c r="L279" s="32"/>
      <c r="M279" s="32"/>
      <c r="N279" s="32"/>
      <c r="O279" s="32"/>
      <c r="P279" s="32"/>
    </row>
    <row r="280" spans="1:16">
      <c r="A280" s="6">
        <v>0</v>
      </c>
      <c r="B280" s="6">
        <v>162</v>
      </c>
      <c r="C280" s="6">
        <v>232</v>
      </c>
      <c r="E280" t="s">
        <v>105</v>
      </c>
      <c r="I280" s="32"/>
      <c r="J280" s="32"/>
      <c r="K280" s="32"/>
      <c r="L280" s="32"/>
      <c r="M280" s="32"/>
      <c r="N280" s="32"/>
      <c r="O280" s="32"/>
      <c r="P280" s="32"/>
    </row>
    <row r="281" spans="1:16">
      <c r="A281" s="6">
        <v>0</v>
      </c>
      <c r="B281" s="2" t="s">
        <v>6</v>
      </c>
      <c r="E281" t="s">
        <v>9</v>
      </c>
      <c r="I281" s="32"/>
      <c r="J281" s="32"/>
      <c r="K281" s="32"/>
      <c r="L281" s="32"/>
      <c r="M281" s="32"/>
      <c r="N281" s="32"/>
      <c r="O281" s="32"/>
      <c r="P281" s="32"/>
    </row>
    <row r="282" spans="1:16">
      <c r="A282" s="6">
        <v>0</v>
      </c>
      <c r="B282" s="2" t="s">
        <v>6</v>
      </c>
      <c r="E282" t="s">
        <v>9</v>
      </c>
      <c r="I282" s="32"/>
      <c r="J282" s="32"/>
      <c r="K282" s="32"/>
      <c r="L282" s="32"/>
      <c r="M282" s="32"/>
      <c r="N282" s="32"/>
      <c r="O282" s="32"/>
      <c r="P282" s="32"/>
    </row>
    <row r="283" spans="1:16">
      <c r="A283" s="6">
        <v>0</v>
      </c>
      <c r="B283" s="2" t="s">
        <v>6</v>
      </c>
      <c r="E283" t="s">
        <v>9</v>
      </c>
      <c r="I283" s="32"/>
      <c r="J283" s="32"/>
      <c r="K283" s="32"/>
      <c r="L283" s="32"/>
      <c r="M283" s="32"/>
      <c r="N283" s="32"/>
      <c r="O283" s="32"/>
      <c r="P283" s="32"/>
    </row>
    <row r="284" spans="1:16">
      <c r="A284" s="6">
        <v>0</v>
      </c>
      <c r="B284" s="2" t="s">
        <v>6</v>
      </c>
      <c r="E284" t="s">
        <v>9</v>
      </c>
      <c r="I284" s="32"/>
      <c r="J284" s="32"/>
      <c r="K284" s="32"/>
      <c r="L284" s="32"/>
      <c r="M284" s="32"/>
      <c r="N284" s="32"/>
      <c r="O284" s="32"/>
      <c r="P284" s="32"/>
    </row>
    <row r="285" spans="1:16">
      <c r="A285" s="2" t="s">
        <v>6</v>
      </c>
      <c r="I285" s="32"/>
      <c r="J285" s="32"/>
      <c r="K285" s="32"/>
      <c r="L285" s="32"/>
      <c r="M285" s="32"/>
      <c r="N285" s="32"/>
      <c r="O285" s="32"/>
      <c r="P285" s="32"/>
    </row>
    <row r="286" spans="1:16">
      <c r="A286" s="1" t="s">
        <v>57</v>
      </c>
      <c r="B286" s="2" t="s">
        <v>6</v>
      </c>
      <c r="I286" s="32"/>
      <c r="J286" s="32"/>
      <c r="K286" s="32"/>
      <c r="L286" s="32"/>
      <c r="M286" s="32"/>
      <c r="N286" s="32"/>
      <c r="O286" s="32"/>
      <c r="P286" s="32"/>
    </row>
    <row r="287" spans="1:16">
      <c r="A287" s="2" t="s">
        <v>87</v>
      </c>
      <c r="B287" s="2"/>
      <c r="I287" s="32"/>
      <c r="J287" s="32"/>
      <c r="K287" s="32"/>
      <c r="L287" s="32"/>
      <c r="M287" s="32"/>
      <c r="N287" s="32"/>
      <c r="O287" s="32"/>
      <c r="P287" s="32"/>
    </row>
    <row r="288" spans="1:16">
      <c r="A288" s="6">
        <f>HEX2DEC(42)</f>
        <v>66</v>
      </c>
      <c r="B288" s="6">
        <f>HEX2DEC(50)</f>
        <v>80</v>
      </c>
      <c r="C288" s="6">
        <f>HEX2DEC(530)</f>
        <v>1328</v>
      </c>
      <c r="D288" s="6">
        <f>HEX2DEC(0)</f>
        <v>0</v>
      </c>
      <c r="E288" s="2" t="s">
        <v>94</v>
      </c>
      <c r="F288" t="s">
        <v>62</v>
      </c>
      <c r="G288" s="3"/>
      <c r="I288" s="32"/>
      <c r="J288" s="32"/>
      <c r="K288" s="32"/>
      <c r="L288" s="32"/>
      <c r="M288" s="32"/>
      <c r="N288" s="32"/>
      <c r="O288" s="32"/>
      <c r="P288" s="32"/>
    </row>
    <row r="289" spans="1:16">
      <c r="A289" s="6">
        <f>HEX2DEC(42)</f>
        <v>66</v>
      </c>
      <c r="B289" s="6">
        <f>HEX2DEC(50)</f>
        <v>80</v>
      </c>
      <c r="C289" s="6">
        <f t="shared" ref="C289:C295" si="10">HEX2DEC(530)</f>
        <v>1328</v>
      </c>
      <c r="D289" s="6">
        <f t="shared" ref="D289:D295" si="11">HEX2DEC(0)</f>
        <v>0</v>
      </c>
      <c r="E289" s="2" t="s">
        <v>6</v>
      </c>
      <c r="F289" t="s">
        <v>63</v>
      </c>
      <c r="G289" s="3"/>
      <c r="I289" s="32"/>
      <c r="J289" s="32"/>
      <c r="K289" s="32"/>
      <c r="L289" s="32"/>
      <c r="M289" s="32"/>
      <c r="N289" s="32"/>
      <c r="O289" s="32"/>
      <c r="P289" s="32"/>
    </row>
    <row r="290" spans="1:16">
      <c r="A290" s="6">
        <f t="shared" ref="A290:A295" si="12">HEX2DEC(42)</f>
        <v>66</v>
      </c>
      <c r="B290" s="6">
        <f t="shared" ref="B290:B295" si="13">HEX2DEC(50)</f>
        <v>80</v>
      </c>
      <c r="C290" s="6">
        <f t="shared" si="10"/>
        <v>1328</v>
      </c>
      <c r="D290" s="6">
        <f t="shared" si="11"/>
        <v>0</v>
      </c>
      <c r="E290" s="2" t="s">
        <v>6</v>
      </c>
      <c r="F290" t="s">
        <v>64</v>
      </c>
      <c r="G290" s="3"/>
      <c r="I290" s="32"/>
      <c r="J290" s="32"/>
      <c r="K290" s="32"/>
      <c r="L290" s="32"/>
      <c r="M290" s="32"/>
      <c r="N290" s="32"/>
      <c r="O290" s="32"/>
      <c r="P290" s="32"/>
    </row>
    <row r="291" spans="1:16">
      <c r="A291" s="6">
        <f t="shared" si="12"/>
        <v>66</v>
      </c>
      <c r="B291" s="6">
        <f t="shared" si="13"/>
        <v>80</v>
      </c>
      <c r="C291" s="6">
        <f t="shared" si="10"/>
        <v>1328</v>
      </c>
      <c r="D291" s="6">
        <f t="shared" si="11"/>
        <v>0</v>
      </c>
      <c r="E291" s="2" t="s">
        <v>6</v>
      </c>
      <c r="F291" t="s">
        <v>65</v>
      </c>
      <c r="G291" s="3"/>
      <c r="I291" s="32"/>
      <c r="J291" s="32"/>
      <c r="K291" s="32"/>
      <c r="L291" s="32"/>
      <c r="M291" s="32"/>
      <c r="N291" s="32"/>
      <c r="O291" s="32"/>
      <c r="P291" s="32"/>
    </row>
    <row r="292" spans="1:16">
      <c r="A292" s="6">
        <f t="shared" si="12"/>
        <v>66</v>
      </c>
      <c r="B292" s="6">
        <f t="shared" si="13"/>
        <v>80</v>
      </c>
      <c r="C292" s="6">
        <f t="shared" si="10"/>
        <v>1328</v>
      </c>
      <c r="D292" s="6">
        <f t="shared" si="11"/>
        <v>0</v>
      </c>
      <c r="E292" s="2" t="s">
        <v>6</v>
      </c>
      <c r="F292" t="s">
        <v>66</v>
      </c>
      <c r="G292" s="3"/>
      <c r="I292" s="32"/>
      <c r="J292" s="32"/>
      <c r="K292" s="32"/>
      <c r="L292" s="32"/>
      <c r="M292" s="32"/>
      <c r="N292" s="32"/>
      <c r="O292" s="32"/>
      <c r="P292" s="32"/>
    </row>
    <row r="293" spans="1:16">
      <c r="A293" s="6">
        <f t="shared" si="12"/>
        <v>66</v>
      </c>
      <c r="B293" s="6">
        <f t="shared" si="13"/>
        <v>80</v>
      </c>
      <c r="C293" s="6">
        <f t="shared" si="10"/>
        <v>1328</v>
      </c>
      <c r="D293" s="6">
        <f t="shared" si="11"/>
        <v>0</v>
      </c>
      <c r="E293" s="2" t="s">
        <v>95</v>
      </c>
      <c r="F293" t="s">
        <v>67</v>
      </c>
      <c r="G293" s="3"/>
      <c r="I293" s="32"/>
      <c r="J293" s="32"/>
      <c r="K293" s="32"/>
      <c r="L293" s="32"/>
      <c r="M293" s="32"/>
      <c r="N293" s="32"/>
      <c r="O293" s="32"/>
      <c r="P293" s="32"/>
    </row>
    <row r="294" spans="1:16">
      <c r="A294" s="6">
        <f t="shared" si="12"/>
        <v>66</v>
      </c>
      <c r="B294" s="6">
        <f t="shared" si="13"/>
        <v>80</v>
      </c>
      <c r="C294" s="6">
        <f t="shared" si="10"/>
        <v>1328</v>
      </c>
      <c r="D294" s="6">
        <f t="shared" si="11"/>
        <v>0</v>
      </c>
      <c r="E294" s="2" t="s">
        <v>6</v>
      </c>
      <c r="F294" t="s">
        <v>68</v>
      </c>
      <c r="G294" s="3"/>
      <c r="I294" s="32"/>
      <c r="J294" s="32"/>
      <c r="K294" s="32"/>
      <c r="L294" s="32"/>
      <c r="M294" s="32"/>
      <c r="N294" s="32"/>
      <c r="O294" s="32"/>
      <c r="P294" s="32"/>
    </row>
    <row r="295" spans="1:16">
      <c r="A295" s="6">
        <f t="shared" si="12"/>
        <v>66</v>
      </c>
      <c r="B295" s="6">
        <f t="shared" si="13"/>
        <v>80</v>
      </c>
      <c r="C295" s="6">
        <f t="shared" si="10"/>
        <v>1328</v>
      </c>
      <c r="D295" s="6">
        <f t="shared" si="11"/>
        <v>0</v>
      </c>
      <c r="E295" s="2" t="s">
        <v>6</v>
      </c>
      <c r="F295" t="s">
        <v>69</v>
      </c>
      <c r="G295" s="3"/>
      <c r="I295" s="32"/>
      <c r="J295" s="32"/>
      <c r="K295" s="32"/>
      <c r="L295" s="32"/>
      <c r="M295" s="32"/>
      <c r="N295" s="32"/>
      <c r="O295" s="32"/>
      <c r="P295" s="32"/>
    </row>
    <row r="296" spans="1:16">
      <c r="A296" t="s">
        <v>93</v>
      </c>
      <c r="I296" t="s">
        <v>91</v>
      </c>
      <c r="J296" s="32"/>
      <c r="K296" s="32"/>
      <c r="L296" s="32"/>
      <c r="M296" s="32"/>
      <c r="N296" s="32"/>
      <c r="O296" s="32"/>
      <c r="P296" s="32"/>
    </row>
    <row r="297" spans="1:16">
      <c r="A297" s="1" t="s">
        <v>5</v>
      </c>
      <c r="B297" s="2" t="s">
        <v>6</v>
      </c>
      <c r="I297" s="32"/>
      <c r="J297" s="32"/>
      <c r="K297" s="32"/>
      <c r="L297" s="32"/>
      <c r="M297" s="32"/>
      <c r="N297" s="32"/>
      <c r="O297" s="32"/>
      <c r="P297" s="32"/>
    </row>
    <row r="298" spans="1:16">
      <c r="A298" s="6">
        <v>0</v>
      </c>
      <c r="B298" s="6">
        <v>0</v>
      </c>
      <c r="C298" s="6">
        <v>0</v>
      </c>
      <c r="D298" t="s">
        <v>94</v>
      </c>
      <c r="F298" s="34" t="s">
        <v>96</v>
      </c>
      <c r="I298" s="32"/>
      <c r="J298" s="32"/>
      <c r="K298" s="32"/>
      <c r="L298" s="32"/>
      <c r="M298" s="32"/>
      <c r="N298" s="32"/>
      <c r="O298" s="32"/>
      <c r="P298" s="32"/>
    </row>
    <row r="299" spans="1:16">
      <c r="A299" s="6">
        <v>0</v>
      </c>
      <c r="B299" s="6">
        <v>0</v>
      </c>
      <c r="C299" s="6">
        <v>0</v>
      </c>
      <c r="D299" t="s">
        <v>6</v>
      </c>
      <c r="F299" s="34" t="s">
        <v>97</v>
      </c>
      <c r="I299" s="32"/>
      <c r="J299" s="32"/>
      <c r="K299" s="32"/>
      <c r="L299" s="32"/>
      <c r="M299" s="32"/>
      <c r="N299" s="32"/>
      <c r="O299" s="32"/>
      <c r="P299" s="32"/>
    </row>
    <row r="300" spans="1:16">
      <c r="A300" s="6">
        <v>0</v>
      </c>
      <c r="B300" s="6">
        <v>0</v>
      </c>
      <c r="C300" s="6">
        <v>0</v>
      </c>
      <c r="D300" t="s">
        <v>6</v>
      </c>
      <c r="F300" s="34" t="s">
        <v>98</v>
      </c>
    </row>
    <row r="301" spans="1:16">
      <c r="A301" s="6">
        <v>0</v>
      </c>
      <c r="B301" s="6">
        <v>0</v>
      </c>
      <c r="C301" s="6">
        <v>0</v>
      </c>
      <c r="D301" t="s">
        <v>6</v>
      </c>
      <c r="F301" s="34" t="s">
        <v>99</v>
      </c>
    </row>
    <row r="302" spans="1:16">
      <c r="A302" s="6">
        <v>0</v>
      </c>
      <c r="B302" s="6">
        <v>0</v>
      </c>
      <c r="C302" s="6">
        <v>0</v>
      </c>
      <c r="D302" t="s">
        <v>6</v>
      </c>
      <c r="F302" s="34" t="s">
        <v>100</v>
      </c>
    </row>
    <row r="303" spans="1:16">
      <c r="A303" s="6">
        <v>0</v>
      </c>
      <c r="B303" s="6">
        <v>0</v>
      </c>
      <c r="C303" s="6">
        <v>0</v>
      </c>
      <c r="D303" t="s">
        <v>6</v>
      </c>
      <c r="F303" s="34" t="s">
        <v>101</v>
      </c>
    </row>
    <row r="304" spans="1:16">
      <c r="A304" s="6">
        <v>0</v>
      </c>
      <c r="B304" s="6">
        <v>0</v>
      </c>
      <c r="C304" s="6">
        <v>0</v>
      </c>
      <c r="D304" t="s">
        <v>6</v>
      </c>
      <c r="F304" s="34" t="s">
        <v>102</v>
      </c>
    </row>
    <row r="305" spans="1:6">
      <c r="A305" s="6">
        <v>0</v>
      </c>
      <c r="B305" s="6">
        <v>0</v>
      </c>
      <c r="C305" s="6">
        <v>0</v>
      </c>
      <c r="D305" t="s">
        <v>95</v>
      </c>
      <c r="F305" s="34" t="s">
        <v>103</v>
      </c>
    </row>
    <row r="306" spans="1:6">
      <c r="A306" s="6">
        <v>0</v>
      </c>
      <c r="B306" s="6">
        <v>0</v>
      </c>
      <c r="C306" s="6">
        <v>0</v>
      </c>
      <c r="D306" t="s">
        <v>6</v>
      </c>
      <c r="F306" s="35" t="s">
        <v>104</v>
      </c>
    </row>
    <row r="307" spans="1:6">
      <c r="A307" s="1" t="s">
        <v>57</v>
      </c>
      <c r="B307" s="2" t="s">
        <v>6</v>
      </c>
    </row>
    <row r="308" spans="1:6">
      <c r="A308" s="6">
        <f>HEX2DEC(901)</f>
        <v>2305</v>
      </c>
      <c r="B308" s="2" t="s">
        <v>6</v>
      </c>
      <c r="F308" s="34" t="s">
        <v>106</v>
      </c>
    </row>
    <row r="309" spans="1:6">
      <c r="A309" s="6">
        <f>HEX2DEC(911)</f>
        <v>2321</v>
      </c>
      <c r="B309" s="2" t="s">
        <v>6</v>
      </c>
      <c r="F309" s="34" t="s">
        <v>107</v>
      </c>
    </row>
    <row r="310" spans="1:6">
      <c r="A310" s="6">
        <f>HEX2DEC(911)</f>
        <v>2321</v>
      </c>
      <c r="B310" s="2" t="s">
        <v>6</v>
      </c>
      <c r="F310" s="34" t="s">
        <v>108</v>
      </c>
    </row>
    <row r="311" spans="1:6">
      <c r="A311" s="8">
        <f>HEX2DEC(30)</f>
        <v>48</v>
      </c>
      <c r="B311" s="2" t="s">
        <v>6</v>
      </c>
      <c r="F311" s="34" t="s">
        <v>109</v>
      </c>
    </row>
    <row r="312" spans="1:6">
      <c r="A312" s="8">
        <f>HEX2DEC(70)</f>
        <v>112</v>
      </c>
      <c r="B312" s="2" t="s">
        <v>6</v>
      </c>
      <c r="F312" s="34" t="s">
        <v>110</v>
      </c>
    </row>
    <row r="313" spans="1:6">
      <c r="A313" s="6">
        <f>HEX2DEC(30)</f>
        <v>48</v>
      </c>
      <c r="B313" s="2" t="s">
        <v>6</v>
      </c>
      <c r="F313" s="34" t="s">
        <v>111</v>
      </c>
    </row>
    <row r="314" spans="1:6">
      <c r="A314" s="6">
        <f>HEX2DEC(20)</f>
        <v>32</v>
      </c>
      <c r="B314" s="2" t="s">
        <v>6</v>
      </c>
      <c r="F314" s="34" t="s">
        <v>112</v>
      </c>
    </row>
    <row r="315" spans="1:6">
      <c r="A315" s="6">
        <f>HEX2DEC(40)</f>
        <v>64</v>
      </c>
      <c r="B315" s="2" t="s">
        <v>6</v>
      </c>
      <c r="F315" s="34" t="s">
        <v>113</v>
      </c>
    </row>
    <row r="316" spans="1:6">
      <c r="A316" s="8">
        <f>HEX2DEC(0)</f>
        <v>0</v>
      </c>
      <c r="B316" s="2" t="s">
        <v>6</v>
      </c>
      <c r="F316" s="35" t="s">
        <v>114</v>
      </c>
    </row>
    <row r="317" spans="1:6">
      <c r="A317" s="2" t="s">
        <v>219</v>
      </c>
    </row>
    <row r="318" spans="1:6">
      <c r="A318" s="2" t="s">
        <v>220</v>
      </c>
    </row>
    <row r="319" spans="1:6">
      <c r="A319" s="1" t="s">
        <v>5</v>
      </c>
      <c r="B319" s="2" t="s">
        <v>6</v>
      </c>
    </row>
    <row r="320" spans="1:6">
      <c r="A320" s="6">
        <v>0</v>
      </c>
      <c r="B320" s="6">
        <v>0</v>
      </c>
      <c r="C320" s="6">
        <v>0</v>
      </c>
      <c r="D320" s="2" t="s">
        <v>6</v>
      </c>
      <c r="F320" s="2" t="s">
        <v>221</v>
      </c>
    </row>
    <row r="321" spans="1:6">
      <c r="A321" s="6">
        <v>0</v>
      </c>
      <c r="B321" s="2" t="s">
        <v>6</v>
      </c>
      <c r="F321" s="16" t="s">
        <v>223</v>
      </c>
    </row>
    <row r="322" spans="1:6">
      <c r="A322" s="6">
        <v>0</v>
      </c>
      <c r="B322" s="2" t="s">
        <v>6</v>
      </c>
      <c r="F322" s="16" t="s">
        <v>223</v>
      </c>
    </row>
    <row r="323" spans="1:6">
      <c r="A323" s="6">
        <v>0</v>
      </c>
      <c r="B323" s="2" t="s">
        <v>6</v>
      </c>
      <c r="F323" s="16" t="s">
        <v>223</v>
      </c>
    </row>
    <row r="324" spans="1:6">
      <c r="A324" s="6">
        <v>0</v>
      </c>
      <c r="B324" s="2" t="s">
        <v>6</v>
      </c>
      <c r="F324" s="16" t="s">
        <v>223</v>
      </c>
    </row>
    <row r="325" spans="1:6">
      <c r="A325" s="6">
        <v>0</v>
      </c>
      <c r="B325" s="2" t="s">
        <v>6</v>
      </c>
      <c r="F325" s="16" t="s">
        <v>223</v>
      </c>
    </row>
    <row r="326" spans="1:6">
      <c r="A326" s="2" t="s">
        <v>57</v>
      </c>
      <c r="B326" s="2" t="s">
        <v>6</v>
      </c>
    </row>
    <row r="327" spans="1:6">
      <c r="A327" s="6">
        <f>HEX2DEC(32)</f>
        <v>50</v>
      </c>
      <c r="B327" s="2" t="s">
        <v>6</v>
      </c>
      <c r="F327" t="s">
        <v>222</v>
      </c>
    </row>
    <row r="328" spans="1:6">
      <c r="A328" s="6">
        <v>0</v>
      </c>
      <c r="B328" s="2" t="s">
        <v>6</v>
      </c>
      <c r="F328" s="16" t="s">
        <v>223</v>
      </c>
    </row>
    <row r="329" spans="1:6">
      <c r="A329" s="6">
        <v>0</v>
      </c>
      <c r="B329" s="2" t="s">
        <v>6</v>
      </c>
      <c r="F329" s="16" t="s">
        <v>223</v>
      </c>
    </row>
    <row r="330" spans="1:6">
      <c r="A330" s="6">
        <v>0</v>
      </c>
      <c r="B330" s="2" t="s">
        <v>6</v>
      </c>
      <c r="F330" s="16" t="s">
        <v>223</v>
      </c>
    </row>
    <row r="331" spans="1:6">
      <c r="A331" s="2" t="s">
        <v>224</v>
      </c>
    </row>
    <row r="332" spans="1:6">
      <c r="A332" s="1" t="s">
        <v>5</v>
      </c>
      <c r="B332" s="2" t="s">
        <v>6</v>
      </c>
    </row>
    <row r="333" spans="1:6">
      <c r="A333" s="6">
        <v>0</v>
      </c>
      <c r="B333" s="6">
        <v>0</v>
      </c>
      <c r="C333" s="6">
        <v>0</v>
      </c>
      <c r="D333" s="2" t="s">
        <v>6</v>
      </c>
      <c r="F333" s="2" t="s">
        <v>225</v>
      </c>
    </row>
    <row r="334" spans="1:6">
      <c r="A334" s="6">
        <v>0</v>
      </c>
      <c r="B334" s="6">
        <v>0</v>
      </c>
      <c r="C334" s="6">
        <v>0</v>
      </c>
      <c r="D334" s="2" t="s">
        <v>6</v>
      </c>
      <c r="F334" s="2" t="s">
        <v>226</v>
      </c>
    </row>
    <row r="335" spans="1:6">
      <c r="A335" s="6">
        <v>0</v>
      </c>
      <c r="B335" s="6">
        <v>0</v>
      </c>
      <c r="C335" s="6">
        <v>0</v>
      </c>
      <c r="D335" s="2" t="s">
        <v>6</v>
      </c>
      <c r="F335" s="2" t="s">
        <v>227</v>
      </c>
    </row>
    <row r="336" spans="1:6">
      <c r="A336" s="6">
        <v>0</v>
      </c>
      <c r="B336" s="6">
        <v>0</v>
      </c>
      <c r="C336" s="6">
        <v>0</v>
      </c>
      <c r="D336" s="2" t="s">
        <v>6</v>
      </c>
      <c r="F336" s="2" t="s">
        <v>228</v>
      </c>
    </row>
    <row r="337" spans="1:17">
      <c r="A337" s="6">
        <v>0</v>
      </c>
      <c r="B337" s="6">
        <v>0</v>
      </c>
      <c r="C337" s="6">
        <v>0</v>
      </c>
      <c r="D337" s="2" t="s">
        <v>6</v>
      </c>
      <c r="F337" s="2" t="s">
        <v>229</v>
      </c>
    </row>
    <row r="338" spans="1:17">
      <c r="A338" s="6">
        <v>0</v>
      </c>
      <c r="B338" s="6">
        <v>0</v>
      </c>
      <c r="C338" s="6">
        <v>0</v>
      </c>
      <c r="D338" s="2" t="s">
        <v>6</v>
      </c>
      <c r="F338" s="2" t="s">
        <v>230</v>
      </c>
    </row>
    <row r="339" spans="1:17">
      <c r="A339" s="6">
        <v>0</v>
      </c>
      <c r="B339" s="6">
        <v>0</v>
      </c>
      <c r="C339" s="6">
        <v>0</v>
      </c>
      <c r="D339" s="2" t="s">
        <v>6</v>
      </c>
      <c r="F339" s="2" t="s">
        <v>231</v>
      </c>
    </row>
    <row r="340" spans="1:17">
      <c r="A340" s="6">
        <v>0</v>
      </c>
      <c r="B340" s="6">
        <v>0</v>
      </c>
      <c r="C340" s="6">
        <v>0</v>
      </c>
      <c r="D340" s="2" t="s">
        <v>6</v>
      </c>
      <c r="F340" s="2" t="s">
        <v>232</v>
      </c>
    </row>
    <row r="341" spans="1:17">
      <c r="A341" s="2" t="s">
        <v>57</v>
      </c>
      <c r="B341" s="2" t="s">
        <v>6</v>
      </c>
    </row>
    <row r="342" spans="1:17">
      <c r="A342" s="6">
        <f>HEX2DEC(70)</f>
        <v>112</v>
      </c>
      <c r="B342" s="2" t="s">
        <v>6</v>
      </c>
      <c r="F342" t="s">
        <v>233</v>
      </c>
    </row>
    <row r="343" spans="1:17">
      <c r="A343" s="6">
        <f>HEX2DEC(70)</f>
        <v>112</v>
      </c>
      <c r="B343" s="2" t="s">
        <v>6</v>
      </c>
      <c r="F343" t="s">
        <v>234</v>
      </c>
    </row>
    <row r="344" spans="1:17">
      <c r="A344" s="6">
        <f t="shared" ref="A344:A349" si="14">HEX2DEC(70)</f>
        <v>112</v>
      </c>
      <c r="B344" s="2" t="s">
        <v>6</v>
      </c>
      <c r="F344" t="s">
        <v>235</v>
      </c>
    </row>
    <row r="345" spans="1:17">
      <c r="A345" s="6">
        <f t="shared" si="14"/>
        <v>112</v>
      </c>
      <c r="B345" s="2" t="s">
        <v>6</v>
      </c>
      <c r="F345" t="s">
        <v>236</v>
      </c>
    </row>
    <row r="346" spans="1:17">
      <c r="A346" s="6">
        <f t="shared" si="14"/>
        <v>112</v>
      </c>
      <c r="B346" s="2" t="s">
        <v>6</v>
      </c>
      <c r="F346" t="s">
        <v>237</v>
      </c>
    </row>
    <row r="347" spans="1:17">
      <c r="A347" s="6">
        <f t="shared" si="14"/>
        <v>112</v>
      </c>
      <c r="B347" s="2" t="s">
        <v>6</v>
      </c>
      <c r="F347" t="s">
        <v>238</v>
      </c>
    </row>
    <row r="348" spans="1:17">
      <c r="A348" s="6">
        <f t="shared" si="14"/>
        <v>112</v>
      </c>
      <c r="B348" s="2" t="s">
        <v>6</v>
      </c>
      <c r="F348" t="s">
        <v>239</v>
      </c>
    </row>
    <row r="349" spans="1:17">
      <c r="A349" s="6">
        <f t="shared" si="14"/>
        <v>112</v>
      </c>
      <c r="B349" s="2" t="s">
        <v>6</v>
      </c>
      <c r="F349" t="s">
        <v>240</v>
      </c>
    </row>
    <row r="350" spans="1:17">
      <c r="A350" s="10" t="s">
        <v>241</v>
      </c>
      <c r="B350" s="12">
        <f>B274+1</f>
        <v>8</v>
      </c>
      <c r="C350" s="10" t="s">
        <v>268</v>
      </c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</row>
    <row r="351" spans="1:17">
      <c r="A351" s="10" t="s">
        <v>241</v>
      </c>
      <c r="B351" s="12">
        <f>B350+1</f>
        <v>9</v>
      </c>
      <c r="C351" s="10" t="s">
        <v>267</v>
      </c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</row>
    <row r="352" spans="1:17">
      <c r="A352" s="1" t="s">
        <v>5</v>
      </c>
      <c r="B352" s="2" t="s">
        <v>6</v>
      </c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</row>
    <row r="353" spans="1:17">
      <c r="A353" s="6">
        <v>40</v>
      </c>
      <c r="B353" s="6">
        <v>78</v>
      </c>
      <c r="C353" s="6" t="s">
        <v>263</v>
      </c>
      <c r="D353" s="2" t="s">
        <v>6</v>
      </c>
      <c r="E353" s="3"/>
      <c r="F353" s="3" t="s">
        <v>264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</row>
    <row r="354" spans="1:17">
      <c r="A354" s="6">
        <v>0</v>
      </c>
      <c r="B354" s="24" t="s">
        <v>266</v>
      </c>
      <c r="C354" s="7"/>
      <c r="D354" s="2"/>
      <c r="E354" s="3"/>
      <c r="F354" s="3" t="s">
        <v>265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</row>
    <row r="355" spans="1:17">
      <c r="A355" s="6">
        <v>0</v>
      </c>
      <c r="B355" s="24" t="s">
        <v>266</v>
      </c>
      <c r="C355" s="7"/>
      <c r="D355" s="2"/>
      <c r="E355" s="3"/>
      <c r="F355" s="3" t="s">
        <v>265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</row>
    <row r="356" spans="1:17">
      <c r="A356" s="6">
        <v>0</v>
      </c>
      <c r="B356" s="24" t="s">
        <v>266</v>
      </c>
      <c r="C356" s="7"/>
      <c r="D356" s="2"/>
      <c r="E356" s="3"/>
      <c r="F356" s="3" t="s">
        <v>265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</row>
    <row r="357" spans="1:17">
      <c r="A357" s="6">
        <v>0</v>
      </c>
      <c r="B357" s="24" t="s">
        <v>266</v>
      </c>
      <c r="C357" s="7"/>
      <c r="D357" s="2"/>
      <c r="E357" s="3"/>
      <c r="F357" s="3" t="s">
        <v>265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</row>
    <row r="358" spans="1:17">
      <c r="A358" s="6">
        <v>0</v>
      </c>
      <c r="B358" s="24" t="s">
        <v>266</v>
      </c>
      <c r="C358" s="7"/>
      <c r="D358" s="2"/>
      <c r="E358" s="3"/>
      <c r="F358" s="3" t="s">
        <v>265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</row>
    <row r="359" spans="1:17">
      <c r="A359" s="24" t="s">
        <v>266</v>
      </c>
      <c r="C359" s="7"/>
      <c r="D359" s="2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</row>
    <row r="360" spans="1:17">
      <c r="A360" s="10" t="s">
        <v>241</v>
      </c>
      <c r="B360" s="12">
        <f>B351+1</f>
        <v>10</v>
      </c>
      <c r="C360" s="10" t="s">
        <v>242</v>
      </c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</row>
    <row r="361" spans="1:17">
      <c r="A361" s="42" t="s">
        <v>269</v>
      </c>
      <c r="B361" s="42"/>
      <c r="D361" s="39"/>
      <c r="E361" s="39"/>
    </row>
    <row r="362" spans="1:17">
      <c r="A362" s="46" t="s">
        <v>322</v>
      </c>
      <c r="B362" s="45" t="s">
        <v>270</v>
      </c>
      <c r="F362" s="41"/>
    </row>
    <row r="363" spans="1:17">
      <c r="A363" s="49">
        <v>1</v>
      </c>
      <c r="B363" s="49">
        <v>1543</v>
      </c>
      <c r="F363" s="47" t="s">
        <v>291</v>
      </c>
    </row>
    <row r="364" spans="1:17">
      <c r="A364" s="49">
        <v>2</v>
      </c>
      <c r="B364" s="49">
        <v>1542</v>
      </c>
      <c r="F364" s="47" t="s">
        <v>271</v>
      </c>
    </row>
    <row r="365" spans="1:17">
      <c r="A365" s="49">
        <v>7</v>
      </c>
      <c r="B365" s="49">
        <v>1537</v>
      </c>
      <c r="F365" s="47" t="s">
        <v>292</v>
      </c>
    </row>
    <row r="366" spans="1:17">
      <c r="A366" s="49">
        <v>8</v>
      </c>
      <c r="B366" s="49">
        <v>1536</v>
      </c>
      <c r="F366" s="47" t="s">
        <v>293</v>
      </c>
    </row>
    <row r="367" spans="1:17">
      <c r="A367" s="49">
        <v>10</v>
      </c>
      <c r="B367" s="49">
        <v>1550</v>
      </c>
      <c r="F367" s="47" t="s">
        <v>294</v>
      </c>
    </row>
    <row r="368" spans="1:17">
      <c r="A368" s="49">
        <v>3</v>
      </c>
      <c r="B368" s="49">
        <v>1541</v>
      </c>
      <c r="F368" s="47" t="s">
        <v>272</v>
      </c>
    </row>
    <row r="369" spans="1:6">
      <c r="A369" s="49">
        <v>4</v>
      </c>
      <c r="B369" s="49">
        <v>1540</v>
      </c>
      <c r="F369" s="47" t="s">
        <v>273</v>
      </c>
    </row>
    <row r="370" spans="1:6">
      <c r="A370" s="49">
        <v>9</v>
      </c>
      <c r="B370" s="49">
        <v>1551</v>
      </c>
      <c r="F370" s="47" t="s">
        <v>274</v>
      </c>
    </row>
    <row r="371" spans="1:6">
      <c r="A371" s="49">
        <v>57</v>
      </c>
      <c r="B371" s="49">
        <v>1599</v>
      </c>
      <c r="F371" s="48" t="s">
        <v>295</v>
      </c>
    </row>
    <row r="372" spans="1:6">
      <c r="A372" s="49">
        <v>12</v>
      </c>
      <c r="B372" s="49">
        <v>1548</v>
      </c>
      <c r="F372" s="47" t="s">
        <v>275</v>
      </c>
    </row>
    <row r="373" spans="1:6">
      <c r="A373" s="49">
        <v>18</v>
      </c>
      <c r="B373" s="49">
        <v>1558</v>
      </c>
      <c r="F373" s="47" t="s">
        <v>276</v>
      </c>
    </row>
    <row r="374" spans="1:6">
      <c r="A374" s="49">
        <v>16</v>
      </c>
      <c r="B374" s="49">
        <v>1544</v>
      </c>
      <c r="F374" s="47" t="s">
        <v>296</v>
      </c>
    </row>
    <row r="375" spans="1:6">
      <c r="A375" s="49">
        <v>28</v>
      </c>
      <c r="B375" s="49">
        <v>1564</v>
      </c>
      <c r="F375" s="47" t="s">
        <v>297</v>
      </c>
    </row>
    <row r="376" spans="1:6">
      <c r="A376" s="49">
        <v>19</v>
      </c>
      <c r="B376" s="49">
        <v>1557</v>
      </c>
      <c r="F376" s="47" t="s">
        <v>298</v>
      </c>
    </row>
    <row r="377" spans="1:6">
      <c r="A377" s="49">
        <v>17</v>
      </c>
      <c r="B377" s="49">
        <v>1559</v>
      </c>
      <c r="F377" s="47" t="s">
        <v>277</v>
      </c>
    </row>
    <row r="378" spans="1:6">
      <c r="A378" s="49">
        <v>23</v>
      </c>
      <c r="B378" s="49">
        <v>1553</v>
      </c>
      <c r="F378" s="48" t="s">
        <v>278</v>
      </c>
    </row>
    <row r="379" spans="1:6">
      <c r="A379" s="49">
        <v>24</v>
      </c>
      <c r="B379" s="49">
        <v>1552</v>
      </c>
      <c r="F379" s="48" t="s">
        <v>279</v>
      </c>
    </row>
    <row r="380" spans="1:6">
      <c r="A380" s="49">
        <v>13</v>
      </c>
      <c r="B380" s="49">
        <v>1547</v>
      </c>
      <c r="F380" s="48" t="s">
        <v>280</v>
      </c>
    </row>
    <row r="381" spans="1:6">
      <c r="A381" s="49">
        <v>6</v>
      </c>
      <c r="B381" s="49">
        <v>1538</v>
      </c>
      <c r="F381" s="47" t="s">
        <v>299</v>
      </c>
    </row>
    <row r="382" spans="1:6">
      <c r="A382" s="49">
        <v>5</v>
      </c>
      <c r="B382" s="49">
        <v>1539</v>
      </c>
      <c r="F382" s="47" t="s">
        <v>300</v>
      </c>
    </row>
    <row r="383" spans="1:6">
      <c r="A383" s="49">
        <v>15</v>
      </c>
      <c r="B383" s="49">
        <v>1545</v>
      </c>
      <c r="F383" s="48" t="s">
        <v>281</v>
      </c>
    </row>
    <row r="384" spans="1:6">
      <c r="A384" s="49">
        <v>14</v>
      </c>
      <c r="B384" s="49">
        <v>1546</v>
      </c>
      <c r="F384" s="48" t="s">
        <v>282</v>
      </c>
    </row>
    <row r="385" spans="1:6">
      <c r="A385" s="49">
        <v>38</v>
      </c>
      <c r="B385" s="49">
        <v>1570</v>
      </c>
      <c r="F385" s="48" t="s">
        <v>301</v>
      </c>
    </row>
    <row r="386" spans="1:6">
      <c r="A386" s="49">
        <v>48</v>
      </c>
      <c r="B386" s="49">
        <v>1576</v>
      </c>
      <c r="F386" s="47" t="s">
        <v>302</v>
      </c>
    </row>
    <row r="387" spans="1:6">
      <c r="A387" s="50">
        <v>40</v>
      </c>
      <c r="B387" s="50">
        <v>1568</v>
      </c>
      <c r="F387" s="47" t="s">
        <v>283</v>
      </c>
    </row>
    <row r="388" spans="1:6">
      <c r="A388" s="50">
        <v>41</v>
      </c>
      <c r="B388" s="50">
        <v>1583</v>
      </c>
      <c r="F388" s="47" t="s">
        <v>284</v>
      </c>
    </row>
    <row r="389" spans="1:6">
      <c r="A389" s="50">
        <v>42</v>
      </c>
      <c r="B389" s="50">
        <v>1582</v>
      </c>
      <c r="F389" s="47" t="s">
        <v>285</v>
      </c>
    </row>
    <row r="390" spans="1:6">
      <c r="A390" s="50">
        <v>43</v>
      </c>
      <c r="B390" s="50">
        <v>1581</v>
      </c>
      <c r="F390" s="47" t="s">
        <v>286</v>
      </c>
    </row>
    <row r="391" spans="1:6">
      <c r="A391" s="50">
        <v>49</v>
      </c>
      <c r="B391" s="50">
        <v>1591</v>
      </c>
      <c r="F391" s="47" t="s">
        <v>303</v>
      </c>
    </row>
    <row r="392" spans="1:6">
      <c r="A392" s="50">
        <v>50</v>
      </c>
      <c r="B392" s="50">
        <v>1590</v>
      </c>
      <c r="F392" s="47" t="s">
        <v>304</v>
      </c>
    </row>
    <row r="393" spans="1:6">
      <c r="A393" s="50">
        <v>51</v>
      </c>
      <c r="B393" s="50">
        <v>1589</v>
      </c>
      <c r="F393" s="47" t="s">
        <v>305</v>
      </c>
    </row>
    <row r="394" spans="1:6">
      <c r="A394" s="50">
        <v>52</v>
      </c>
      <c r="B394" s="50">
        <v>1588</v>
      </c>
      <c r="F394" s="47" t="s">
        <v>306</v>
      </c>
    </row>
    <row r="395" spans="1:6">
      <c r="A395" s="50">
        <v>44</v>
      </c>
      <c r="B395" s="50">
        <v>1580</v>
      </c>
      <c r="F395" s="47" t="s">
        <v>307</v>
      </c>
    </row>
    <row r="396" spans="1:6">
      <c r="A396" s="50">
        <v>45</v>
      </c>
      <c r="B396" s="50">
        <v>1579</v>
      </c>
      <c r="F396" s="47" t="s">
        <v>308</v>
      </c>
    </row>
    <row r="397" spans="1:6">
      <c r="A397" s="50">
        <v>46</v>
      </c>
      <c r="B397" s="50">
        <v>1578</v>
      </c>
      <c r="F397" s="47" t="s">
        <v>309</v>
      </c>
    </row>
    <row r="398" spans="1:6">
      <c r="A398" s="50">
        <v>47</v>
      </c>
      <c r="B398" s="50">
        <v>1577</v>
      </c>
      <c r="F398" s="47" t="s">
        <v>310</v>
      </c>
    </row>
    <row r="399" spans="1:6">
      <c r="A399" s="50">
        <v>53</v>
      </c>
      <c r="B399" s="50">
        <v>1587</v>
      </c>
      <c r="F399" s="47" t="s">
        <v>311</v>
      </c>
    </row>
    <row r="400" spans="1:6">
      <c r="A400" s="50">
        <v>54</v>
      </c>
      <c r="B400" s="50">
        <v>1586</v>
      </c>
      <c r="F400" s="47" t="s">
        <v>312</v>
      </c>
    </row>
    <row r="401" spans="1:11">
      <c r="A401" s="50">
        <v>55</v>
      </c>
      <c r="B401" s="50">
        <v>1585</v>
      </c>
      <c r="F401" s="47" t="s">
        <v>313</v>
      </c>
    </row>
    <row r="402" spans="1:11">
      <c r="A402" s="50">
        <v>56</v>
      </c>
      <c r="B402" s="50">
        <v>1584</v>
      </c>
      <c r="F402" s="47" t="s">
        <v>314</v>
      </c>
    </row>
    <row r="403" spans="1:11">
      <c r="A403" s="50">
        <v>39</v>
      </c>
      <c r="B403" s="50">
        <v>1569</v>
      </c>
      <c r="F403" s="47" t="s">
        <v>315</v>
      </c>
    </row>
    <row r="404" spans="1:11">
      <c r="A404" s="50">
        <v>27</v>
      </c>
      <c r="B404" s="50">
        <v>1565</v>
      </c>
      <c r="F404" s="41" t="s">
        <v>316</v>
      </c>
    </row>
    <row r="405" spans="1:11">
      <c r="A405" s="50">
        <v>22</v>
      </c>
      <c r="B405" s="50">
        <v>1554</v>
      </c>
      <c r="F405" s="47" t="s">
        <v>287</v>
      </c>
    </row>
    <row r="406" spans="1:11">
      <c r="A406" s="50">
        <v>21</v>
      </c>
      <c r="B406" s="50">
        <v>1555</v>
      </c>
      <c r="F406" s="48" t="s">
        <v>288</v>
      </c>
    </row>
    <row r="407" spans="1:11">
      <c r="A407" s="50">
        <v>11</v>
      </c>
      <c r="B407" s="50">
        <v>1549</v>
      </c>
      <c r="F407" s="48" t="s">
        <v>289</v>
      </c>
      <c r="K407" s="40"/>
    </row>
    <row r="408" spans="1:11">
      <c r="A408" s="50">
        <v>20</v>
      </c>
      <c r="B408" s="50">
        <v>1556</v>
      </c>
      <c r="F408" s="48" t="s">
        <v>317</v>
      </c>
    </row>
    <row r="409" spans="1:11">
      <c r="A409" s="50">
        <v>25</v>
      </c>
      <c r="B409" s="50">
        <v>1567</v>
      </c>
      <c r="F409" s="47" t="s">
        <v>290</v>
      </c>
    </row>
    <row r="410" spans="1:11">
      <c r="A410" s="50">
        <v>32</v>
      </c>
      <c r="B410" s="50">
        <v>1560</v>
      </c>
      <c r="F410" s="47" t="s">
        <v>318</v>
      </c>
    </row>
    <row r="411" spans="1:11">
      <c r="A411" s="50">
        <v>26</v>
      </c>
      <c r="B411" s="51">
        <v>1566</v>
      </c>
      <c r="F411" s="47" t="s">
        <v>319</v>
      </c>
    </row>
    <row r="412" spans="1:11">
      <c r="A412" s="50">
        <v>29</v>
      </c>
      <c r="B412" s="51">
        <v>1582</v>
      </c>
      <c r="F412" s="47" t="s">
        <v>320</v>
      </c>
    </row>
    <row r="413" spans="1:11">
      <c r="A413" s="50">
        <v>30</v>
      </c>
      <c r="B413" s="51">
        <v>1562</v>
      </c>
      <c r="F413" s="47" t="s">
        <v>321</v>
      </c>
    </row>
    <row r="414" spans="1:11">
      <c r="A414" s="50">
        <v>31</v>
      </c>
      <c r="B414" s="51">
        <v>1561</v>
      </c>
      <c r="F414" s="47" t="s">
        <v>321</v>
      </c>
    </row>
    <row r="415" spans="1:11">
      <c r="A415" s="50">
        <v>33</v>
      </c>
      <c r="B415" s="51">
        <v>1575</v>
      </c>
      <c r="F415" s="47" t="s">
        <v>321</v>
      </c>
    </row>
    <row r="416" spans="1:11">
      <c r="A416" s="50">
        <v>34</v>
      </c>
      <c r="B416" s="51">
        <v>1574</v>
      </c>
      <c r="F416" s="47" t="s">
        <v>321</v>
      </c>
    </row>
    <row r="417" spans="1:16">
      <c r="A417" s="50">
        <v>35</v>
      </c>
      <c r="B417" s="51">
        <v>1573</v>
      </c>
      <c r="F417" s="47" t="s">
        <v>321</v>
      </c>
    </row>
    <row r="418" spans="1:16">
      <c r="A418" s="50">
        <v>36</v>
      </c>
      <c r="B418" s="51">
        <v>1572</v>
      </c>
      <c r="F418" s="47" t="s">
        <v>321</v>
      </c>
    </row>
    <row r="419" spans="1:16">
      <c r="A419" s="50">
        <v>37</v>
      </c>
      <c r="B419" s="51">
        <v>1571</v>
      </c>
      <c r="F419" s="47" t="s">
        <v>321</v>
      </c>
    </row>
    <row r="420" spans="1:16">
      <c r="A420" s="50">
        <v>58</v>
      </c>
      <c r="B420" s="51">
        <v>1598</v>
      </c>
      <c r="F420" s="47" t="s">
        <v>321</v>
      </c>
    </row>
    <row r="421" spans="1:16">
      <c r="A421" s="50">
        <v>59</v>
      </c>
      <c r="B421" s="51">
        <v>1597</v>
      </c>
      <c r="F421" s="47" t="s">
        <v>321</v>
      </c>
    </row>
    <row r="422" spans="1:16">
      <c r="A422" s="50">
        <v>60</v>
      </c>
      <c r="B422" s="51">
        <v>1596</v>
      </c>
      <c r="F422" s="47" t="s">
        <v>321</v>
      </c>
    </row>
    <row r="423" spans="1:16">
      <c r="A423" s="50">
        <v>61</v>
      </c>
      <c r="B423" s="51">
        <v>1595</v>
      </c>
      <c r="F423" s="47" t="s">
        <v>321</v>
      </c>
    </row>
    <row r="424" spans="1:16">
      <c r="A424" s="50">
        <v>62</v>
      </c>
      <c r="B424" s="51">
        <v>1594</v>
      </c>
      <c r="F424" s="47" t="s">
        <v>321</v>
      </c>
    </row>
    <row r="425" spans="1:16">
      <c r="A425" s="50">
        <v>63</v>
      </c>
      <c r="B425" s="51">
        <v>1593</v>
      </c>
      <c r="F425" s="47" t="s">
        <v>321</v>
      </c>
    </row>
    <row r="426" spans="1:16">
      <c r="A426" s="49">
        <v>64</v>
      </c>
      <c r="B426" s="52">
        <v>1592</v>
      </c>
      <c r="F426" s="47" t="s">
        <v>321</v>
      </c>
    </row>
    <row r="427" spans="1:16">
      <c r="A427" s="43" t="s">
        <v>241</v>
      </c>
      <c r="B427" s="44">
        <f>B360+1</f>
        <v>11</v>
      </c>
      <c r="C427" s="10" t="s">
        <v>243</v>
      </c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</row>
    <row r="428" spans="1:16">
      <c r="A428" s="10" t="s">
        <v>241</v>
      </c>
      <c r="B428" s="12">
        <f t="shared" ref="B428:B446" si="15">B427+1</f>
        <v>12</v>
      </c>
      <c r="C428" s="10" t="s">
        <v>244</v>
      </c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</row>
    <row r="429" spans="1:16">
      <c r="A429" s="10" t="s">
        <v>241</v>
      </c>
      <c r="B429" s="12">
        <f t="shared" si="15"/>
        <v>13</v>
      </c>
      <c r="C429" s="10" t="s">
        <v>245</v>
      </c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</row>
    <row r="430" spans="1:16">
      <c r="A430" s="10" t="s">
        <v>241</v>
      </c>
      <c r="B430" s="12">
        <f t="shared" si="15"/>
        <v>14</v>
      </c>
      <c r="C430" s="10" t="s">
        <v>246</v>
      </c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</row>
    <row r="431" spans="1:16">
      <c r="A431" s="10" t="s">
        <v>241</v>
      </c>
      <c r="B431" s="12">
        <f t="shared" si="15"/>
        <v>15</v>
      </c>
      <c r="C431" s="10" t="s">
        <v>247</v>
      </c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</row>
    <row r="432" spans="1:16">
      <c r="A432" s="10" t="s">
        <v>241</v>
      </c>
      <c r="B432" s="12">
        <f t="shared" si="15"/>
        <v>16</v>
      </c>
      <c r="C432" s="10" t="s">
        <v>248</v>
      </c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</row>
    <row r="433" spans="1:16">
      <c r="A433" s="10" t="s">
        <v>241</v>
      </c>
      <c r="B433" s="12">
        <f t="shared" si="15"/>
        <v>17</v>
      </c>
      <c r="C433" s="10" t="s">
        <v>250</v>
      </c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</row>
    <row r="434" spans="1:16">
      <c r="A434" s="10" t="s">
        <v>241</v>
      </c>
      <c r="B434" s="12">
        <f t="shared" si="15"/>
        <v>18</v>
      </c>
      <c r="C434" s="10" t="s">
        <v>251</v>
      </c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</row>
    <row r="435" spans="1:16">
      <c r="A435" s="10" t="s">
        <v>241</v>
      </c>
      <c r="B435" s="12">
        <f t="shared" si="15"/>
        <v>19</v>
      </c>
      <c r="C435" s="10" t="s">
        <v>252</v>
      </c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</row>
    <row r="436" spans="1:16">
      <c r="A436" s="10" t="s">
        <v>241</v>
      </c>
      <c r="B436" s="12">
        <f t="shared" si="15"/>
        <v>20</v>
      </c>
      <c r="C436" s="10" t="s">
        <v>253</v>
      </c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</row>
    <row r="437" spans="1:16">
      <c r="A437" s="10" t="s">
        <v>241</v>
      </c>
      <c r="B437" s="12">
        <f t="shared" si="15"/>
        <v>21</v>
      </c>
      <c r="C437" s="10" t="s">
        <v>249</v>
      </c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</row>
    <row r="438" spans="1:16">
      <c r="A438" s="10" t="s">
        <v>241</v>
      </c>
      <c r="B438" s="12">
        <f t="shared" si="15"/>
        <v>22</v>
      </c>
      <c r="C438" s="10" t="s">
        <v>254</v>
      </c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</row>
    <row r="439" spans="1:16">
      <c r="A439" s="10" t="s">
        <v>241</v>
      </c>
      <c r="B439" s="12">
        <f t="shared" si="15"/>
        <v>23</v>
      </c>
      <c r="C439" s="10" t="s">
        <v>255</v>
      </c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</row>
    <row r="440" spans="1:16">
      <c r="A440" s="10" t="s">
        <v>241</v>
      </c>
      <c r="B440" s="12">
        <f t="shared" si="15"/>
        <v>24</v>
      </c>
      <c r="C440" s="10" t="s">
        <v>256</v>
      </c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</row>
    <row r="441" spans="1:16">
      <c r="A441" s="10" t="s">
        <v>241</v>
      </c>
      <c r="B441" s="12">
        <f t="shared" si="15"/>
        <v>25</v>
      </c>
      <c r="C441" s="10" t="s">
        <v>257</v>
      </c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</row>
    <row r="442" spans="1:16">
      <c r="A442" s="10" t="s">
        <v>241</v>
      </c>
      <c r="B442" s="12">
        <f t="shared" si="15"/>
        <v>26</v>
      </c>
      <c r="C442" s="10" t="s">
        <v>258</v>
      </c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</row>
    <row r="443" spans="1:16">
      <c r="A443" s="10" t="s">
        <v>241</v>
      </c>
      <c r="B443" s="12">
        <f t="shared" si="15"/>
        <v>27</v>
      </c>
      <c r="C443" s="10" t="s">
        <v>259</v>
      </c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</row>
    <row r="444" spans="1:16">
      <c r="A444" s="10" t="s">
        <v>241</v>
      </c>
      <c r="B444" s="12">
        <f t="shared" si="15"/>
        <v>28</v>
      </c>
      <c r="C444" s="10" t="s">
        <v>260</v>
      </c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</row>
    <row r="445" spans="1:16">
      <c r="A445" s="10" t="s">
        <v>241</v>
      </c>
      <c r="B445" s="12">
        <f t="shared" si="15"/>
        <v>29</v>
      </c>
      <c r="C445" s="10" t="s">
        <v>261</v>
      </c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</row>
    <row r="446" spans="1:16">
      <c r="A446" s="10" t="s">
        <v>241</v>
      </c>
      <c r="B446" s="12">
        <f t="shared" si="15"/>
        <v>30</v>
      </c>
      <c r="C446" s="10" t="s">
        <v>262</v>
      </c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</row>
  </sheetData>
  <autoFilter ref="A1:Q273" xr:uid="{00000000-0009-0000-0000-000000000000}"/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pen_set</vt:lpstr>
    </vt:vector>
  </TitlesOfParts>
  <Company>株式会社タイテック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志知 久彰</dc:creator>
  <cp:lastModifiedBy>呉 秀明</cp:lastModifiedBy>
  <dcterms:created xsi:type="dcterms:W3CDTF">2019-06-20T06:13:43Z</dcterms:created>
  <dcterms:modified xsi:type="dcterms:W3CDTF">2021-02-09T09:03:09Z</dcterms:modified>
</cp:coreProperties>
</file>