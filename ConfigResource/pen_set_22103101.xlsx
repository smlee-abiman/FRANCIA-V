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1_3Gpendent\2_客户对应\1_YUIL\2_配置信息\"/>
    </mc:Choice>
  </mc:AlternateContent>
  <bookViews>
    <workbookView xWindow="116685" yWindow="-120" windowWidth="20730" windowHeight="11160"/>
  </bookViews>
  <sheets>
    <sheet name="pen_set" sheetId="1" r:id="rId1"/>
    <sheet name="Sheet1" sheetId="2" r:id="rId2"/>
  </sheets>
  <definedNames>
    <definedName name="_xlnm._FilterDatabase" localSheetId="0" hidden="1">pen_set!$A$1:$Q$309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3" i="1" l="1"/>
  <c r="B72" i="1"/>
  <c r="B71" i="1"/>
  <c r="B70" i="1"/>
  <c r="B69" i="1"/>
  <c r="B68" i="1"/>
  <c r="B67" i="1"/>
  <c r="B66" i="1"/>
  <c r="C2141" i="1" l="1"/>
  <c r="A2141" i="1"/>
  <c r="B2928" i="1" l="1"/>
  <c r="C2928" i="1"/>
  <c r="D2928" i="1"/>
  <c r="E2928" i="1"/>
  <c r="F2928" i="1"/>
  <c r="G2928" i="1"/>
  <c r="H2928" i="1"/>
  <c r="A2928" i="1"/>
  <c r="B2945" i="1" l="1"/>
  <c r="A3726" i="1"/>
  <c r="A3722" i="1" l="1"/>
  <c r="B3053" i="1" l="1"/>
  <c r="C3053" i="1"/>
  <c r="D3053" i="1"/>
  <c r="E3053" i="1"/>
  <c r="F3053" i="1"/>
  <c r="G3053" i="1"/>
  <c r="H3053" i="1"/>
  <c r="A3053" i="1"/>
  <c r="C3706" i="1" l="1"/>
  <c r="B3706" i="1"/>
  <c r="I3706" i="1"/>
  <c r="H3706" i="1"/>
  <c r="G3706" i="1"/>
  <c r="F3706" i="1"/>
  <c r="E3706" i="1"/>
  <c r="D3706" i="1"/>
  <c r="A3706" i="1"/>
  <c r="B2123" i="1"/>
  <c r="B2124" i="1"/>
  <c r="B2125" i="1"/>
  <c r="B2126" i="1"/>
  <c r="B2127" i="1"/>
  <c r="B2128" i="1"/>
  <c r="B2129" i="1"/>
  <c r="B2130" i="1"/>
  <c r="A2130" i="1" l="1"/>
  <c r="C2130" i="1"/>
  <c r="D2130" i="1"/>
  <c r="E2130" i="1"/>
  <c r="F2130" i="1"/>
  <c r="H2130" i="1"/>
  <c r="A2125" i="1"/>
  <c r="C2125" i="1"/>
  <c r="D2125" i="1"/>
  <c r="E2125" i="1"/>
  <c r="F2125" i="1"/>
  <c r="H2125" i="1"/>
  <c r="A2126" i="1"/>
  <c r="C2126" i="1"/>
  <c r="D2126" i="1"/>
  <c r="E2126" i="1"/>
  <c r="F2126" i="1"/>
  <c r="H2126" i="1"/>
  <c r="A2127" i="1"/>
  <c r="C2127" i="1"/>
  <c r="D2127" i="1"/>
  <c r="E2127" i="1"/>
  <c r="F2127" i="1"/>
  <c r="H2127" i="1"/>
  <c r="A2128" i="1"/>
  <c r="C2128" i="1"/>
  <c r="D2128" i="1"/>
  <c r="E2128" i="1"/>
  <c r="F2128" i="1"/>
  <c r="H2128" i="1"/>
  <c r="A2129" i="1"/>
  <c r="C2129" i="1"/>
  <c r="D2129" i="1"/>
  <c r="E2129" i="1"/>
  <c r="F2129" i="1"/>
  <c r="H2129" i="1"/>
  <c r="I2357" i="1"/>
  <c r="J2357" i="1"/>
  <c r="B2357" i="1"/>
  <c r="C2357" i="1"/>
  <c r="D2357" i="1"/>
  <c r="E2357" i="1"/>
  <c r="F2357" i="1"/>
  <c r="G2357" i="1"/>
  <c r="H2357" i="1"/>
  <c r="A2357" i="1"/>
  <c r="D2951" i="1" l="1"/>
  <c r="D2948" i="1"/>
  <c r="D2949" i="1"/>
  <c r="D2945" i="1"/>
  <c r="D2944" i="1"/>
  <c r="D2941" i="1"/>
  <c r="A2341" i="1" l="1"/>
  <c r="D2952" i="1" l="1"/>
  <c r="A410" i="1" l="1"/>
  <c r="A2835" i="1" l="1"/>
  <c r="B3045" i="1" l="1"/>
  <c r="C3045" i="1"/>
  <c r="D3045" i="1"/>
  <c r="E3045" i="1"/>
  <c r="F3045" i="1"/>
  <c r="G3045" i="1"/>
  <c r="H3045" i="1"/>
  <c r="B3046" i="1"/>
  <c r="C3046" i="1"/>
  <c r="D3046" i="1"/>
  <c r="E3046" i="1"/>
  <c r="F3046" i="1"/>
  <c r="G3046" i="1"/>
  <c r="H3046" i="1"/>
  <c r="B3047" i="1"/>
  <c r="C3047" i="1"/>
  <c r="D3047" i="1"/>
  <c r="E3047" i="1"/>
  <c r="F3047" i="1"/>
  <c r="G3047" i="1"/>
  <c r="H3047" i="1"/>
  <c r="B3048" i="1"/>
  <c r="C3048" i="1"/>
  <c r="D3048" i="1"/>
  <c r="E3048" i="1"/>
  <c r="F3048" i="1"/>
  <c r="G3048" i="1"/>
  <c r="H3048" i="1"/>
  <c r="B3052" i="1"/>
  <c r="C3052" i="1"/>
  <c r="D3052" i="1"/>
  <c r="E3052" i="1"/>
  <c r="F3052" i="1"/>
  <c r="G3052" i="1"/>
  <c r="H3052" i="1"/>
  <c r="B3054" i="1"/>
  <c r="C3054" i="1"/>
  <c r="D3054" i="1"/>
  <c r="E3054" i="1"/>
  <c r="F3054" i="1"/>
  <c r="G3054" i="1"/>
  <c r="H3054" i="1"/>
  <c r="B3055" i="1"/>
  <c r="C3055" i="1"/>
  <c r="D3055" i="1"/>
  <c r="E3055" i="1"/>
  <c r="F3055" i="1"/>
  <c r="G3055" i="1"/>
  <c r="H3055" i="1"/>
  <c r="B3056" i="1"/>
  <c r="C3056" i="1"/>
  <c r="D3056" i="1"/>
  <c r="E3056" i="1"/>
  <c r="F3056" i="1"/>
  <c r="G3056" i="1"/>
  <c r="H3056" i="1"/>
  <c r="B3059" i="1"/>
  <c r="C3059" i="1"/>
  <c r="D3059" i="1"/>
  <c r="E3059" i="1"/>
  <c r="F3059" i="1"/>
  <c r="G3059" i="1"/>
  <c r="H3059" i="1"/>
  <c r="B3060" i="1"/>
  <c r="C3060" i="1"/>
  <c r="D3060" i="1"/>
  <c r="E3060" i="1"/>
  <c r="F3060" i="1"/>
  <c r="G3060" i="1"/>
  <c r="H3060" i="1"/>
  <c r="B3061" i="1"/>
  <c r="C3061" i="1"/>
  <c r="D3061" i="1"/>
  <c r="E3061" i="1"/>
  <c r="F3061" i="1"/>
  <c r="G3061" i="1"/>
  <c r="H3061" i="1"/>
  <c r="B3062" i="1"/>
  <c r="C3062" i="1"/>
  <c r="D3062" i="1"/>
  <c r="E3062" i="1"/>
  <c r="F3062" i="1"/>
  <c r="G3062" i="1"/>
  <c r="H3062" i="1"/>
  <c r="B3063" i="1"/>
  <c r="C3063" i="1"/>
  <c r="D3063" i="1"/>
  <c r="E3063" i="1"/>
  <c r="F3063" i="1"/>
  <c r="G3063" i="1"/>
  <c r="H3063" i="1"/>
  <c r="B3066" i="1"/>
  <c r="C3066" i="1"/>
  <c r="D3066" i="1"/>
  <c r="E3066" i="1"/>
  <c r="F3066" i="1"/>
  <c r="G3066" i="1"/>
  <c r="H3066" i="1"/>
  <c r="B3067" i="1"/>
  <c r="C3067" i="1"/>
  <c r="D3067" i="1"/>
  <c r="E3067" i="1"/>
  <c r="F3067" i="1"/>
  <c r="G3067" i="1"/>
  <c r="H3067" i="1"/>
  <c r="B3068" i="1"/>
  <c r="C3068" i="1"/>
  <c r="D3068" i="1"/>
  <c r="E3068" i="1"/>
  <c r="F3068" i="1"/>
  <c r="G3068" i="1"/>
  <c r="H3068" i="1"/>
  <c r="B3069" i="1"/>
  <c r="C3069" i="1"/>
  <c r="D3069" i="1"/>
  <c r="E3069" i="1"/>
  <c r="F3069" i="1"/>
  <c r="G3069" i="1"/>
  <c r="H3069" i="1"/>
  <c r="B3070" i="1"/>
  <c r="C3070" i="1"/>
  <c r="D3070" i="1"/>
  <c r="E3070" i="1"/>
  <c r="F3070" i="1"/>
  <c r="G3070" i="1"/>
  <c r="H3070" i="1"/>
  <c r="B3073" i="1"/>
  <c r="C3073" i="1"/>
  <c r="D3073" i="1"/>
  <c r="E3073" i="1"/>
  <c r="F3073" i="1"/>
  <c r="G3073" i="1"/>
  <c r="H3073" i="1"/>
  <c r="B3074" i="1"/>
  <c r="C3074" i="1"/>
  <c r="D3074" i="1"/>
  <c r="E3074" i="1"/>
  <c r="F3074" i="1"/>
  <c r="G3074" i="1"/>
  <c r="H3074" i="1"/>
  <c r="B3075" i="1"/>
  <c r="C3075" i="1"/>
  <c r="D3075" i="1"/>
  <c r="E3075" i="1"/>
  <c r="F3075" i="1"/>
  <c r="G3075" i="1"/>
  <c r="H3075" i="1"/>
  <c r="B3076" i="1"/>
  <c r="C3076" i="1"/>
  <c r="D3076" i="1"/>
  <c r="E3076" i="1"/>
  <c r="F3076" i="1"/>
  <c r="G3076" i="1"/>
  <c r="H3076" i="1"/>
  <c r="B3077" i="1"/>
  <c r="C3077" i="1"/>
  <c r="D3077" i="1"/>
  <c r="E3077" i="1"/>
  <c r="F3077" i="1"/>
  <c r="G3077" i="1"/>
  <c r="H3077" i="1"/>
  <c r="B3080" i="1"/>
  <c r="C3080" i="1"/>
  <c r="D3080" i="1"/>
  <c r="E3080" i="1"/>
  <c r="F3080" i="1"/>
  <c r="G3080" i="1"/>
  <c r="H3080" i="1"/>
  <c r="B3081" i="1"/>
  <c r="C3081" i="1"/>
  <c r="D3081" i="1"/>
  <c r="E3081" i="1"/>
  <c r="F3081" i="1"/>
  <c r="G3081" i="1"/>
  <c r="H3081" i="1"/>
  <c r="B3082" i="1"/>
  <c r="C3082" i="1"/>
  <c r="D3082" i="1"/>
  <c r="E3082" i="1"/>
  <c r="F3082" i="1"/>
  <c r="G3082" i="1"/>
  <c r="H3082" i="1"/>
  <c r="B3083" i="1"/>
  <c r="C3083" i="1"/>
  <c r="D3083" i="1"/>
  <c r="E3083" i="1"/>
  <c r="F3083" i="1"/>
  <c r="G3083" i="1"/>
  <c r="H3083" i="1"/>
  <c r="B3084" i="1"/>
  <c r="C3084" i="1"/>
  <c r="D3084" i="1"/>
  <c r="E3084" i="1"/>
  <c r="F3084" i="1"/>
  <c r="G3084" i="1"/>
  <c r="H3084" i="1"/>
  <c r="B3087" i="1"/>
  <c r="C3087" i="1"/>
  <c r="D3087" i="1"/>
  <c r="E3087" i="1"/>
  <c r="F3087" i="1"/>
  <c r="G3087" i="1"/>
  <c r="H3087" i="1"/>
  <c r="B3088" i="1"/>
  <c r="C3088" i="1"/>
  <c r="D3088" i="1"/>
  <c r="E3088" i="1"/>
  <c r="F3088" i="1"/>
  <c r="G3088" i="1"/>
  <c r="H3088" i="1"/>
  <c r="B3089" i="1"/>
  <c r="C3089" i="1"/>
  <c r="D3089" i="1"/>
  <c r="E3089" i="1"/>
  <c r="F3089" i="1"/>
  <c r="G3089" i="1"/>
  <c r="H3089" i="1"/>
  <c r="B3090" i="1"/>
  <c r="C3090" i="1"/>
  <c r="D3090" i="1"/>
  <c r="E3090" i="1"/>
  <c r="F3090" i="1"/>
  <c r="G3090" i="1"/>
  <c r="H3090" i="1"/>
  <c r="B3091" i="1"/>
  <c r="C3091" i="1"/>
  <c r="D3091" i="1"/>
  <c r="E3091" i="1"/>
  <c r="F3091" i="1"/>
  <c r="G3091" i="1"/>
  <c r="H3091" i="1"/>
  <c r="B3094" i="1"/>
  <c r="C3094" i="1"/>
  <c r="D3094" i="1"/>
  <c r="E3094" i="1"/>
  <c r="F3094" i="1"/>
  <c r="G3094" i="1"/>
  <c r="H3094" i="1"/>
  <c r="B3095" i="1"/>
  <c r="C3095" i="1"/>
  <c r="D3095" i="1"/>
  <c r="E3095" i="1"/>
  <c r="F3095" i="1"/>
  <c r="G3095" i="1"/>
  <c r="H3095" i="1"/>
  <c r="B3096" i="1"/>
  <c r="C3096" i="1"/>
  <c r="D3096" i="1"/>
  <c r="E3096" i="1"/>
  <c r="F3096" i="1"/>
  <c r="G3096" i="1"/>
  <c r="H3096" i="1"/>
  <c r="B3097" i="1"/>
  <c r="C3097" i="1"/>
  <c r="D3097" i="1"/>
  <c r="E3097" i="1"/>
  <c r="F3097" i="1"/>
  <c r="G3097" i="1"/>
  <c r="H3097" i="1"/>
  <c r="B3098" i="1"/>
  <c r="C3098" i="1"/>
  <c r="D3098" i="1"/>
  <c r="E3098" i="1"/>
  <c r="F3098" i="1"/>
  <c r="G3098" i="1"/>
  <c r="H3098" i="1"/>
  <c r="B3101" i="1"/>
  <c r="C3101" i="1"/>
  <c r="D3101" i="1"/>
  <c r="E3101" i="1"/>
  <c r="F3101" i="1"/>
  <c r="G3101" i="1"/>
  <c r="H3101" i="1"/>
  <c r="B3102" i="1"/>
  <c r="C3102" i="1"/>
  <c r="D3102" i="1"/>
  <c r="E3102" i="1"/>
  <c r="F3102" i="1"/>
  <c r="G3102" i="1"/>
  <c r="H3102" i="1"/>
  <c r="B3103" i="1"/>
  <c r="C3103" i="1"/>
  <c r="D3103" i="1"/>
  <c r="E3103" i="1"/>
  <c r="F3103" i="1"/>
  <c r="G3103" i="1"/>
  <c r="H3103" i="1"/>
  <c r="B3104" i="1"/>
  <c r="C3104" i="1"/>
  <c r="D3104" i="1"/>
  <c r="E3104" i="1"/>
  <c r="F3104" i="1"/>
  <c r="G3104" i="1"/>
  <c r="H3104" i="1"/>
  <c r="B3108" i="1"/>
  <c r="C3108" i="1"/>
  <c r="D3108" i="1"/>
  <c r="E3108" i="1"/>
  <c r="F3108" i="1"/>
  <c r="G3108" i="1"/>
  <c r="H3108" i="1"/>
  <c r="B3109" i="1"/>
  <c r="C3109" i="1"/>
  <c r="D3109" i="1"/>
  <c r="E3109" i="1"/>
  <c r="F3109" i="1"/>
  <c r="G3109" i="1"/>
  <c r="H3109" i="1"/>
  <c r="B3110" i="1"/>
  <c r="C3110" i="1"/>
  <c r="D3110" i="1"/>
  <c r="E3110" i="1"/>
  <c r="F3110" i="1"/>
  <c r="G3110" i="1"/>
  <c r="H3110" i="1"/>
  <c r="B3111" i="1"/>
  <c r="C3111" i="1"/>
  <c r="D3111" i="1"/>
  <c r="E3111" i="1"/>
  <c r="F3111" i="1"/>
  <c r="G3111" i="1"/>
  <c r="H3111" i="1"/>
  <c r="H3167" i="1" l="1"/>
  <c r="B3167" i="1"/>
  <c r="C3167" i="1"/>
  <c r="D3167" i="1"/>
  <c r="E3167" i="1"/>
  <c r="F3167" i="1"/>
  <c r="G3167" i="1"/>
  <c r="A3167" i="1"/>
  <c r="H3153" i="1"/>
  <c r="B3153" i="1"/>
  <c r="C3153" i="1"/>
  <c r="D3153" i="1"/>
  <c r="E3153" i="1"/>
  <c r="F3153" i="1"/>
  <c r="G3153" i="1"/>
  <c r="A3153" i="1"/>
  <c r="B2341" i="1"/>
  <c r="P1032" i="1" l="1"/>
  <c r="N1032" i="1"/>
  <c r="L1032" i="1"/>
  <c r="J1032" i="1"/>
  <c r="H1032" i="1"/>
  <c r="F1032" i="1"/>
  <c r="D1032" i="1"/>
  <c r="B1032" i="1"/>
  <c r="A1032" i="1"/>
  <c r="O1032" i="1"/>
  <c r="M1032" i="1"/>
  <c r="K1032" i="1"/>
  <c r="I1032" i="1"/>
  <c r="G1032" i="1"/>
  <c r="E1032" i="1"/>
  <c r="C1032" i="1"/>
  <c r="D2228" i="1"/>
  <c r="B2228" i="1"/>
  <c r="D2227" i="1"/>
  <c r="B2227" i="1"/>
  <c r="D2226" i="1"/>
  <c r="B2226" i="1"/>
  <c r="D2225" i="1"/>
  <c r="B2225" i="1"/>
  <c r="D2224" i="1"/>
  <c r="B2224" i="1"/>
  <c r="D2223" i="1"/>
  <c r="B2223" i="1"/>
  <c r="D2222" i="1"/>
  <c r="B2222" i="1"/>
  <c r="D2221" i="1"/>
  <c r="B2221" i="1"/>
  <c r="D2220" i="1"/>
  <c r="B2220" i="1"/>
  <c r="D2219" i="1"/>
  <c r="B2219" i="1"/>
  <c r="D2218" i="1"/>
  <c r="B2218" i="1"/>
  <c r="D2217" i="1"/>
  <c r="B2217" i="1"/>
  <c r="D2216" i="1"/>
  <c r="B2216" i="1"/>
  <c r="D2215" i="1"/>
  <c r="B2215" i="1"/>
  <c r="D2214" i="1"/>
  <c r="B2214" i="1"/>
  <c r="D2213" i="1"/>
  <c r="B2213" i="1"/>
  <c r="D2212" i="1"/>
  <c r="B2212" i="1"/>
  <c r="D2211" i="1"/>
  <c r="B2211" i="1"/>
  <c r="D2210" i="1"/>
  <c r="B2210" i="1"/>
  <c r="D2209" i="1"/>
  <c r="B2209" i="1"/>
  <c r="D2208" i="1"/>
  <c r="B2208" i="1"/>
  <c r="D2207" i="1"/>
  <c r="B2207" i="1"/>
  <c r="D2206" i="1"/>
  <c r="B2206" i="1"/>
  <c r="D2205" i="1"/>
  <c r="B2205" i="1"/>
  <c r="D2204" i="1"/>
  <c r="B2204" i="1"/>
  <c r="D2203" i="1"/>
  <c r="B2203" i="1"/>
  <c r="D2202" i="1"/>
  <c r="B2202" i="1"/>
  <c r="D2201" i="1"/>
  <c r="B2201" i="1"/>
  <c r="D2200" i="1"/>
  <c r="B2200" i="1"/>
  <c r="D2199" i="1"/>
  <c r="B2199" i="1"/>
  <c r="D2198" i="1"/>
  <c r="B2198" i="1"/>
  <c r="D2197" i="1"/>
  <c r="B2197" i="1"/>
  <c r="D2196" i="1"/>
  <c r="B2196" i="1"/>
  <c r="D2195" i="1"/>
  <c r="B2195" i="1"/>
  <c r="D2194" i="1"/>
  <c r="B2194" i="1"/>
  <c r="D2193" i="1"/>
  <c r="B2193" i="1"/>
  <c r="D2192" i="1"/>
  <c r="B2192" i="1"/>
  <c r="D2191" i="1"/>
  <c r="B2191" i="1"/>
  <c r="D2190" i="1"/>
  <c r="B2190" i="1"/>
  <c r="D2189" i="1"/>
  <c r="B2189" i="1"/>
  <c r="D2188" i="1"/>
  <c r="B2188" i="1"/>
  <c r="D2187" i="1"/>
  <c r="B2187" i="1"/>
  <c r="D2186" i="1"/>
  <c r="B2186" i="1"/>
  <c r="D2185" i="1"/>
  <c r="B2185" i="1"/>
  <c r="D2184" i="1"/>
  <c r="B2184" i="1"/>
  <c r="D2183" i="1"/>
  <c r="B2183" i="1"/>
  <c r="D2182" i="1"/>
  <c r="B2182" i="1"/>
  <c r="D2181" i="1"/>
  <c r="B2181" i="1"/>
  <c r="D2180" i="1"/>
  <c r="B2180" i="1"/>
  <c r="D2179" i="1"/>
  <c r="B2179" i="1"/>
  <c r="A66" i="1" l="1"/>
  <c r="A3111" i="1" l="1"/>
  <c r="A3110" i="1"/>
  <c r="A3109" i="1"/>
  <c r="A3108" i="1"/>
  <c r="A3104" i="1"/>
  <c r="A3103" i="1"/>
  <c r="A3102" i="1"/>
  <c r="A3101" i="1"/>
  <c r="A3098" i="1"/>
  <c r="A3097" i="1"/>
  <c r="A3096" i="1"/>
  <c r="A3095" i="1"/>
  <c r="A3094" i="1"/>
  <c r="A3091" i="1"/>
  <c r="A3090" i="1"/>
  <c r="A3089" i="1"/>
  <c r="A3088" i="1"/>
  <c r="A3087" i="1"/>
  <c r="A3084" i="1"/>
  <c r="A3083" i="1"/>
  <c r="A3082" i="1"/>
  <c r="A3081" i="1"/>
  <c r="A3080" i="1"/>
  <c r="A3077" i="1"/>
  <c r="A3076" i="1"/>
  <c r="A3075" i="1"/>
  <c r="A3074" i="1"/>
  <c r="A3073" i="1"/>
  <c r="A3070" i="1"/>
  <c r="A3068" i="1"/>
  <c r="A3069" i="1"/>
  <c r="A3067" i="1"/>
  <c r="A3066" i="1"/>
  <c r="A3063" i="1"/>
  <c r="A3061" i="1"/>
  <c r="A3062" i="1"/>
  <c r="A3060" i="1"/>
  <c r="A3059" i="1"/>
  <c r="A3056" i="1"/>
  <c r="A3052" i="1"/>
  <c r="A3048" i="1"/>
  <c r="A3047" i="1"/>
  <c r="A3046" i="1"/>
  <c r="A3045" i="1"/>
  <c r="A3055" i="1"/>
  <c r="A3054" i="1"/>
  <c r="D2950" i="1"/>
  <c r="D2947" i="1"/>
  <c r="D2946" i="1"/>
  <c r="D2943" i="1"/>
  <c r="D2942" i="1"/>
  <c r="F2165" i="1" l="1"/>
  <c r="F2166" i="1"/>
  <c r="F2164" i="1"/>
  <c r="E2166" i="1" l="1"/>
  <c r="D2166" i="1"/>
  <c r="C2166" i="1"/>
  <c r="B2166" i="1"/>
  <c r="A2166" i="1"/>
  <c r="E2165" i="1"/>
  <c r="D2165" i="1"/>
  <c r="C2165" i="1"/>
  <c r="B2165" i="1"/>
  <c r="A2165" i="1"/>
  <c r="E2164" i="1"/>
  <c r="D2164" i="1"/>
  <c r="C2164" i="1"/>
  <c r="B2164" i="1"/>
  <c r="A2164" i="1"/>
  <c r="J1229" i="1"/>
  <c r="J1241" i="1" s="1"/>
  <c r="J1254" i="1" s="1"/>
  <c r="J1268" i="1" s="1"/>
  <c r="J1282" i="1" s="1"/>
  <c r="J1296" i="1" s="1"/>
  <c r="J1310" i="1" s="1"/>
  <c r="J1324" i="1" s="1"/>
  <c r="J1338" i="1" s="1"/>
  <c r="J1352" i="1" s="1"/>
  <c r="J1366" i="1" s="1"/>
  <c r="J1380" i="1" s="1"/>
  <c r="J1394" i="1" s="1"/>
  <c r="J1408" i="1" s="1"/>
  <c r="J1422" i="1" s="1"/>
  <c r="J1436" i="1" s="1"/>
  <c r="J1450" i="1" s="1"/>
  <c r="J1464" i="1" s="1"/>
  <c r="J1478" i="1" s="1"/>
  <c r="J1492" i="1" s="1"/>
  <c r="J1506" i="1" s="1"/>
  <c r="J1520" i="1" s="1"/>
  <c r="J1534" i="1" s="1"/>
  <c r="J1548" i="1" s="1"/>
  <c r="J1562" i="1" s="1"/>
  <c r="J1576" i="1" s="1"/>
  <c r="J1590" i="1" s="1"/>
  <c r="J1604" i="1" s="1"/>
  <c r="J1618" i="1" s="1"/>
  <c r="J1632" i="1" s="1"/>
  <c r="J1646" i="1" s="1"/>
  <c r="J1660" i="1" s="1"/>
  <c r="J1674" i="1" s="1"/>
  <c r="J1688" i="1" s="1"/>
  <c r="J1702" i="1" s="1"/>
  <c r="J1716" i="1" s="1"/>
  <c r="J1730" i="1" s="1"/>
  <c r="J1744" i="1" s="1"/>
  <c r="J1758" i="1" s="1"/>
  <c r="J1772" i="1" s="1"/>
  <c r="J1786" i="1" s="1"/>
  <c r="J1800" i="1" s="1"/>
  <c r="J1814" i="1" s="1"/>
  <c r="J1828" i="1" s="1"/>
  <c r="J1842" i="1" s="1"/>
  <c r="J1856" i="1" s="1"/>
  <c r="J1870" i="1" s="1"/>
  <c r="J1884" i="1" s="1"/>
  <c r="J1898" i="1" s="1"/>
  <c r="J1912" i="1" s="1"/>
  <c r="J1926" i="1" s="1"/>
  <c r="J1940" i="1" s="1"/>
  <c r="J1954" i="1" s="1"/>
  <c r="J1968" i="1" s="1"/>
  <c r="J1982" i="1" s="1"/>
  <c r="J1996" i="1" s="1"/>
  <c r="J2010" i="1" s="1"/>
  <c r="J2024" i="1" s="1"/>
  <c r="J2038" i="1" s="1"/>
  <c r="J2052" i="1" s="1"/>
  <c r="J2066" i="1" s="1"/>
  <c r="J2080" i="1" s="1"/>
  <c r="J2094" i="1" s="1"/>
  <c r="A828" i="1" l="1"/>
  <c r="B828" i="1"/>
  <c r="C828" i="1"/>
  <c r="D828" i="1"/>
  <c r="E828" i="1"/>
  <c r="A829" i="1"/>
  <c r="B829" i="1"/>
  <c r="C829" i="1"/>
  <c r="D829" i="1"/>
  <c r="E829" i="1"/>
  <c r="A830" i="1"/>
  <c r="B830" i="1"/>
  <c r="C830" i="1"/>
  <c r="D830" i="1"/>
  <c r="E830" i="1"/>
  <c r="A831" i="1"/>
  <c r="B831" i="1"/>
  <c r="C831" i="1"/>
  <c r="D831" i="1"/>
  <c r="E831" i="1"/>
  <c r="A832" i="1"/>
  <c r="B832" i="1"/>
  <c r="C832" i="1"/>
  <c r="D832" i="1"/>
  <c r="E832" i="1"/>
  <c r="A833" i="1"/>
  <c r="B833" i="1"/>
  <c r="C833" i="1"/>
  <c r="D833" i="1"/>
  <c r="E833" i="1"/>
  <c r="A834" i="1"/>
  <c r="B834" i="1"/>
  <c r="C834" i="1"/>
  <c r="D834" i="1"/>
  <c r="E834" i="1"/>
  <c r="E827" i="1"/>
  <c r="D827" i="1"/>
  <c r="C827" i="1"/>
  <c r="B827" i="1"/>
  <c r="A827" i="1"/>
  <c r="A2123" i="1" l="1"/>
  <c r="H2141" i="1"/>
  <c r="G2141" i="1"/>
  <c r="F2141" i="1"/>
  <c r="E2141" i="1"/>
  <c r="D2141" i="1"/>
  <c r="B2141" i="1"/>
  <c r="H2124" i="1"/>
  <c r="H2123" i="1"/>
  <c r="F2123" i="1"/>
  <c r="F2124" i="1"/>
  <c r="A2124" i="1"/>
  <c r="C2124" i="1"/>
  <c r="D2124" i="1"/>
  <c r="E2124" i="1"/>
  <c r="E2123" i="1"/>
  <c r="D2123" i="1"/>
  <c r="C2123" i="1"/>
  <c r="C999" i="1"/>
  <c r="C1000" i="1"/>
  <c r="C1001" i="1"/>
  <c r="C1002" i="1"/>
  <c r="C1003" i="1"/>
  <c r="C1004" i="1"/>
  <c r="C1005" i="1"/>
  <c r="C998" i="1"/>
  <c r="B1005" i="1"/>
  <c r="A1005" i="1"/>
  <c r="B1004" i="1"/>
  <c r="A1004" i="1"/>
  <c r="B1003" i="1"/>
  <c r="A1003" i="1"/>
  <c r="B1002" i="1"/>
  <c r="A1002" i="1"/>
  <c r="B1001" i="1"/>
  <c r="A1001" i="1"/>
  <c r="B1000" i="1"/>
  <c r="A1000" i="1"/>
  <c r="B999" i="1"/>
  <c r="A999" i="1"/>
  <c r="B998" i="1"/>
  <c r="A998" i="1"/>
  <c r="A412" i="1"/>
  <c r="A413" i="1"/>
  <c r="A414" i="1"/>
  <c r="A415" i="1"/>
  <c r="A416" i="1"/>
  <c r="A417" i="1"/>
  <c r="A411" i="1"/>
  <c r="A395" i="1"/>
  <c r="A358" i="1" l="1"/>
  <c r="A354" i="1"/>
  <c r="A353" i="1"/>
  <c r="A357" i="1" l="1"/>
  <c r="A356" i="1"/>
  <c r="A355" i="1"/>
  <c r="A352" i="1"/>
  <c r="A351" i="1"/>
  <c r="A350" i="1"/>
  <c r="D303" i="1" l="1"/>
  <c r="D304" i="1"/>
  <c r="D305" i="1"/>
  <c r="D306" i="1"/>
  <c r="D307" i="1"/>
  <c r="D308" i="1"/>
  <c r="D309" i="1"/>
  <c r="D302" i="1"/>
  <c r="C302" i="1"/>
  <c r="C303" i="1"/>
  <c r="C304" i="1"/>
  <c r="C305" i="1"/>
  <c r="C306" i="1"/>
  <c r="C307" i="1"/>
  <c r="C308" i="1"/>
  <c r="C309" i="1"/>
  <c r="B303" i="1"/>
  <c r="B304" i="1"/>
  <c r="B305" i="1"/>
  <c r="B306" i="1"/>
  <c r="B307" i="1"/>
  <c r="B308" i="1"/>
  <c r="B309" i="1"/>
  <c r="B302" i="1"/>
  <c r="A303" i="1"/>
  <c r="A304" i="1"/>
  <c r="A305" i="1"/>
  <c r="A306" i="1"/>
  <c r="A307" i="1"/>
  <c r="A308" i="1"/>
  <c r="A309" i="1"/>
  <c r="A302" i="1"/>
  <c r="C280" i="1"/>
  <c r="C281" i="1"/>
  <c r="C282" i="1"/>
  <c r="C283" i="1"/>
  <c r="C284" i="1"/>
  <c r="C285" i="1"/>
  <c r="C286" i="1"/>
  <c r="C279" i="1"/>
  <c r="B280" i="1"/>
  <c r="B281" i="1"/>
  <c r="B282" i="1"/>
  <c r="B283" i="1"/>
  <c r="B284" i="1"/>
  <c r="B285" i="1"/>
  <c r="B286" i="1"/>
  <c r="B279" i="1"/>
  <c r="A279" i="1"/>
  <c r="A280" i="1"/>
  <c r="A281" i="1"/>
  <c r="A282" i="1"/>
  <c r="A283" i="1"/>
  <c r="A284" i="1"/>
  <c r="A285" i="1"/>
  <c r="A286" i="1"/>
  <c r="D67" i="1"/>
  <c r="D68" i="1"/>
  <c r="D69" i="1"/>
  <c r="D70" i="1"/>
  <c r="D71" i="1"/>
  <c r="D72" i="1"/>
  <c r="D73" i="1"/>
  <c r="D66" i="1"/>
  <c r="C67" i="1"/>
  <c r="C68" i="1"/>
  <c r="C69" i="1"/>
  <c r="C70" i="1"/>
  <c r="C71" i="1"/>
  <c r="C72" i="1"/>
  <c r="C73" i="1"/>
  <c r="C66" i="1"/>
  <c r="A67" i="1"/>
  <c r="A68" i="1"/>
  <c r="A69" i="1"/>
  <c r="A70" i="1"/>
  <c r="A71" i="1"/>
  <c r="A72" i="1"/>
  <c r="A73" i="1"/>
  <c r="A330" i="1"/>
  <c r="A331" i="1"/>
  <c r="A332" i="1"/>
  <c r="A333" i="1"/>
  <c r="A334" i="1"/>
  <c r="A335" i="1"/>
  <c r="A336" i="1"/>
  <c r="A337" i="1"/>
  <c r="B330" i="1"/>
  <c r="B331" i="1"/>
  <c r="B332" i="1"/>
  <c r="B333" i="1"/>
  <c r="B334" i="1"/>
  <c r="B335" i="1"/>
  <c r="B336" i="1"/>
  <c r="B337" i="1"/>
  <c r="D331" i="1"/>
  <c r="D332" i="1"/>
  <c r="D333" i="1"/>
  <c r="D334" i="1"/>
  <c r="D335" i="1"/>
  <c r="D336" i="1"/>
  <c r="D337" i="1"/>
  <c r="D330" i="1"/>
  <c r="C331" i="1"/>
  <c r="C332" i="1"/>
  <c r="C333" i="1"/>
  <c r="C334" i="1"/>
  <c r="C335" i="1"/>
  <c r="C336" i="1"/>
  <c r="C337" i="1"/>
  <c r="C330" i="1"/>
  <c r="B37" i="1"/>
  <c r="B43" i="1" s="1"/>
  <c r="B49" i="1" s="1"/>
  <c r="B55" i="1" s="1"/>
  <c r="B76" i="1" s="1"/>
  <c r="B316" i="1" s="1"/>
  <c r="B418" i="1" l="1"/>
  <c r="B856" i="1" s="1"/>
  <c r="B865" i="1" s="1"/>
  <c r="B988" i="1" s="1"/>
  <c r="B2107" i="1" s="1"/>
  <c r="B2167" i="1" l="1"/>
  <c r="B2331" i="1" s="1"/>
  <c r="B2348" i="1" s="1"/>
  <c r="B2374" i="1" s="1"/>
  <c r="B2827" i="1" s="1"/>
  <c r="B2896" i="1" s="1"/>
  <c r="B3141" i="1" s="1"/>
  <c r="B3680" i="1" s="1"/>
  <c r="B3698" i="1" s="1"/>
  <c r="B3714" i="1" s="1"/>
  <c r="B3723" i="1" s="1"/>
  <c r="B3734" i="1" s="1"/>
  <c r="B3735" i="1" s="1"/>
  <c r="B3771" i="1" s="1"/>
  <c r="B3804" i="1" s="1"/>
  <c r="B3805" i="1" s="1"/>
  <c r="B3874" i="1" s="1"/>
  <c r="B3882" i="1" s="1"/>
  <c r="B3888" i="1" s="1"/>
</calcChain>
</file>

<file path=xl/sharedStrings.xml><?xml version="1.0" encoding="utf-8"?>
<sst xmlns="http://schemas.openxmlformats.org/spreadsheetml/2006/main" count="14411" uniqueCount="1663">
  <si>
    <t>;group</t>
    <phoneticPr fontId="6"/>
  </si>
  <si>
    <t>;共通データ</t>
    <rPh sb="1" eb="3">
      <t>キョウツウ</t>
    </rPh>
    <phoneticPr fontId="6"/>
  </si>
  <si>
    <t>byte</t>
    <phoneticPr fontId="6"/>
  </si>
  <si>
    <t>;</t>
    <phoneticPr fontId="6"/>
  </si>
  <si>
    <t>;上側バー表示</t>
    <rPh sb="1" eb="3">
      <t>ウエガワ</t>
    </rPh>
    <rPh sb="5" eb="7">
      <t>ヒョウジ</t>
    </rPh>
    <phoneticPr fontId="6"/>
  </si>
  <si>
    <t>;画面タイトル表示　文字色RGB値</t>
    <rPh sb="1" eb="3">
      <t>ガメン</t>
    </rPh>
    <rPh sb="7" eb="9">
      <t>ヒョウジ</t>
    </rPh>
    <rPh sb="10" eb="13">
      <t>モジショク</t>
    </rPh>
    <rPh sb="16" eb="17">
      <t>チ</t>
    </rPh>
    <phoneticPr fontId="6"/>
  </si>
  <si>
    <t>;運転モード表示　文字色RGB値</t>
    <rPh sb="1" eb="3">
      <t>ウンテン</t>
    </rPh>
    <rPh sb="6" eb="8">
      <t>ヒョウジ</t>
    </rPh>
    <rPh sb="9" eb="12">
      <t>モジショク</t>
    </rPh>
    <rPh sb="15" eb="16">
      <t>チ</t>
    </rPh>
    <phoneticPr fontId="6"/>
  </si>
  <si>
    <t>;現在ファイルNo.＆ファイル名称表示　文字色RGB値</t>
    <rPh sb="1" eb="3">
      <t>ゲンザイ</t>
    </rPh>
    <rPh sb="15" eb="17">
      <t>メイショウ</t>
    </rPh>
    <rPh sb="17" eb="19">
      <t>ヒョウジ</t>
    </rPh>
    <rPh sb="20" eb="23">
      <t>モジショク</t>
    </rPh>
    <rPh sb="26" eb="27">
      <t>チ</t>
    </rPh>
    <phoneticPr fontId="6"/>
  </si>
  <si>
    <t>;日時表示　文字色RGB値</t>
    <rPh sb="1" eb="3">
      <t>ニチジ</t>
    </rPh>
    <rPh sb="3" eb="5">
      <t>ヒョウジ</t>
    </rPh>
    <rPh sb="6" eb="9">
      <t>モジショク</t>
    </rPh>
    <rPh sb="12" eb="13">
      <t>チ</t>
    </rPh>
    <phoneticPr fontId="6"/>
  </si>
  <si>
    <t>;速度　文字色RGB</t>
    <rPh sb="1" eb="3">
      <t>ソクド</t>
    </rPh>
    <rPh sb="4" eb="6">
      <t>モジ</t>
    </rPh>
    <rPh sb="6" eb="7">
      <t>イロ</t>
    </rPh>
    <phoneticPr fontId="6"/>
  </si>
  <si>
    <t>;製品側/副側　文字色RGB値</t>
    <rPh sb="1" eb="4">
      <t>セイヒンカワ</t>
    </rPh>
    <rPh sb="5" eb="6">
      <t>フク</t>
    </rPh>
    <rPh sb="6" eb="7">
      <t>カワ</t>
    </rPh>
    <rPh sb="8" eb="10">
      <t>モジ</t>
    </rPh>
    <rPh sb="10" eb="11">
      <t>ショク</t>
    </rPh>
    <rPh sb="14" eb="15">
      <t>チ</t>
    </rPh>
    <phoneticPr fontId="6"/>
  </si>
  <si>
    <t>;空き</t>
    <rPh sb="1" eb="2">
      <t>ア</t>
    </rPh>
    <phoneticPr fontId="6"/>
  </si>
  <si>
    <t>;言語表示順序</t>
    <rPh sb="1" eb="3">
      <t>ゲンゴ</t>
    </rPh>
    <rPh sb="3" eb="5">
      <t>ヒョウジ</t>
    </rPh>
    <rPh sb="5" eb="7">
      <t>ジュンジョ</t>
    </rPh>
    <phoneticPr fontId="6"/>
  </si>
  <si>
    <t>;下側バー表示</t>
    <rPh sb="1" eb="3">
      <t>シタガワ</t>
    </rPh>
    <rPh sb="5" eb="7">
      <t>ヒョウジ</t>
    </rPh>
    <phoneticPr fontId="6"/>
  </si>
  <si>
    <t>;選択された　運転モード表示　文字色RGB値</t>
    <rPh sb="1" eb="3">
      <t>センタク</t>
    </rPh>
    <phoneticPr fontId="6"/>
  </si>
  <si>
    <r>
      <t>;</t>
    </r>
    <r>
      <rPr>
        <sz val="11"/>
        <color rgb="FF000000"/>
        <rFont val="Microsoft JhengHei"/>
        <family val="2"/>
        <charset val="134"/>
      </rPr>
      <t>Y軸</t>
    </r>
  </si>
  <si>
    <r>
      <t>;</t>
    </r>
    <r>
      <rPr>
        <sz val="11"/>
        <color rgb="FF000000"/>
        <rFont val="Microsoft JhengHei"/>
        <family val="2"/>
        <charset val="134"/>
      </rPr>
      <t>MX軸</t>
    </r>
  </si>
  <si>
    <r>
      <t>;</t>
    </r>
    <r>
      <rPr>
        <sz val="11"/>
        <color rgb="FF000000"/>
        <rFont val="Microsoft JhengHei"/>
        <family val="2"/>
        <charset val="134"/>
      </rPr>
      <t>MZ軸</t>
    </r>
  </si>
  <si>
    <r>
      <t>;</t>
    </r>
    <r>
      <rPr>
        <sz val="11"/>
        <color rgb="FF000000"/>
        <rFont val="Microsoft JhengHei"/>
        <family val="2"/>
        <charset val="134"/>
      </rPr>
      <t>SX軸</t>
    </r>
  </si>
  <si>
    <r>
      <t>;SZ</t>
    </r>
    <r>
      <rPr>
        <sz val="11"/>
        <color rgb="FF000000"/>
        <rFont val="Microsoft JhengHei"/>
        <family val="2"/>
        <charset val="134"/>
      </rPr>
      <t>軸</t>
    </r>
  </si>
  <si>
    <r>
      <t>;</t>
    </r>
    <r>
      <rPr>
        <sz val="11"/>
        <color rgb="FF000000"/>
        <rFont val="Microsoft JhengHei"/>
        <family val="2"/>
        <charset val="134"/>
      </rPr>
      <t>軸6</t>
    </r>
  </si>
  <si>
    <r>
      <t>;</t>
    </r>
    <r>
      <rPr>
        <sz val="11"/>
        <color rgb="FF000000"/>
        <rFont val="Microsoft JhengHei"/>
        <family val="2"/>
        <charset val="134"/>
      </rPr>
      <t>軸7</t>
    </r>
  </si>
  <si>
    <r>
      <t>;</t>
    </r>
    <r>
      <rPr>
        <sz val="11"/>
        <color rgb="FF000000"/>
        <rFont val="Microsoft JhengHei"/>
        <family val="2"/>
        <charset val="134"/>
      </rPr>
      <t>軸8</t>
    </r>
  </si>
  <si>
    <t>;軸表示順序</t>
    <rPh sb="1" eb="2">
      <t>ジク</t>
    </rPh>
    <rPh sb="2" eb="4">
      <t>ヒョウジ</t>
    </rPh>
    <rPh sb="4" eb="6">
      <t>ジュンジョ</t>
    </rPh>
    <phoneticPr fontId="6"/>
  </si>
  <si>
    <t>;JOGダイアル閾値</t>
    <phoneticPr fontId="6"/>
  </si>
  <si>
    <t>;警報表示</t>
    <rPh sb="1" eb="3">
      <t>ケイホウ</t>
    </rPh>
    <rPh sb="3" eb="5">
      <t>ヒョウジ</t>
    </rPh>
    <phoneticPr fontId="7"/>
  </si>
  <si>
    <t>byte</t>
  </si>
  <si>
    <t>;選択されたアラームNO.と名称　文字色RGB</t>
    <rPh sb="1" eb="3">
      <t>センタク</t>
    </rPh>
    <rPh sb="14" eb="16">
      <t>メイショウ</t>
    </rPh>
    <rPh sb="17" eb="20">
      <t>モジショク</t>
    </rPh>
    <phoneticPr fontId="6"/>
  </si>
  <si>
    <t>;空き</t>
    <phoneticPr fontId="6"/>
  </si>
  <si>
    <t>;警告表示</t>
    <rPh sb="1" eb="3">
      <t>ケイコク</t>
    </rPh>
    <rPh sb="3" eb="5">
      <t>ヒョウジ</t>
    </rPh>
    <phoneticPr fontId="7"/>
  </si>
  <si>
    <t>;動作表示</t>
    <rPh sb="1" eb="3">
      <t>ドウサ</t>
    </rPh>
    <rPh sb="3" eb="5">
      <t>ヒョウジ</t>
    </rPh>
    <phoneticPr fontId="7"/>
  </si>
  <si>
    <t>;画面1　原点復帰</t>
    <rPh sb="1" eb="3">
      <t>ガメン</t>
    </rPh>
    <rPh sb="5" eb="7">
      <t>ゲンテン</t>
    </rPh>
    <rPh sb="7" eb="9">
      <t>フッキ</t>
    </rPh>
    <phoneticPr fontId="7"/>
  </si>
  <si>
    <t>;</t>
  </si>
  <si>
    <t>;現在位置　　数値色RGB</t>
    <rPh sb="7" eb="9">
      <t>スウチ</t>
    </rPh>
    <rPh sb="9" eb="10">
      <t>イロ</t>
    </rPh>
    <phoneticPr fontId="6"/>
  </si>
  <si>
    <t>;エンコーダ　　数値色RGB</t>
    <phoneticPr fontId="6"/>
  </si>
  <si>
    <t>;トルク　数値色RGB</t>
    <phoneticPr fontId="6"/>
  </si>
  <si>
    <t>;％　数値色RGB</t>
    <phoneticPr fontId="6"/>
  </si>
  <si>
    <t>;ページ数　表示色RGB</t>
    <rPh sb="4" eb="5">
      <t>スウ</t>
    </rPh>
    <rPh sb="6" eb="8">
      <t>ヒョウジ</t>
    </rPh>
    <rPh sb="8" eb="9">
      <t>イロ</t>
    </rPh>
    <phoneticPr fontId="6"/>
  </si>
  <si>
    <t>word</t>
  </si>
  <si>
    <t>;現在位置、エンコーダ、トルク、原点百分比％の表示方式</t>
    <rPh sb="16" eb="18">
      <t>ゲンテン</t>
    </rPh>
    <rPh sb="18" eb="20">
      <t>ヒャクブン</t>
    </rPh>
    <rPh sb="20" eb="21">
      <t>ヒ</t>
    </rPh>
    <rPh sb="23" eb="27">
      <t>ヒョウジホウシキ</t>
    </rPh>
    <phoneticPr fontId="6"/>
  </si>
  <si>
    <t>;軸1</t>
  </si>
  <si>
    <t>;軸2</t>
  </si>
  <si>
    <t>;軸3</t>
  </si>
  <si>
    <t>;軸4</t>
  </si>
  <si>
    <t>;軸5</t>
  </si>
  <si>
    <t>;軸6</t>
  </si>
  <si>
    <t>;軸7</t>
  </si>
  <si>
    <t>;空き</t>
  </si>
  <si>
    <t>;画面2　手動操作</t>
    <rPh sb="1" eb="3">
      <t>ガメン</t>
    </rPh>
    <rPh sb="5" eb="7">
      <t>シュドウ</t>
    </rPh>
    <rPh sb="7" eb="9">
      <t>ソウサ</t>
    </rPh>
    <phoneticPr fontId="7"/>
  </si>
  <si>
    <t>;IO操作テーブル</t>
    <rPh sb="3" eb="5">
      <t>ソウサ</t>
    </rPh>
    <phoneticPr fontId="6"/>
  </si>
  <si>
    <t>;TAGIO操作</t>
  </si>
  <si>
    <t>;入力ON表示文字色RGB値</t>
    <rPh sb="1" eb="3">
      <t>ニュウリョク</t>
    </rPh>
    <phoneticPr fontId="6"/>
  </si>
  <si>
    <t>;入力OFF表示文字色RGB値</t>
    <rPh sb="1" eb="3">
      <t>ニュウリョク</t>
    </rPh>
    <phoneticPr fontId="6"/>
  </si>
  <si>
    <t>;出力ON表示文字色RGB値</t>
    <rPh sb="1" eb="3">
      <t>シュツリョク</t>
    </rPh>
    <phoneticPr fontId="6"/>
  </si>
  <si>
    <t>;出力OFF表示文字色RGB値</t>
    <rPh sb="1" eb="3">
      <t>シュツリョク</t>
    </rPh>
    <phoneticPr fontId="6"/>
  </si>
  <si>
    <t>;入力表示ページ数2~10</t>
  </si>
  <si>
    <r>
      <rPr>
        <sz val="11"/>
        <color theme="1"/>
        <rFont val="Microsoft YaHei"/>
        <family val="2"/>
        <charset val="134"/>
      </rPr>
      <t>00</t>
    </r>
    <r>
      <rPr>
        <sz val="11"/>
        <color theme="1"/>
        <rFont val="等线"/>
        <family val="2"/>
        <charset val="128"/>
        <scheme val="minor"/>
      </rPr>
      <t>0</t>
    </r>
    <phoneticPr fontId="6"/>
  </si>
  <si>
    <t>005</t>
    <phoneticPr fontId="6"/>
  </si>
  <si>
    <t>;ページ1</t>
    <phoneticPr fontId="6"/>
  </si>
  <si>
    <t>;表示入力番号テーブル</t>
    <phoneticPr fontId="6"/>
  </si>
  <si>
    <r>
      <rPr>
        <sz val="11"/>
        <color theme="1"/>
        <rFont val="Microsoft YaHei"/>
        <family val="2"/>
        <charset val="134"/>
      </rPr>
      <t>00</t>
    </r>
    <r>
      <rPr>
        <sz val="11"/>
        <color theme="1"/>
        <rFont val="等线"/>
        <family val="2"/>
        <charset val="128"/>
        <scheme val="minor"/>
      </rPr>
      <t>1</t>
    </r>
    <phoneticPr fontId="6"/>
  </si>
  <si>
    <t>008</t>
    <phoneticPr fontId="6"/>
  </si>
  <si>
    <t>;2列×50行</t>
  </si>
  <si>
    <r>
      <rPr>
        <sz val="11"/>
        <color theme="1"/>
        <rFont val="Microsoft YaHei"/>
        <family val="2"/>
        <charset val="134"/>
      </rPr>
      <t>00</t>
    </r>
    <r>
      <rPr>
        <sz val="11"/>
        <color theme="1"/>
        <rFont val="等线"/>
        <family val="2"/>
        <charset val="128"/>
        <scheme val="minor"/>
      </rPr>
      <t>2</t>
    </r>
    <phoneticPr fontId="6"/>
  </si>
  <si>
    <t>009</t>
    <phoneticPr fontId="6"/>
  </si>
  <si>
    <t>;　表示したいDixxxのxxx部を設定します。</t>
    <phoneticPr fontId="6"/>
  </si>
  <si>
    <r>
      <rPr>
        <sz val="11"/>
        <color theme="1"/>
        <rFont val="Microsoft YaHei"/>
        <family val="2"/>
        <charset val="134"/>
      </rPr>
      <t>00</t>
    </r>
    <r>
      <rPr>
        <sz val="11"/>
        <color theme="1"/>
        <rFont val="等线"/>
        <family val="2"/>
        <charset val="128"/>
        <scheme val="minor"/>
      </rPr>
      <t>3</t>
    </r>
    <phoneticPr fontId="6"/>
  </si>
  <si>
    <t>010</t>
  </si>
  <si>
    <t>;　入力してない（予備）は表示しない。</t>
    <rPh sb="2" eb="4">
      <t>ニュウリョク</t>
    </rPh>
    <rPh sb="9" eb="11">
      <t>ヨビ</t>
    </rPh>
    <rPh sb="13" eb="15">
      <t>ヒョウジ</t>
    </rPh>
    <phoneticPr fontId="6"/>
  </si>
  <si>
    <r>
      <rPr>
        <sz val="11"/>
        <color theme="1"/>
        <rFont val="Microsoft YaHei"/>
        <family val="2"/>
        <charset val="134"/>
      </rPr>
      <t>00</t>
    </r>
    <r>
      <rPr>
        <sz val="11"/>
        <color theme="1"/>
        <rFont val="等线"/>
        <family val="2"/>
        <charset val="128"/>
        <scheme val="minor"/>
      </rPr>
      <t>4</t>
    </r>
    <phoneticPr fontId="6"/>
  </si>
  <si>
    <t>011</t>
  </si>
  <si>
    <t>012</t>
  </si>
  <si>
    <t>017</t>
    <phoneticPr fontId="6"/>
  </si>
  <si>
    <t>;ページ2</t>
    <phoneticPr fontId="6"/>
  </si>
  <si>
    <t>013</t>
  </si>
  <si>
    <t>018</t>
  </si>
  <si>
    <t>014</t>
  </si>
  <si>
    <t>019</t>
  </si>
  <si>
    <t>015</t>
  </si>
  <si>
    <t>020</t>
  </si>
  <si>
    <t>016</t>
  </si>
  <si>
    <t>021</t>
    <phoneticPr fontId="6"/>
  </si>
  <si>
    <t>022</t>
    <phoneticPr fontId="6"/>
  </si>
  <si>
    <t>067</t>
    <phoneticPr fontId="6"/>
  </si>
  <si>
    <t>;ページ3</t>
    <phoneticPr fontId="6"/>
  </si>
  <si>
    <t>023</t>
  </si>
  <si>
    <t>068</t>
  </si>
  <si>
    <t>064</t>
    <phoneticPr fontId="6"/>
  </si>
  <si>
    <t>069</t>
  </si>
  <si>
    <t>065</t>
  </si>
  <si>
    <t>070</t>
  </si>
  <si>
    <t>066</t>
  </si>
  <si>
    <t>071</t>
  </si>
  <si>
    <t>072</t>
    <phoneticPr fontId="6"/>
  </si>
  <si>
    <t>077</t>
    <phoneticPr fontId="6"/>
  </si>
  <si>
    <t>;ページ4</t>
    <phoneticPr fontId="6"/>
  </si>
  <si>
    <t>073</t>
  </si>
  <si>
    <t>078</t>
  </si>
  <si>
    <t>074</t>
  </si>
  <si>
    <t>079</t>
  </si>
  <si>
    <t>075</t>
  </si>
  <si>
    <t>128</t>
    <phoneticPr fontId="6"/>
  </si>
  <si>
    <t>076</t>
  </si>
  <si>
    <t>129</t>
  </si>
  <si>
    <t>130</t>
    <phoneticPr fontId="6"/>
  </si>
  <si>
    <t>135</t>
  </si>
  <si>
    <t>;ページ5</t>
    <phoneticPr fontId="6"/>
  </si>
  <si>
    <t>131</t>
  </si>
  <si>
    <t>136</t>
  </si>
  <si>
    <t>132</t>
  </si>
  <si>
    <t>137</t>
  </si>
  <si>
    <t>133</t>
  </si>
  <si>
    <t>138</t>
  </si>
  <si>
    <t>134</t>
  </si>
  <si>
    <t>139</t>
  </si>
  <si>
    <t>140</t>
  </si>
  <si>
    <t>193</t>
    <phoneticPr fontId="6"/>
  </si>
  <si>
    <t>;ページ6</t>
    <phoneticPr fontId="6"/>
  </si>
  <si>
    <t>141</t>
  </si>
  <si>
    <t>194</t>
  </si>
  <si>
    <t>142</t>
  </si>
  <si>
    <t>195</t>
  </si>
  <si>
    <t>143</t>
  </si>
  <si>
    <t>196</t>
  </si>
  <si>
    <t>197</t>
  </si>
  <si>
    <t>198</t>
  </si>
  <si>
    <t>203</t>
  </si>
  <si>
    <t>;ページ7</t>
    <phoneticPr fontId="6"/>
  </si>
  <si>
    <t>199</t>
  </si>
  <si>
    <t>204</t>
  </si>
  <si>
    <t>200</t>
  </si>
  <si>
    <t>205</t>
  </si>
  <si>
    <t>201</t>
  </si>
  <si>
    <t>206</t>
  </si>
  <si>
    <t>202</t>
  </si>
  <si>
    <t>207</t>
  </si>
  <si>
    <t>208</t>
  </si>
  <si>
    <t>213</t>
  </si>
  <si>
    <t>;ページ8</t>
    <phoneticPr fontId="6"/>
  </si>
  <si>
    <t>209</t>
  </si>
  <si>
    <t>214</t>
  </si>
  <si>
    <t>210</t>
  </si>
  <si>
    <t>215</t>
  </si>
  <si>
    <t>211</t>
  </si>
  <si>
    <t>216</t>
  </si>
  <si>
    <t>212</t>
  </si>
  <si>
    <t>217</t>
  </si>
  <si>
    <t>218</t>
  </si>
  <si>
    <t>223</t>
  </si>
  <si>
    <t>;ページ9</t>
    <phoneticPr fontId="6"/>
  </si>
  <si>
    <t>;表示出力番号テーブル</t>
    <rPh sb="3" eb="4">
      <t>シュツ</t>
    </rPh>
    <phoneticPr fontId="6"/>
  </si>
  <si>
    <t>219</t>
  </si>
  <si>
    <t>;　予備</t>
    <phoneticPr fontId="6"/>
  </si>
  <si>
    <t>;2列×60行</t>
    <phoneticPr fontId="6"/>
  </si>
  <si>
    <t>220</t>
  </si>
  <si>
    <t>;　表示したいDIxxxのxxx部を設定します。</t>
    <phoneticPr fontId="6"/>
  </si>
  <si>
    <t>221</t>
  </si>
  <si>
    <t>222</t>
  </si>
  <si>
    <t>;ページ10</t>
    <phoneticPr fontId="6"/>
  </si>
  <si>
    <t>;出力の順番表　</t>
    <rPh sb="1" eb="3">
      <t>シュツリョク</t>
    </rPh>
    <rPh sb="4" eb="6">
      <t>ジュンバン</t>
    </rPh>
    <rPh sb="6" eb="7">
      <t>ヒョウ</t>
    </rPh>
    <phoneticPr fontId="6"/>
  </si>
  <si>
    <t>;読込のDI***、ONの時のアイコン、OFFの時のアイコン名称、読込のDI***、ONの時のアイコン、OFFの時のアイコン名称</t>
    <phoneticPr fontId="6"/>
  </si>
  <si>
    <t>09</t>
    <phoneticPr fontId="6"/>
  </si>
  <si>
    <r>
      <t>;第1A、D列表示KEY NO.第B,C,E,F列ON/OFF時</t>
    </r>
    <r>
      <rPr>
        <sz val="11"/>
        <color theme="1"/>
        <rFont val="等线"/>
        <family val="3"/>
        <charset val="128"/>
        <scheme val="minor"/>
      </rPr>
      <t>icon的名称(d060</t>
    </r>
    <r>
      <rPr>
        <sz val="11"/>
        <color theme="1"/>
        <rFont val="Tahoma"/>
        <family val="3"/>
        <charset val="1"/>
      </rPr>
      <t>‗</t>
    </r>
    <r>
      <rPr>
        <sz val="11"/>
        <color theme="1"/>
        <rFont val="等线"/>
        <family val="3"/>
        <charset val="128"/>
        <scheme val="minor"/>
      </rPr>
      <t>**.png）</t>
    </r>
    <rPh sb="31" eb="32">
      <t>ジ</t>
    </rPh>
    <phoneticPr fontId="6"/>
  </si>
  <si>
    <t>02</t>
    <phoneticPr fontId="6"/>
  </si>
  <si>
    <t>01</t>
  </si>
  <si>
    <t>02</t>
  </si>
  <si>
    <t>;ページ11</t>
    <phoneticPr fontId="6"/>
  </si>
  <si>
    <t>;ページ12</t>
    <phoneticPr fontId="6"/>
  </si>
  <si>
    <t>;表示出力keyNo.テーブル</t>
  </si>
  <si>
    <t>;2列×60行</t>
  </si>
  <si>
    <t>;　出力IO押された時のkeyNo.を設定します。</t>
  </si>
  <si>
    <t>;TAG軸操作</t>
    <rPh sb="4" eb="5">
      <t>ジク</t>
    </rPh>
    <phoneticPr fontId="6"/>
  </si>
  <si>
    <t>;現在位置　数値文字色RGB</t>
    <rPh sb="1" eb="5">
      <t>ゲンザイイチ</t>
    </rPh>
    <rPh sb="6" eb="8">
      <t>スウチ</t>
    </rPh>
    <rPh sb="8" eb="11">
      <t>モジショク</t>
    </rPh>
    <phoneticPr fontId="6"/>
  </si>
  <si>
    <t>;エンコーダ　数値文字色RGB</t>
    <rPh sb="7" eb="9">
      <t>スウチ</t>
    </rPh>
    <rPh sb="9" eb="12">
      <t>モジショク</t>
    </rPh>
    <rPh sb="11" eb="12">
      <t>イロ</t>
    </rPh>
    <phoneticPr fontId="6"/>
  </si>
  <si>
    <t>;最大値　数値文字色RGB</t>
    <rPh sb="1" eb="4">
      <t>サイダイチ</t>
    </rPh>
    <rPh sb="5" eb="7">
      <t>スウチ</t>
    </rPh>
    <rPh sb="7" eb="10">
      <t>モジショク</t>
    </rPh>
    <rPh sb="9" eb="10">
      <t>イロ</t>
    </rPh>
    <phoneticPr fontId="6"/>
  </si>
  <si>
    <t>;速度　数値文字色RGB</t>
    <rPh sb="1" eb="3">
      <t>ソクド</t>
    </rPh>
    <rPh sb="4" eb="6">
      <t>スウチ</t>
    </rPh>
    <rPh sb="6" eb="9">
      <t>モジショク</t>
    </rPh>
    <phoneticPr fontId="6"/>
  </si>
  <si>
    <t>word</t>
    <phoneticPr fontId="6"/>
  </si>
  <si>
    <t>;現在位置</t>
    <rPh sb="1" eb="5">
      <t>ゲンザイイチ</t>
    </rPh>
    <phoneticPr fontId="6"/>
  </si>
  <si>
    <t>エンコーダ</t>
    <phoneticPr fontId="6"/>
  </si>
  <si>
    <t>最大値</t>
    <rPh sb="0" eb="3">
      <t>サイダイチ</t>
    </rPh>
    <phoneticPr fontId="6"/>
  </si>
  <si>
    <t>空き</t>
    <rPh sb="0" eb="1">
      <t>ア</t>
    </rPh>
    <phoneticPr fontId="6"/>
  </si>
  <si>
    <t>;軸1</t>
    <rPh sb="1" eb="2">
      <t>ジク</t>
    </rPh>
    <phoneticPr fontId="6"/>
  </si>
  <si>
    <t>;軸2</t>
    <rPh sb="1" eb="2">
      <t>ジク</t>
    </rPh>
    <phoneticPr fontId="6"/>
  </si>
  <si>
    <t>;軸3</t>
    <rPh sb="1" eb="2">
      <t>ジク</t>
    </rPh>
    <phoneticPr fontId="6"/>
  </si>
  <si>
    <t>;軸4</t>
    <rPh sb="1" eb="2">
      <t>ジク</t>
    </rPh>
    <phoneticPr fontId="6"/>
  </si>
  <si>
    <t>;軸5</t>
    <rPh sb="1" eb="2">
      <t>ジク</t>
    </rPh>
    <phoneticPr fontId="6"/>
  </si>
  <si>
    <t>;軸6</t>
    <rPh sb="1" eb="2">
      <t>ジク</t>
    </rPh>
    <phoneticPr fontId="6"/>
  </si>
  <si>
    <t>;軸7</t>
    <rPh sb="1" eb="2">
      <t>ジク</t>
    </rPh>
    <phoneticPr fontId="6"/>
  </si>
  <si>
    <t>;軸8</t>
    <rPh sb="1" eb="2">
      <t>ジク</t>
    </rPh>
    <phoneticPr fontId="6"/>
  </si>
  <si>
    <t>;TAG軸表示</t>
    <rPh sb="4" eb="5">
      <t>ジク</t>
    </rPh>
    <rPh sb="5" eb="7">
      <t>ヒョウジ</t>
    </rPh>
    <phoneticPr fontId="6"/>
  </si>
  <si>
    <t>;奇数軸　現在位置　数値文字色RGB</t>
    <rPh sb="1" eb="3">
      <t>キスウ</t>
    </rPh>
    <rPh sb="3" eb="4">
      <t>ジク</t>
    </rPh>
    <rPh sb="5" eb="9">
      <t>ゲンザイイチ</t>
    </rPh>
    <rPh sb="10" eb="12">
      <t>スウチ</t>
    </rPh>
    <rPh sb="12" eb="15">
      <t>モジショク</t>
    </rPh>
    <phoneticPr fontId="6"/>
  </si>
  <si>
    <t>;偶数軸　現在位置　数値文字色RGB</t>
    <rPh sb="1" eb="3">
      <t>グウスウ</t>
    </rPh>
    <rPh sb="3" eb="4">
      <t>ジク</t>
    </rPh>
    <rPh sb="5" eb="9">
      <t>ゲンザイイチ</t>
    </rPh>
    <rPh sb="10" eb="12">
      <t>スウチ</t>
    </rPh>
    <rPh sb="12" eb="15">
      <t>モジショク</t>
    </rPh>
    <phoneticPr fontId="6"/>
  </si>
  <si>
    <t>;奇数軸　エンコーダ　数値文字色RGB</t>
    <rPh sb="11" eb="13">
      <t>スウチ</t>
    </rPh>
    <rPh sb="13" eb="16">
      <t>モジショク</t>
    </rPh>
    <rPh sb="15" eb="16">
      <t>イロ</t>
    </rPh>
    <phoneticPr fontId="6"/>
  </si>
  <si>
    <t>;偶数軸　エンコーダ　数値文字色RGB</t>
    <rPh sb="11" eb="13">
      <t>スウチ</t>
    </rPh>
    <rPh sb="13" eb="16">
      <t>モジショク</t>
    </rPh>
    <rPh sb="15" eb="16">
      <t>イロ</t>
    </rPh>
    <phoneticPr fontId="6"/>
  </si>
  <si>
    <t>;奇数軸　トルク　数値文字色RGB</t>
    <rPh sb="9" eb="11">
      <t>スウチ</t>
    </rPh>
    <rPh sb="11" eb="14">
      <t>モジショク</t>
    </rPh>
    <rPh sb="13" eb="14">
      <t>イロ</t>
    </rPh>
    <phoneticPr fontId="6"/>
  </si>
  <si>
    <t>;偶数軸　トルク　数値文字色RGB</t>
    <rPh sb="9" eb="11">
      <t>スウチ</t>
    </rPh>
    <rPh sb="11" eb="14">
      <t>モジショク</t>
    </rPh>
    <rPh sb="13" eb="14">
      <t>イロ</t>
    </rPh>
    <phoneticPr fontId="6"/>
  </si>
  <si>
    <t>;奇数軸　速度　数値文字色RGB</t>
    <rPh sb="5" eb="7">
      <t>ソクド</t>
    </rPh>
    <rPh sb="8" eb="10">
      <t>スウチ</t>
    </rPh>
    <rPh sb="10" eb="13">
      <t>モジショク</t>
    </rPh>
    <phoneticPr fontId="6"/>
  </si>
  <si>
    <t>;偶数軸　速度　数値文字色RGB</t>
    <rPh sb="5" eb="7">
      <t>ソクド</t>
    </rPh>
    <rPh sb="8" eb="10">
      <t>スウチ</t>
    </rPh>
    <rPh sb="10" eb="13">
      <t>モジショク</t>
    </rPh>
    <phoneticPr fontId="6"/>
  </si>
  <si>
    <t>;ページ数　文字色RGB</t>
    <rPh sb="4" eb="5">
      <t>スウ</t>
    </rPh>
    <rPh sb="6" eb="8">
      <t>モジ</t>
    </rPh>
    <rPh sb="8" eb="9">
      <t>ショク</t>
    </rPh>
    <phoneticPr fontId="6"/>
  </si>
  <si>
    <t>トルク</t>
    <phoneticPr fontId="6"/>
  </si>
  <si>
    <t>速度</t>
    <rPh sb="0" eb="2">
      <t>ソクド</t>
    </rPh>
    <phoneticPr fontId="6"/>
  </si>
  <si>
    <t>;画面3　自動運転</t>
    <rPh sb="1" eb="3">
      <t>ガメン</t>
    </rPh>
    <rPh sb="5" eb="7">
      <t>ジドウ</t>
    </rPh>
    <rPh sb="7" eb="9">
      <t>ウンテン</t>
    </rPh>
    <phoneticPr fontId="7"/>
  </si>
  <si>
    <t>;軸情報テーブル</t>
    <rPh sb="1" eb="4">
      <t>ジクジョウホウ</t>
    </rPh>
    <phoneticPr fontId="6"/>
  </si>
  <si>
    <t>;TAG軸情報</t>
    <rPh sb="4" eb="5">
      <t>ジク</t>
    </rPh>
    <rPh sb="5" eb="7">
      <t>ジョウホウ</t>
    </rPh>
    <phoneticPr fontId="6"/>
  </si>
  <si>
    <t>;位置数値　文字色RGB値</t>
    <rPh sb="3" eb="5">
      <t>スウチ</t>
    </rPh>
    <rPh sb="4" eb="5">
      <t>アタイ</t>
    </rPh>
    <rPh sb="6" eb="9">
      <t>モジショク</t>
    </rPh>
    <rPh sb="12" eb="13">
      <t>チ</t>
    </rPh>
    <phoneticPr fontId="6"/>
  </si>
  <si>
    <t>;エンコーダ数値　文字色RGB値</t>
    <rPh sb="6" eb="8">
      <t>スウチ</t>
    </rPh>
    <phoneticPr fontId="6"/>
  </si>
  <si>
    <t>;トルク数値　文字色RGB値</t>
    <rPh sb="4" eb="6">
      <t>スウチ</t>
    </rPh>
    <phoneticPr fontId="6"/>
  </si>
  <si>
    <t>;自動運転画面共通　ページ表示　文字色RGB値</t>
    <rPh sb="1" eb="7">
      <t>ジドウウンテンガメン</t>
    </rPh>
    <rPh sb="7" eb="9">
      <t>キョウツウ</t>
    </rPh>
    <rPh sb="13" eb="15">
      <t>ヒョウジ</t>
    </rPh>
    <rPh sb="16" eb="18">
      <t>モジ</t>
    </rPh>
    <rPh sb="18" eb="19">
      <t>ショク</t>
    </rPh>
    <rPh sb="22" eb="23">
      <t>チ</t>
    </rPh>
    <phoneticPr fontId="6"/>
  </si>
  <si>
    <t>;位置、エンコーダ、トルクの表示方式</t>
    <rPh sb="1" eb="3">
      <t>イチ</t>
    </rPh>
    <rPh sb="14" eb="16">
      <t>ヒョウジ</t>
    </rPh>
    <rPh sb="16" eb="18">
      <t>ホウシキ</t>
    </rPh>
    <phoneticPr fontId="6"/>
  </si>
  <si>
    <t>;ページ1/2</t>
    <phoneticPr fontId="6"/>
  </si>
  <si>
    <t>;ページ2/2</t>
    <phoneticPr fontId="6"/>
  </si>
  <si>
    <t>;生産管理テーブル</t>
    <phoneticPr fontId="6"/>
  </si>
  <si>
    <t>;TAG生産管理</t>
    <rPh sb="4" eb="8">
      <t>セイサンカンリ</t>
    </rPh>
    <phoneticPr fontId="6"/>
  </si>
  <si>
    <t>;取出時間　文字色RGB</t>
    <rPh sb="6" eb="9">
      <t>モジショク</t>
    </rPh>
    <phoneticPr fontId="6"/>
  </si>
  <si>
    <t>;サイクル時間　文字色RGB</t>
    <phoneticPr fontId="6"/>
  </si>
  <si>
    <t>;成型時間　文字色RGB</t>
    <phoneticPr fontId="6"/>
  </si>
  <si>
    <r>
      <t>;1回取出数</t>
    </r>
    <r>
      <rPr>
        <sz val="11"/>
        <color theme="1"/>
        <rFont val="Microsoft JhengHei"/>
        <family val="3"/>
        <charset val="134"/>
      </rPr>
      <t>/取出数</t>
    </r>
    <r>
      <rPr>
        <sz val="11"/>
        <color theme="1"/>
        <rFont val="MS UI Gothic"/>
        <family val="3"/>
        <charset val="128"/>
      </rPr>
      <t>　文字色RGB</t>
    </r>
    <phoneticPr fontId="6"/>
  </si>
  <si>
    <t>;生産数/予定数　文字色RGB</t>
    <rPh sb="3" eb="4">
      <t>カズ</t>
    </rPh>
    <phoneticPr fontId="6"/>
  </si>
  <si>
    <r>
      <t>;不良率</t>
    </r>
    <r>
      <rPr>
        <sz val="11"/>
        <color theme="1"/>
        <rFont val="Microsoft JhengHei"/>
        <family val="3"/>
        <charset val="134"/>
      </rPr>
      <t>%</t>
    </r>
    <r>
      <rPr>
        <sz val="11"/>
        <color theme="1"/>
        <rFont val="MS UI Gothic"/>
        <family val="3"/>
        <charset val="128"/>
      </rPr>
      <t>/達成率</t>
    </r>
    <r>
      <rPr>
        <sz val="11"/>
        <color theme="1"/>
        <rFont val="Microsoft JhengHei"/>
        <family val="3"/>
        <charset val="134"/>
      </rPr>
      <t>%</t>
    </r>
    <r>
      <rPr>
        <sz val="11"/>
        <color theme="1"/>
        <rFont val="MS UI Gothic"/>
        <family val="3"/>
        <charset val="128"/>
      </rPr>
      <t>　文字色RGB</t>
    </r>
    <phoneticPr fontId="6"/>
  </si>
  <si>
    <t>;生産終了予定時間　文字色RGB</t>
    <rPh sb="7" eb="9">
      <t>ジカン</t>
    </rPh>
    <phoneticPr fontId="6"/>
  </si>
  <si>
    <t>;不良回数　文字色RGB</t>
    <phoneticPr fontId="6"/>
  </si>
  <si>
    <t>;予め告知时间　文字色RGB</t>
    <rPh sb="1" eb="2">
      <t>アラカジ</t>
    </rPh>
    <rPh sb="3" eb="5">
      <t>コクチ</t>
    </rPh>
    <phoneticPr fontId="6"/>
  </si>
  <si>
    <t>;取出時間　表示方式</t>
    <rPh sb="6" eb="10">
      <t>ヒョウジホウシキ</t>
    </rPh>
    <phoneticPr fontId="6"/>
  </si>
  <si>
    <t>;サイクル時間　　表示方式</t>
    <phoneticPr fontId="6"/>
  </si>
  <si>
    <t>;成型時間　　表示方式</t>
    <phoneticPr fontId="6"/>
  </si>
  <si>
    <r>
      <t>;1回取出数</t>
    </r>
    <r>
      <rPr>
        <sz val="11"/>
        <color theme="1"/>
        <rFont val="Microsoft JhengHei"/>
        <family val="3"/>
        <charset val="134"/>
      </rPr>
      <t>/取出数</t>
    </r>
    <r>
      <rPr>
        <sz val="11"/>
        <color theme="1"/>
        <rFont val="MS UI Gothic"/>
        <family val="3"/>
        <charset val="128"/>
      </rPr>
      <t>　　表示方式</t>
    </r>
    <phoneticPr fontId="6"/>
  </si>
  <si>
    <t>;生産数/予定数　表示方式</t>
    <rPh sb="3" eb="4">
      <t>カズ</t>
    </rPh>
    <phoneticPr fontId="6"/>
  </si>
  <si>
    <r>
      <t>;不良率</t>
    </r>
    <r>
      <rPr>
        <sz val="11"/>
        <color theme="1"/>
        <rFont val="Microsoft JhengHei"/>
        <family val="3"/>
        <charset val="134"/>
      </rPr>
      <t>%</t>
    </r>
    <r>
      <rPr>
        <sz val="11"/>
        <color theme="1"/>
        <rFont val="MS UI Gothic"/>
        <family val="3"/>
        <charset val="128"/>
      </rPr>
      <t>/達成率</t>
    </r>
    <r>
      <rPr>
        <sz val="11"/>
        <color theme="1"/>
        <rFont val="Microsoft JhengHei"/>
        <family val="3"/>
        <charset val="134"/>
      </rPr>
      <t>%</t>
    </r>
    <r>
      <rPr>
        <sz val="11"/>
        <color theme="1"/>
        <rFont val="MS UI Gothic"/>
        <family val="3"/>
        <charset val="128"/>
      </rPr>
      <t>　表示方式</t>
    </r>
    <phoneticPr fontId="6"/>
  </si>
  <si>
    <t>;生産終了予定時間　表示方式</t>
    <rPh sb="7" eb="9">
      <t>ジカン</t>
    </rPh>
    <phoneticPr fontId="6"/>
  </si>
  <si>
    <t>;不良回数　表示方式</t>
    <phoneticPr fontId="6"/>
  </si>
  <si>
    <t>;告知时间　　表示方式</t>
    <rPh sb="1" eb="3">
      <t>コクチ</t>
    </rPh>
    <phoneticPr fontId="6"/>
  </si>
  <si>
    <t>;IO表示</t>
    <rPh sb="3" eb="5">
      <t>ヒョウジ</t>
    </rPh>
    <phoneticPr fontId="6"/>
  </si>
  <si>
    <t>;ONの時IO名称、シンボル　文字色RGB</t>
    <rPh sb="4" eb="5">
      <t>トキ</t>
    </rPh>
    <rPh sb="7" eb="9">
      <t>メイショウ</t>
    </rPh>
    <rPh sb="15" eb="18">
      <t>モジショク</t>
    </rPh>
    <phoneticPr fontId="6"/>
  </si>
  <si>
    <t>;入力表示ページ数2~17</t>
    <phoneticPr fontId="6"/>
  </si>
  <si>
    <t>;出力表示ページ数2~20</t>
    <phoneticPr fontId="6"/>
  </si>
  <si>
    <t>;入力IO表示テーブルDI***の***の数値になります。</t>
    <rPh sb="1" eb="3">
      <t>ニュウリョク</t>
    </rPh>
    <rPh sb="5" eb="7">
      <t>ヒョウジ</t>
    </rPh>
    <rPh sb="21" eb="23">
      <t>スウチ</t>
    </rPh>
    <phoneticPr fontId="6"/>
  </si>
  <si>
    <t>;ページ6</t>
  </si>
  <si>
    <t>;ページ7</t>
  </si>
  <si>
    <t>;ページ8</t>
  </si>
  <si>
    <t>;ページ9</t>
  </si>
  <si>
    <t>;ページ10</t>
  </si>
  <si>
    <t>;ページ11</t>
  </si>
  <si>
    <t>;ページ12</t>
  </si>
  <si>
    <t>;ページ13</t>
  </si>
  <si>
    <t>;ページ14</t>
  </si>
  <si>
    <t>;ページ15</t>
  </si>
  <si>
    <t>;ページ16</t>
  </si>
  <si>
    <t>;ページ17</t>
  </si>
  <si>
    <t>;値無しのIOは表示しない。</t>
    <rPh sb="1" eb="3">
      <t>アタイナ</t>
    </rPh>
    <rPh sb="8" eb="10">
      <t>ヒョウジ</t>
    </rPh>
    <phoneticPr fontId="6"/>
  </si>
  <si>
    <t>;続いて出力IO表示ください。</t>
    <rPh sb="1" eb="2">
      <t>ツヅ</t>
    </rPh>
    <rPh sb="4" eb="6">
      <t>シュツリョク</t>
    </rPh>
    <rPh sb="8" eb="10">
      <t>ヒョウジ</t>
    </rPh>
    <phoneticPr fontId="6"/>
  </si>
  <si>
    <t>;出力IO表示テーブルDI***の***の数値になります。</t>
    <rPh sb="1" eb="3">
      <t>シュツリョク</t>
    </rPh>
    <rPh sb="5" eb="7">
      <t>ヒョウジ</t>
    </rPh>
    <rPh sb="21" eb="23">
      <t>スウチ</t>
    </rPh>
    <phoneticPr fontId="6"/>
  </si>
  <si>
    <t>;ページ1</t>
  </si>
  <si>
    <t>;ページ2</t>
  </si>
  <si>
    <t>;ページ4</t>
  </si>
  <si>
    <t>;ページ5</t>
  </si>
  <si>
    <t>;ページ18</t>
  </si>
  <si>
    <t>;ページ19</t>
  </si>
  <si>
    <t>;ページ20</t>
  </si>
  <si>
    <t>;タイマー</t>
    <phoneticPr fontId="6"/>
  </si>
  <si>
    <t>;タイマー　数値文字色RGB</t>
    <rPh sb="6" eb="8">
      <t>スウチ</t>
    </rPh>
    <rPh sb="8" eb="11">
      <t>モジショク</t>
    </rPh>
    <phoneticPr fontId="6"/>
  </si>
  <si>
    <t>;タイマー　数値表示方式</t>
    <rPh sb="6" eb="8">
      <t>スウチ</t>
    </rPh>
    <rPh sb="8" eb="10">
      <t>ヒョウジ</t>
    </rPh>
    <rPh sb="10" eb="12">
      <t>ホウシキ</t>
    </rPh>
    <phoneticPr fontId="6"/>
  </si>
  <si>
    <t>;カウンター1　数値文字色RGB</t>
    <rPh sb="8" eb="10">
      <t>スウチ</t>
    </rPh>
    <rPh sb="10" eb="13">
      <t>モジショク</t>
    </rPh>
    <phoneticPr fontId="6"/>
  </si>
  <si>
    <t>;カウンター2　数値文字色RGB</t>
    <rPh sb="8" eb="10">
      <t>スウチ</t>
    </rPh>
    <rPh sb="10" eb="13">
      <t>モジショク</t>
    </rPh>
    <phoneticPr fontId="6"/>
  </si>
  <si>
    <t>;カウンター3　数値文字色RGB</t>
    <rPh sb="8" eb="10">
      <t>スウチ</t>
    </rPh>
    <rPh sb="10" eb="13">
      <t>モジショク</t>
    </rPh>
    <phoneticPr fontId="6"/>
  </si>
  <si>
    <t>;カウンター4　数値文字色RGB</t>
    <rPh sb="8" eb="10">
      <t>スウチ</t>
    </rPh>
    <rPh sb="10" eb="13">
      <t>モジショク</t>
    </rPh>
    <phoneticPr fontId="6"/>
  </si>
  <si>
    <t>;カウンター5　数値文字色RGB</t>
    <rPh sb="8" eb="10">
      <t>スウチ</t>
    </rPh>
    <rPh sb="10" eb="13">
      <t>モジショク</t>
    </rPh>
    <phoneticPr fontId="6"/>
  </si>
  <si>
    <t>;カウンター6　数値文字色RGB</t>
    <rPh sb="8" eb="10">
      <t>スウチ</t>
    </rPh>
    <rPh sb="10" eb="13">
      <t>モジショク</t>
    </rPh>
    <phoneticPr fontId="6"/>
  </si>
  <si>
    <t>;カウンター7　数値文字色RGB</t>
    <rPh sb="8" eb="10">
      <t>スウチ</t>
    </rPh>
    <rPh sb="10" eb="13">
      <t>モジショク</t>
    </rPh>
    <phoneticPr fontId="6"/>
  </si>
  <si>
    <t>;カウンター8　数値文字色RGB</t>
    <rPh sb="8" eb="10">
      <t>スウチ</t>
    </rPh>
    <rPh sb="10" eb="13">
      <t>モジショク</t>
    </rPh>
    <phoneticPr fontId="6"/>
  </si>
  <si>
    <t>;カウンター1　数値表示方式</t>
    <rPh sb="8" eb="10">
      <t>スウチ</t>
    </rPh>
    <rPh sb="10" eb="12">
      <t>ヒョウジ</t>
    </rPh>
    <rPh sb="12" eb="14">
      <t>ホウシキ</t>
    </rPh>
    <phoneticPr fontId="6"/>
  </si>
  <si>
    <t>;カウンター2　数値表示方式</t>
    <rPh sb="8" eb="10">
      <t>スウチ</t>
    </rPh>
    <rPh sb="10" eb="12">
      <t>ヒョウジ</t>
    </rPh>
    <rPh sb="12" eb="14">
      <t>ホウシキ</t>
    </rPh>
    <phoneticPr fontId="6"/>
  </si>
  <si>
    <t>;カウンター3　数値表示方式</t>
    <rPh sb="8" eb="10">
      <t>スウチ</t>
    </rPh>
    <rPh sb="10" eb="12">
      <t>ヒョウジ</t>
    </rPh>
    <rPh sb="12" eb="14">
      <t>ホウシキ</t>
    </rPh>
    <phoneticPr fontId="6"/>
  </si>
  <si>
    <t>;カウンター4　数値表示方式</t>
    <rPh sb="8" eb="10">
      <t>スウチ</t>
    </rPh>
    <rPh sb="10" eb="12">
      <t>ヒョウジ</t>
    </rPh>
    <rPh sb="12" eb="14">
      <t>ホウシキ</t>
    </rPh>
    <phoneticPr fontId="6"/>
  </si>
  <si>
    <t>;カウンター5　数値表示方式</t>
    <rPh sb="8" eb="10">
      <t>スウチ</t>
    </rPh>
    <rPh sb="10" eb="12">
      <t>ヒョウジ</t>
    </rPh>
    <rPh sb="12" eb="14">
      <t>ホウシキ</t>
    </rPh>
    <phoneticPr fontId="6"/>
  </si>
  <si>
    <t>;カウンター6　数値表示方式</t>
    <rPh sb="8" eb="10">
      <t>スウチ</t>
    </rPh>
    <rPh sb="10" eb="12">
      <t>ヒョウジ</t>
    </rPh>
    <rPh sb="12" eb="14">
      <t>ホウシキ</t>
    </rPh>
    <phoneticPr fontId="6"/>
  </si>
  <si>
    <t>;カウンター7　数値表示方式</t>
    <rPh sb="8" eb="10">
      <t>スウチ</t>
    </rPh>
    <rPh sb="10" eb="12">
      <t>ヒョウジ</t>
    </rPh>
    <rPh sb="12" eb="14">
      <t>ホウシキ</t>
    </rPh>
    <phoneticPr fontId="6"/>
  </si>
  <si>
    <t>;カウンター8　数値表示方式</t>
    <rPh sb="8" eb="10">
      <t>スウチ</t>
    </rPh>
    <rPh sb="10" eb="12">
      <t>ヒョウジ</t>
    </rPh>
    <rPh sb="12" eb="14">
      <t>ホウシキ</t>
    </rPh>
    <phoneticPr fontId="6"/>
  </si>
  <si>
    <t>;group</t>
  </si>
  <si>
    <t>;画面4　モニタ画面</t>
    <phoneticPr fontId="6"/>
  </si>
  <si>
    <t>;タグ（IO表示、IO強制、ドライバ、内部）選択された時の　文字色RGB</t>
    <rPh sb="6" eb="8">
      <t>ヒョウジ</t>
    </rPh>
    <rPh sb="11" eb="13">
      <t>キョウセイ</t>
    </rPh>
    <rPh sb="19" eb="21">
      <t>ナイブ</t>
    </rPh>
    <rPh sb="22" eb="24">
      <t>センタク</t>
    </rPh>
    <rPh sb="27" eb="28">
      <t>トキ</t>
    </rPh>
    <rPh sb="30" eb="33">
      <t>モジショク</t>
    </rPh>
    <phoneticPr fontId="6"/>
  </si>
  <si>
    <t>;ボタン（取出し機、ツール、成型機）が選択された時　文字色RGB</t>
    <rPh sb="5" eb="7">
      <t>トリダ</t>
    </rPh>
    <rPh sb="8" eb="9">
      <t>キ</t>
    </rPh>
    <rPh sb="14" eb="16">
      <t>セイケイ</t>
    </rPh>
    <rPh sb="16" eb="17">
      <t>キ</t>
    </rPh>
    <rPh sb="19" eb="21">
      <t>センタク</t>
    </rPh>
    <rPh sb="24" eb="25">
      <t>トキ</t>
    </rPh>
    <rPh sb="26" eb="29">
      <t>モジショク</t>
    </rPh>
    <phoneticPr fontId="6"/>
  </si>
  <si>
    <t>;ページ表示　数値文字色RGB</t>
    <rPh sb="4" eb="6">
      <t>ヒョウジ</t>
    </rPh>
    <rPh sb="7" eb="9">
      <t>スウチ</t>
    </rPh>
    <rPh sb="9" eb="12">
      <t>モジショク</t>
    </rPh>
    <phoneticPr fontId="6"/>
  </si>
  <si>
    <t>;ONの時のIO名称　文字色RGB</t>
    <rPh sb="4" eb="5">
      <t>トキ</t>
    </rPh>
    <rPh sb="8" eb="10">
      <t>メイショウ</t>
    </rPh>
    <rPh sb="11" eb="13">
      <t>モジ</t>
    </rPh>
    <rPh sb="13" eb="14">
      <t>ショク</t>
    </rPh>
    <phoneticPr fontId="6"/>
  </si>
  <si>
    <t>;取出し機</t>
    <rPh sb="1" eb="3">
      <t>トリダ</t>
    </rPh>
    <rPh sb="4" eb="5">
      <t>キ</t>
    </rPh>
    <phoneticPr fontId="6"/>
  </si>
  <si>
    <t>;　ページNO.はIO強制時のページ番号です。</t>
    <rPh sb="11" eb="13">
      <t>キョウセイ</t>
    </rPh>
    <rPh sb="13" eb="14">
      <t>ジ</t>
    </rPh>
    <rPh sb="18" eb="20">
      <t>バンゴウ</t>
    </rPh>
    <phoneticPr fontId="6"/>
  </si>
  <si>
    <t>;　IO表示画面では一ページ　6×3＝18個IO表示します。</t>
    <rPh sb="4" eb="6">
      <t>ヒョウジ</t>
    </rPh>
    <rPh sb="6" eb="8">
      <t>ガメン</t>
    </rPh>
    <rPh sb="10" eb="11">
      <t>イチ</t>
    </rPh>
    <rPh sb="21" eb="22">
      <t>コ</t>
    </rPh>
    <rPh sb="24" eb="26">
      <t>ヒョウジ</t>
    </rPh>
    <phoneticPr fontId="6"/>
  </si>
  <si>
    <t>;　IO強制画面では一ページ　6×1＝6個IO表示します。</t>
    <rPh sb="4" eb="6">
      <t>キョウセイ</t>
    </rPh>
    <rPh sb="6" eb="8">
      <t>ガメン</t>
    </rPh>
    <rPh sb="10" eb="11">
      <t>イチ</t>
    </rPh>
    <rPh sb="20" eb="21">
      <t>コ</t>
    </rPh>
    <rPh sb="23" eb="25">
      <t>ヒョウジ</t>
    </rPh>
    <phoneticPr fontId="6"/>
  </si>
  <si>
    <t>;　-は変転無し</t>
    <rPh sb="4" eb="6">
      <t>ヘンテン</t>
    </rPh>
    <rPh sb="6" eb="7">
      <t>ナ</t>
    </rPh>
    <phoneticPr fontId="6"/>
  </si>
  <si>
    <t>;ページ3</t>
  </si>
  <si>
    <t>;成型機</t>
    <rPh sb="1" eb="4">
      <t>セイケイキ</t>
    </rPh>
    <phoneticPr fontId="6"/>
  </si>
  <si>
    <t>0</t>
  </si>
  <si>
    <t>;ページ21</t>
  </si>
  <si>
    <t>;ページ22</t>
  </si>
  <si>
    <t>;ページ23</t>
  </si>
  <si>
    <t>;ページ24</t>
  </si>
  <si>
    <t>;ページ25</t>
  </si>
  <si>
    <t>;ページ26</t>
  </si>
  <si>
    <t>;ページ27</t>
  </si>
  <si>
    <t>;ページ28</t>
  </si>
  <si>
    <t>;ページ29</t>
  </si>
  <si>
    <t>;ページ30</t>
  </si>
  <si>
    <t>;ページ31</t>
  </si>
  <si>
    <t>;ページ32</t>
  </si>
  <si>
    <t>;ページ33</t>
  </si>
  <si>
    <t>;IO強制</t>
    <rPh sb="3" eb="5">
      <t>キョウセイ</t>
    </rPh>
    <phoneticPr fontId="6"/>
  </si>
  <si>
    <t>;ONの時のIO名称　文字色RGB</t>
    <phoneticPr fontId="6"/>
  </si>
  <si>
    <t>;ドライバモニタ、リアル</t>
    <phoneticPr fontId="6"/>
  </si>
  <si>
    <t>;データ表示数値　文字色RGB</t>
    <rPh sb="4" eb="5">
      <t>ヒョウ</t>
    </rPh>
    <rPh sb="5" eb="6">
      <t>ジ</t>
    </rPh>
    <rPh sb="6" eb="8">
      <t>スウチ</t>
    </rPh>
    <phoneticPr fontId="6"/>
  </si>
  <si>
    <t>;タグ（「リアル」「ピーク」「波形」）選択された時表示　文字色RGB</t>
    <rPh sb="15" eb="17">
      <t>ハケイ</t>
    </rPh>
    <rPh sb="19" eb="21">
      <t>センタク</t>
    </rPh>
    <rPh sb="24" eb="25">
      <t>トキ</t>
    </rPh>
    <rPh sb="25" eb="27">
      <t>ヒョウジ</t>
    </rPh>
    <rPh sb="28" eb="31">
      <t>モジショク</t>
    </rPh>
    <phoneticPr fontId="6"/>
  </si>
  <si>
    <t>0</t>
    <phoneticPr fontId="6"/>
  </si>
  <si>
    <t>;表示方式（速度、偏差、トルク、負荷率、回生抵抗率）</t>
    <rPh sb="1" eb="3">
      <t>ヒョウジ</t>
    </rPh>
    <rPh sb="3" eb="5">
      <t>ホウシキ</t>
    </rPh>
    <rPh sb="6" eb="8">
      <t>ソクド</t>
    </rPh>
    <rPh sb="9" eb="11">
      <t>ヘンサ</t>
    </rPh>
    <rPh sb="16" eb="19">
      <t>フカリツ</t>
    </rPh>
    <rPh sb="20" eb="22">
      <t>カイセイ</t>
    </rPh>
    <rPh sb="22" eb="25">
      <t>テイコウリツ</t>
    </rPh>
    <phoneticPr fontId="6"/>
  </si>
  <si>
    <t>;Y軸</t>
    <rPh sb="2" eb="3">
      <t>ジク</t>
    </rPh>
    <phoneticPr fontId="6"/>
  </si>
  <si>
    <t>;MX軸</t>
    <rPh sb="3" eb="4">
      <t>ジク</t>
    </rPh>
    <phoneticPr fontId="6"/>
  </si>
  <si>
    <t>;MZ軸</t>
    <rPh sb="3" eb="4">
      <t>ジク</t>
    </rPh>
    <phoneticPr fontId="6"/>
  </si>
  <si>
    <t>;SX軸</t>
    <rPh sb="3" eb="4">
      <t>ジク</t>
    </rPh>
    <phoneticPr fontId="6"/>
  </si>
  <si>
    <t>;SZ軸</t>
    <rPh sb="3" eb="4">
      <t>ジク</t>
    </rPh>
    <phoneticPr fontId="6"/>
  </si>
  <si>
    <t>;ピーク</t>
    <phoneticPr fontId="6"/>
  </si>
  <si>
    <t>;波形</t>
    <rPh sb="1" eb="3">
      <t>ハケイ</t>
    </rPh>
    <phoneticPr fontId="6"/>
  </si>
  <si>
    <t>;選択された軸　文字色RGB</t>
    <rPh sb="1" eb="3">
      <t>センタク</t>
    </rPh>
    <rPh sb="6" eb="7">
      <t>ジク</t>
    </rPh>
    <phoneticPr fontId="6"/>
  </si>
  <si>
    <t>;予備　数値文字色RGB</t>
    <rPh sb="1" eb="3">
      <t>ヨビ</t>
    </rPh>
    <rPh sb="4" eb="6">
      <t>スウチ</t>
    </rPh>
    <rPh sb="6" eb="9">
      <t>モジショク</t>
    </rPh>
    <phoneticPr fontId="6"/>
  </si>
  <si>
    <t>;内部モニタ</t>
    <rPh sb="1" eb="3">
      <t>ナイブ</t>
    </rPh>
    <phoneticPr fontId="6"/>
  </si>
  <si>
    <t>;Bank　NO.　文字色RGB</t>
    <phoneticPr fontId="6"/>
  </si>
  <si>
    <t>;Bank内容　数値文字色RGB</t>
    <rPh sb="5" eb="7">
      <t>ナイヨウ</t>
    </rPh>
    <rPh sb="8" eb="10">
      <t>スウチ</t>
    </rPh>
    <rPh sb="10" eb="13">
      <t>モジショク</t>
    </rPh>
    <phoneticPr fontId="6"/>
  </si>
  <si>
    <t>;横縦　数値文字色RGB</t>
    <rPh sb="1" eb="3">
      <t>ヨコタテ</t>
    </rPh>
    <rPh sb="4" eb="6">
      <t>スウチ</t>
    </rPh>
    <rPh sb="6" eb="9">
      <t>モジショク</t>
    </rPh>
    <phoneticPr fontId="6"/>
  </si>
  <si>
    <t>;画面5　教導画面</t>
    <phoneticPr fontId="6"/>
  </si>
  <si>
    <t>C0</t>
    <phoneticPr fontId="6"/>
  </si>
  <si>
    <t>;選択されたTAG　文字表示RGB</t>
    <rPh sb="1" eb="3">
      <t>センタク</t>
    </rPh>
    <rPh sb="10" eb="12">
      <t>モジ</t>
    </rPh>
    <rPh sb="12" eb="14">
      <t>ヒョウジ</t>
    </rPh>
    <phoneticPr fontId="6"/>
  </si>
  <si>
    <t>;画面6　モード画面</t>
    <rPh sb="8" eb="10">
      <t>ガメン</t>
    </rPh>
    <phoneticPr fontId="6"/>
  </si>
  <si>
    <t>;ONになったモード　文字表示RGB</t>
    <rPh sb="11" eb="13">
      <t>モジ</t>
    </rPh>
    <rPh sb="13" eb="15">
      <t>ヒョウジ</t>
    </rPh>
    <phoneticPr fontId="6"/>
  </si>
  <si>
    <t>;DIxxxx</t>
    <phoneticPr fontId="17" type="noConversion"/>
  </si>
  <si>
    <t>;副臂</t>
    <phoneticPr fontId="17" type="noConversion"/>
  </si>
  <si>
    <t>;下降待机</t>
    <phoneticPr fontId="17" type="noConversion"/>
  </si>
  <si>
    <r>
      <t>;取出姿</t>
    </r>
    <r>
      <rPr>
        <sz val="9"/>
        <color theme="1"/>
        <rFont val="等线"/>
        <family val="2"/>
        <charset val="134"/>
        <scheme val="minor"/>
      </rPr>
      <t>势</t>
    </r>
    <r>
      <rPr>
        <sz val="9"/>
        <color theme="1"/>
        <rFont val="等线"/>
        <family val="3"/>
        <charset val="128"/>
        <scheme val="minor"/>
      </rPr>
      <t>1</t>
    </r>
    <phoneticPr fontId="17" type="noConversion"/>
  </si>
  <si>
    <t>;不良品排出</t>
    <phoneticPr fontId="17" type="noConversion"/>
  </si>
  <si>
    <r>
      <t>;</t>
    </r>
    <r>
      <rPr>
        <sz val="9"/>
        <color theme="1"/>
        <rFont val="等线"/>
        <family val="2"/>
        <charset val="134"/>
        <scheme val="minor"/>
      </rPr>
      <t>样</t>
    </r>
    <r>
      <rPr>
        <sz val="9"/>
        <color theme="1"/>
        <rFont val="等线"/>
        <family val="3"/>
        <charset val="128"/>
        <scheme val="minor"/>
      </rPr>
      <t>品排出</t>
    </r>
    <phoneticPr fontId="17" type="noConversion"/>
  </si>
  <si>
    <t>;初期品排出</t>
    <phoneticPr fontId="17" type="noConversion"/>
  </si>
  <si>
    <r>
      <t>;</t>
    </r>
    <r>
      <rPr>
        <sz val="9"/>
        <color theme="1"/>
        <rFont val="等线"/>
        <family val="2"/>
        <charset val="134"/>
        <scheme val="minor"/>
      </rPr>
      <t>门</t>
    </r>
    <r>
      <rPr>
        <sz val="9"/>
        <color theme="1"/>
        <rFont val="等线"/>
        <family val="3"/>
        <charset val="128"/>
        <scheme val="minor"/>
      </rPr>
      <t>开可下</t>
    </r>
    <phoneticPr fontId="17" type="noConversion"/>
  </si>
  <si>
    <r>
      <t>;抱吸失</t>
    </r>
    <r>
      <rPr>
        <sz val="11"/>
        <color theme="1"/>
        <rFont val="等线"/>
        <family val="2"/>
        <charset val="134"/>
        <scheme val="minor"/>
      </rPr>
      <t>误</t>
    </r>
    <r>
      <rPr>
        <sz val="11"/>
        <color theme="1"/>
        <rFont val="等线"/>
        <family val="3"/>
        <charset val="128"/>
        <scheme val="minor"/>
      </rPr>
      <t>即停</t>
    </r>
    <phoneticPr fontId="6"/>
  </si>
  <si>
    <r>
      <t>;</t>
    </r>
    <r>
      <rPr>
        <sz val="9"/>
        <color theme="1"/>
        <rFont val="等线"/>
        <family val="2"/>
        <charset val="134"/>
        <scheme val="minor"/>
      </rPr>
      <t>预</t>
    </r>
    <r>
      <rPr>
        <sz val="9"/>
        <color theme="1"/>
        <rFont val="等线"/>
        <family val="3"/>
        <charset val="128"/>
        <scheme val="minor"/>
      </rPr>
      <t>留功能</t>
    </r>
    <phoneticPr fontId="17" type="noConversion"/>
  </si>
  <si>
    <r>
      <t>;蜂</t>
    </r>
    <r>
      <rPr>
        <sz val="9"/>
        <color theme="1"/>
        <rFont val="等线"/>
        <family val="2"/>
        <charset val="134"/>
        <scheme val="minor"/>
      </rPr>
      <t>鸣</t>
    </r>
    <r>
      <rPr>
        <sz val="9"/>
        <color theme="1"/>
        <rFont val="等线"/>
        <family val="3"/>
        <charset val="128"/>
        <scheme val="minor"/>
      </rPr>
      <t>器</t>
    </r>
    <phoneticPr fontId="17" type="noConversion"/>
  </si>
  <si>
    <r>
      <t>;吸</t>
    </r>
    <r>
      <rPr>
        <sz val="9"/>
        <color theme="1"/>
        <rFont val="等线"/>
        <family val="2"/>
        <charset val="134"/>
        <scheme val="minor"/>
      </rPr>
      <t>盘</t>
    </r>
    <r>
      <rPr>
        <sz val="9"/>
        <color theme="1"/>
        <rFont val="等线"/>
        <family val="3"/>
        <charset val="128"/>
        <scheme val="minor"/>
      </rPr>
      <t>4</t>
    </r>
    <phoneticPr fontId="6"/>
  </si>
  <si>
    <r>
      <t>;抱具1</t>
    </r>
    <r>
      <rPr>
        <sz val="9"/>
        <color theme="1"/>
        <rFont val="等线"/>
        <family val="2"/>
        <charset val="134"/>
        <scheme val="minor"/>
      </rPr>
      <t>检测</t>
    </r>
    <phoneticPr fontId="17" type="noConversion"/>
  </si>
  <si>
    <t>;DEC</t>
    <phoneticPr fontId="6"/>
  </si>
  <si>
    <t>;モードの表示ユーザレベルによる設定表</t>
    <rPh sb="5" eb="7">
      <t>ヒョウジ</t>
    </rPh>
    <rPh sb="16" eb="19">
      <t>セッテイヒョウ</t>
    </rPh>
    <phoneticPr fontId="6"/>
  </si>
  <si>
    <t>；level1</t>
    <phoneticPr fontId="6"/>
  </si>
  <si>
    <t>;mode1-8</t>
    <phoneticPr fontId="6"/>
  </si>
  <si>
    <t>page1</t>
    <phoneticPr fontId="6"/>
  </si>
  <si>
    <t>;mode9-16</t>
    <phoneticPr fontId="6"/>
  </si>
  <si>
    <t>page2</t>
  </si>
  <si>
    <t>;mode17-24</t>
    <phoneticPr fontId="6"/>
  </si>
  <si>
    <t>page3</t>
  </si>
  <si>
    <t>;mode25-32</t>
    <phoneticPr fontId="17" type="noConversion"/>
  </si>
  <si>
    <t>page4</t>
  </si>
  <si>
    <t>;mode33-40</t>
    <phoneticPr fontId="17" type="noConversion"/>
  </si>
  <si>
    <t>page5</t>
  </si>
  <si>
    <t>;mode41-48</t>
    <phoneticPr fontId="17" type="noConversion"/>
  </si>
  <si>
    <t>page6</t>
  </si>
  <si>
    <t>;mode49-56</t>
    <phoneticPr fontId="17" type="noConversion"/>
  </si>
  <si>
    <t>page7</t>
  </si>
  <si>
    <t>;mode57-64</t>
    <phoneticPr fontId="17" type="noConversion"/>
  </si>
  <si>
    <t>page8</t>
  </si>
  <si>
    <t>;mode显示位置255不显示,1-64显示mode1-64</t>
    <phoneticPr fontId="6"/>
  </si>
  <si>
    <t>；level2</t>
    <phoneticPr fontId="6"/>
  </si>
  <si>
    <t>；level3</t>
    <phoneticPr fontId="6"/>
  </si>
  <si>
    <t>；level4</t>
    <phoneticPr fontId="6"/>
  </si>
  <si>
    <t>；level5</t>
    <phoneticPr fontId="6"/>
  </si>
  <si>
    <t>;画面7　位置設定画面</t>
    <rPh sb="5" eb="11">
      <t>イチセッテイガメン</t>
    </rPh>
    <phoneticPr fontId="6"/>
  </si>
  <si>
    <t>;位置　　数値文字色RGB</t>
    <rPh sb="1" eb="3">
      <t>イチ</t>
    </rPh>
    <rPh sb="5" eb="7">
      <t>スウチ</t>
    </rPh>
    <rPh sb="7" eb="10">
      <t>モジショク</t>
    </rPh>
    <phoneticPr fontId="6"/>
  </si>
  <si>
    <t>;エンコーダ　数値文字色RGB</t>
    <rPh sb="7" eb="9">
      <t>スウチ</t>
    </rPh>
    <rPh sb="9" eb="12">
      <t>モジショク</t>
    </rPh>
    <phoneticPr fontId="6"/>
  </si>
  <si>
    <t>;設定値　数値文字色RGB</t>
    <rPh sb="1" eb="4">
      <t>セッテイチ</t>
    </rPh>
    <rPh sb="5" eb="7">
      <t>スウチ</t>
    </rPh>
    <rPh sb="7" eb="10">
      <t>モジショク</t>
    </rPh>
    <phoneticPr fontId="6"/>
  </si>
  <si>
    <t>;選択されたTAG　文字表示RGB</t>
    <phoneticPr fontId="6"/>
  </si>
  <si>
    <t>;表示するポイント数</t>
    <rPh sb="1" eb="3">
      <t>ヒョウジ</t>
    </rPh>
    <rPh sb="9" eb="10">
      <t>スウ</t>
    </rPh>
    <phoneticPr fontId="6"/>
  </si>
  <si>
    <t>;エンコーダ</t>
    <phoneticPr fontId="6"/>
  </si>
  <si>
    <t>;設定値</t>
    <rPh sb="1" eb="4">
      <t>セッテイチ</t>
    </rPh>
    <phoneticPr fontId="6"/>
  </si>
  <si>
    <t>;表示方式</t>
    <rPh sb="1" eb="3">
      <t>ヒョウジ</t>
    </rPh>
    <rPh sb="3" eb="5">
      <t>ホウシキ</t>
    </rPh>
    <phoneticPr fontId="6"/>
  </si>
  <si>
    <t>;位置修正</t>
    <rPh sb="1" eb="5">
      <t>イチシュウセイ</t>
    </rPh>
    <phoneticPr fontId="6"/>
  </si>
  <si>
    <t>;現在位置　　数値文字色RGB</t>
    <rPh sb="1" eb="3">
      <t>ゲンザイ</t>
    </rPh>
    <rPh sb="3" eb="5">
      <t>イチ</t>
    </rPh>
    <rPh sb="7" eb="9">
      <t>スウチ</t>
    </rPh>
    <rPh sb="9" eb="12">
      <t>モジショク</t>
    </rPh>
    <phoneticPr fontId="6"/>
  </si>
  <si>
    <t>;表示データ　数値文字色RGB</t>
    <rPh sb="1" eb="3">
      <t>ヒョウジ</t>
    </rPh>
    <rPh sb="7" eb="9">
      <t>スウチ</t>
    </rPh>
    <rPh sb="9" eb="12">
      <t>モジショク</t>
    </rPh>
    <phoneticPr fontId="6"/>
  </si>
  <si>
    <t>;ページ数　数値文字色RGB</t>
    <rPh sb="4" eb="5">
      <t>スウ</t>
    </rPh>
    <rPh sb="6" eb="8">
      <t>スウチ</t>
    </rPh>
    <rPh sb="8" eb="11">
      <t>モジショク</t>
    </rPh>
    <phoneticPr fontId="6"/>
  </si>
  <si>
    <t>;POINT表示順番設定表</t>
    <rPh sb="6" eb="10">
      <t>ヒョウジジュンバン</t>
    </rPh>
    <rPh sb="10" eb="13">
      <t>セッテイヒョウ</t>
    </rPh>
    <phoneticPr fontId="6"/>
  </si>
  <si>
    <t>;データがPOINT***の***になります。</t>
    <phoneticPr fontId="6"/>
  </si>
  <si>
    <t>;page1（8AXIS）</t>
    <phoneticPr fontId="6"/>
  </si>
  <si>
    <t>;page2（8AXIS）</t>
    <phoneticPr fontId="6"/>
  </si>
  <si>
    <t>;page3（8AXIS）</t>
    <phoneticPr fontId="6"/>
  </si>
  <si>
    <t>;page4（8AXIS）</t>
    <phoneticPr fontId="6"/>
  </si>
  <si>
    <t>;page5（8AXIS）</t>
    <phoneticPr fontId="6"/>
  </si>
  <si>
    <t>;page6（8AXIS）</t>
    <phoneticPr fontId="6"/>
  </si>
  <si>
    <t>;page7（8AXIS）</t>
    <phoneticPr fontId="6"/>
  </si>
  <si>
    <t>;page8（8AXIS）</t>
    <phoneticPr fontId="6"/>
  </si>
  <si>
    <t>;page9（8AXIS）</t>
    <phoneticPr fontId="6"/>
  </si>
  <si>
    <t>;page10（8AXIS）</t>
    <phoneticPr fontId="6"/>
  </si>
  <si>
    <t>;page11（8AXIS）</t>
    <phoneticPr fontId="6"/>
  </si>
  <si>
    <t>;現在位置、現在速度のMODBUSアドレスHR****の****部分である。</t>
    <rPh sb="1" eb="3">
      <t>ゲンザイ</t>
    </rPh>
    <rPh sb="3" eb="5">
      <t>イチ</t>
    </rPh>
    <rPh sb="6" eb="8">
      <t>ゲンザイ</t>
    </rPh>
    <rPh sb="8" eb="10">
      <t>ソクド</t>
    </rPh>
    <rPh sb="32" eb="34">
      <t>ブブン</t>
    </rPh>
    <phoneticPr fontId="6"/>
  </si>
  <si>
    <t>;Y軸</t>
    <rPh sb="1" eb="2">
      <t>ジク</t>
    </rPh>
    <phoneticPr fontId="16"/>
  </si>
  <si>
    <t>;MX軸</t>
    <rPh sb="1" eb="2">
      <t>ジク</t>
    </rPh>
    <phoneticPr fontId="16"/>
  </si>
  <si>
    <t>;SX軸</t>
    <rPh sb="1" eb="2">
      <t>ジク</t>
    </rPh>
    <phoneticPr fontId="16"/>
  </si>
  <si>
    <t>;MZ軸</t>
    <rPh sb="1" eb="2">
      <t>ジク</t>
    </rPh>
    <phoneticPr fontId="16"/>
  </si>
  <si>
    <t>;SZ軸</t>
    <rPh sb="1" eb="2">
      <t>ジク</t>
    </rPh>
    <phoneticPr fontId="16"/>
  </si>
  <si>
    <t>;軸6</t>
    <rPh sb="1" eb="2">
      <t>ジク</t>
    </rPh>
    <phoneticPr fontId="16"/>
  </si>
  <si>
    <t>;軸7</t>
    <rPh sb="1" eb="2">
      <t>ジク</t>
    </rPh>
    <phoneticPr fontId="16"/>
  </si>
  <si>
    <t>;軸8</t>
    <rPh sb="1" eb="2">
      <t>ジク</t>
    </rPh>
    <phoneticPr fontId="16"/>
  </si>
  <si>
    <t>;位置</t>
    <rPh sb="1" eb="3">
      <t>イチ</t>
    </rPh>
    <phoneticPr fontId="6"/>
  </si>
  <si>
    <t>;速度</t>
    <rPh sb="1" eb="3">
      <t>ソクド</t>
    </rPh>
    <phoneticPr fontId="16"/>
  </si>
  <si>
    <t>MODBUSADDRESS</t>
    <phoneticPr fontId="6"/>
  </si>
  <si>
    <t>表示方式</t>
    <rPh sb="0" eb="4">
      <t>ヒョウジホウシキ</t>
    </rPh>
    <phoneticPr fontId="6"/>
  </si>
  <si>
    <t>;各ポイントの設定位置、速度のMODBUSアドレスHR****の****部分である。</t>
    <rPh sb="1" eb="2">
      <t>カク</t>
    </rPh>
    <rPh sb="7" eb="9">
      <t>セッテイ</t>
    </rPh>
    <rPh sb="9" eb="11">
      <t>イチ</t>
    </rPh>
    <rPh sb="12" eb="14">
      <t>ソクド</t>
    </rPh>
    <rPh sb="36" eb="38">
      <t>ブブン</t>
    </rPh>
    <phoneticPr fontId="6"/>
  </si>
  <si>
    <t>;POINT1</t>
  </si>
  <si>
    <t>;POINT2</t>
  </si>
  <si>
    <t>;POINT3</t>
  </si>
  <si>
    <t>;POINT4</t>
  </si>
  <si>
    <t>;POINT5</t>
  </si>
  <si>
    <t>;POINT6</t>
  </si>
  <si>
    <t>;POINT7</t>
  </si>
  <si>
    <t>;POINT8</t>
  </si>
  <si>
    <t>;POINT9</t>
  </si>
  <si>
    <t>;POINT10</t>
  </si>
  <si>
    <t>;POINT11</t>
  </si>
  <si>
    <t>;POINT12</t>
  </si>
  <si>
    <t>;POINT13</t>
  </si>
  <si>
    <t>;POINT14</t>
  </si>
  <si>
    <t>;POINT15</t>
  </si>
  <si>
    <t>;POINT16</t>
  </si>
  <si>
    <t>;POINT17</t>
  </si>
  <si>
    <t>;POINT18</t>
  </si>
  <si>
    <t>;POINT19</t>
  </si>
  <si>
    <t>;POINT20</t>
  </si>
  <si>
    <t>;POINT21</t>
  </si>
  <si>
    <t>;POINT22</t>
  </si>
  <si>
    <t>;POINT23</t>
  </si>
  <si>
    <t>;POINT24</t>
  </si>
  <si>
    <t>;POINT25</t>
  </si>
  <si>
    <t>;POINT26</t>
  </si>
  <si>
    <t>;POINT27</t>
  </si>
  <si>
    <t>;POINT28</t>
  </si>
  <si>
    <t>;POINT29</t>
  </si>
  <si>
    <t>;POINT30</t>
  </si>
  <si>
    <t>;POINT31</t>
  </si>
  <si>
    <t>;POINT32</t>
  </si>
  <si>
    <t>;POINT33</t>
  </si>
  <si>
    <t>;POINT34</t>
  </si>
  <si>
    <t>;POINT35</t>
  </si>
  <si>
    <t>;POINT36</t>
  </si>
  <si>
    <t>;POINT37</t>
  </si>
  <si>
    <t>;POINT38</t>
  </si>
  <si>
    <t>;POINT39</t>
  </si>
  <si>
    <t>;POINT40</t>
  </si>
  <si>
    <t>;POINT41</t>
  </si>
  <si>
    <t>;POINT42</t>
  </si>
  <si>
    <t>;POINT43</t>
  </si>
  <si>
    <t>;POINT44</t>
  </si>
  <si>
    <t>;POINT45</t>
  </si>
  <si>
    <t>;POINT46</t>
  </si>
  <si>
    <t>;POINT47</t>
  </si>
  <si>
    <t>;POINT48</t>
  </si>
  <si>
    <t>;POINT49</t>
  </si>
  <si>
    <t>;POINT50</t>
  </si>
  <si>
    <t>;POINT51</t>
  </si>
  <si>
    <t>;POINT52</t>
  </si>
  <si>
    <t>;POINT53</t>
  </si>
  <si>
    <t>;POINT54</t>
  </si>
  <si>
    <t>;POINT55</t>
  </si>
  <si>
    <t>;POINT56</t>
  </si>
  <si>
    <t>;POINT57</t>
  </si>
  <si>
    <t>;POINT58</t>
  </si>
  <si>
    <t>;POINT59</t>
  </si>
  <si>
    <t>;POINT60</t>
  </si>
  <si>
    <t>;POINT61</t>
  </si>
  <si>
    <t>;POINT62</t>
  </si>
  <si>
    <t>;POINT63</t>
  </si>
  <si>
    <t>;POINT64</t>
  </si>
  <si>
    <t>;POINT65</t>
  </si>
  <si>
    <t>;POINT66</t>
  </si>
  <si>
    <t>;POINT67</t>
  </si>
  <si>
    <t>;POINT68</t>
  </si>
  <si>
    <t>;POINT69</t>
  </si>
  <si>
    <t>;POINT70</t>
  </si>
  <si>
    <t>;POINT71</t>
  </si>
  <si>
    <t>;POINT72</t>
  </si>
  <si>
    <t>;POINT73</t>
  </si>
  <si>
    <t>;POINT74</t>
  </si>
  <si>
    <t>;POINT75</t>
  </si>
  <si>
    <t>;POINT76</t>
  </si>
  <si>
    <t>;POINT77</t>
  </si>
  <si>
    <t>;POINT78</t>
  </si>
  <si>
    <t>;POINT79</t>
  </si>
  <si>
    <t>;POINT80</t>
  </si>
  <si>
    <t>;POINT201</t>
  </si>
  <si>
    <t>;POINT202</t>
  </si>
  <si>
    <t>;POINT203</t>
  </si>
  <si>
    <t>;POINT204</t>
  </si>
  <si>
    <t>;POINT205</t>
  </si>
  <si>
    <t>;POINT206</t>
  </si>
  <si>
    <t>;POINT207</t>
  </si>
  <si>
    <t>;POINT208</t>
  </si>
  <si>
    <t>;各ポイントの設定位置、速度の表示方式</t>
    <rPh sb="1" eb="2">
      <t>カク</t>
    </rPh>
    <rPh sb="7" eb="9">
      <t>セッテイ</t>
    </rPh>
    <rPh sb="9" eb="11">
      <t>イチ</t>
    </rPh>
    <rPh sb="12" eb="14">
      <t>ソクド</t>
    </rPh>
    <rPh sb="15" eb="17">
      <t>ヒョウジ</t>
    </rPh>
    <rPh sb="17" eb="19">
      <t>ホウシキ</t>
    </rPh>
    <phoneticPr fontId="6"/>
  </si>
  <si>
    <t>；0は非表示です。</t>
    <rPh sb="3" eb="6">
      <t>ヒヒョウジ</t>
    </rPh>
    <phoneticPr fontId="6"/>
  </si>
  <si>
    <t>；非表示は灰色PNGで、値の表示がなしです。。</t>
    <rPh sb="1" eb="4">
      <t>ヒヒョウジ</t>
    </rPh>
    <rPh sb="5" eb="7">
      <t>ハイイロ</t>
    </rPh>
    <rPh sb="12" eb="13">
      <t>アタイ</t>
    </rPh>
    <rPh sb="14" eb="16">
      <t>ヒョウジ</t>
    </rPh>
    <phoneticPr fontId="6"/>
  </si>
  <si>
    <t>;HEX</t>
    <phoneticPr fontId="6"/>
  </si>
  <si>
    <t>ポイントの設定できる軸の設定表</t>
    <rPh sb="5" eb="7">
      <t>セッテイ</t>
    </rPh>
    <rPh sb="10" eb="11">
      <t>ジク</t>
    </rPh>
    <rPh sb="12" eb="14">
      <t>セッテイ</t>
    </rPh>
    <rPh sb="14" eb="15">
      <t>ヒョウ</t>
    </rPh>
    <phoneticPr fontId="6"/>
  </si>
  <si>
    <t>;mode</t>
    <phoneticPr fontId="6"/>
  </si>
  <si>
    <t>;point1-8（1-8AXIS）</t>
    <phoneticPr fontId="6"/>
  </si>
  <si>
    <t>;point9-16（1-8AXIS）</t>
    <phoneticPr fontId="6"/>
  </si>
  <si>
    <t>;point17-24（1-8AXIS）</t>
    <phoneticPr fontId="6"/>
  </si>
  <si>
    <t>;point25-32（1-8AXIS）</t>
    <phoneticPr fontId="6"/>
  </si>
  <si>
    <t>;point33-40（1-8AXIS）</t>
    <phoneticPr fontId="6"/>
  </si>
  <si>
    <t>;point41-48（1-8AXIS）</t>
    <phoneticPr fontId="6"/>
  </si>
  <si>
    <t>;point49-56（1-8AXIS）</t>
    <phoneticPr fontId="6"/>
  </si>
  <si>
    <t>;point57-64（1-8AXIS）</t>
    <phoneticPr fontId="6"/>
  </si>
  <si>
    <t>;point65-72（1-8AXIS）</t>
    <phoneticPr fontId="6"/>
  </si>
  <si>
    <t>;point73-80（1-8AXIS）</t>
    <phoneticPr fontId="6"/>
  </si>
  <si>
    <t>;point201-208（1-8AXIS）</t>
    <phoneticPr fontId="6"/>
  </si>
  <si>
    <t>;控制【位置设定】画面中的point是否能被设定（不能设定时，字体和数字显示灰色）</t>
    <phoneticPr fontId="6"/>
  </si>
  <si>
    <t>;画面8　パレタイズ画面</t>
    <rPh sb="10" eb="12">
      <t>ガメン</t>
    </rPh>
    <phoneticPr fontId="6"/>
  </si>
  <si>
    <t>標準パレタイズ画面</t>
    <rPh sb="0" eb="2">
      <t>ヒョウジュン</t>
    </rPh>
    <rPh sb="7" eb="9">
      <t>ガメン</t>
    </rPh>
    <phoneticPr fontId="6"/>
  </si>
  <si>
    <t>;下降減速　位置数値文字色RGB</t>
    <rPh sb="1" eb="2">
      <t>ゲ</t>
    </rPh>
    <rPh sb="2" eb="3">
      <t>コウ</t>
    </rPh>
    <rPh sb="3" eb="5">
      <t>ゲンソク</t>
    </rPh>
    <rPh sb="6" eb="8">
      <t>イチ</t>
    </rPh>
    <rPh sb="8" eb="13">
      <t>スウチモジショク</t>
    </rPh>
    <phoneticPr fontId="6"/>
  </si>
  <si>
    <t>;下降減速　速度数値文字色RGB</t>
    <rPh sb="6" eb="8">
      <t>ソクド</t>
    </rPh>
    <phoneticPr fontId="6"/>
  </si>
  <si>
    <t>;上昇減速　位置数値文字色RGB</t>
    <rPh sb="1" eb="3">
      <t>ジョウショウ</t>
    </rPh>
    <rPh sb="3" eb="5">
      <t>ゲンソク</t>
    </rPh>
    <rPh sb="6" eb="8">
      <t>イチ</t>
    </rPh>
    <rPh sb="8" eb="13">
      <t>スウチモジショク</t>
    </rPh>
    <phoneticPr fontId="6"/>
  </si>
  <si>
    <t>;上昇減速　速度数値文字色RGB</t>
    <rPh sb="6" eb="8">
      <t>ソクド</t>
    </rPh>
    <phoneticPr fontId="6"/>
  </si>
  <si>
    <t>;現在位置　数値文字色RGB</t>
    <rPh sb="1" eb="3">
      <t>ゲンザイ</t>
    </rPh>
    <rPh sb="3" eb="5">
      <t>イチ</t>
    </rPh>
    <rPh sb="6" eb="8">
      <t>スウチ</t>
    </rPh>
    <rPh sb="8" eb="10">
      <t>モジ</t>
    </rPh>
    <rPh sb="10" eb="11">
      <t>ショク</t>
    </rPh>
    <phoneticPr fontId="6"/>
  </si>
  <si>
    <t>;開始位置　数値文字色RGB</t>
    <rPh sb="1" eb="3">
      <t>カイシ</t>
    </rPh>
    <rPh sb="3" eb="5">
      <t>イチ</t>
    </rPh>
    <rPh sb="6" eb="8">
      <t>スウチ</t>
    </rPh>
    <rPh sb="8" eb="11">
      <t>モジショク</t>
    </rPh>
    <phoneticPr fontId="6"/>
  </si>
  <si>
    <t>;開始速度　数値文字色RGB</t>
    <rPh sb="1" eb="3">
      <t>カイシ</t>
    </rPh>
    <rPh sb="3" eb="5">
      <t>ソクド</t>
    </rPh>
    <rPh sb="6" eb="8">
      <t>スウチ</t>
    </rPh>
    <rPh sb="8" eb="11">
      <t>モジショク</t>
    </rPh>
    <phoneticPr fontId="6"/>
  </si>
  <si>
    <t>;現在ポイントカウント値　数値RGB</t>
    <rPh sb="1" eb="3">
      <t>ゲンザイ</t>
    </rPh>
    <rPh sb="11" eb="12">
      <t>アタイ</t>
    </rPh>
    <rPh sb="13" eb="15">
      <t>スウチ</t>
    </rPh>
    <phoneticPr fontId="6"/>
  </si>
  <si>
    <t>;設定ポイント値　数値文字色RGB</t>
    <rPh sb="1" eb="3">
      <t>セッテイ</t>
    </rPh>
    <rPh sb="7" eb="8">
      <t>アタイ</t>
    </rPh>
    <rPh sb="9" eb="11">
      <t>スウチ</t>
    </rPh>
    <rPh sb="11" eb="14">
      <t>モジショク</t>
    </rPh>
    <phoneticPr fontId="6"/>
  </si>
  <si>
    <t>;ピッチ　数値文字色RGB値</t>
    <rPh sb="5" eb="7">
      <t>スウチ</t>
    </rPh>
    <rPh sb="7" eb="10">
      <t>モジショク</t>
    </rPh>
    <rPh sb="13" eb="14">
      <t>チ</t>
    </rPh>
    <phoneticPr fontId="6"/>
  </si>
  <si>
    <t>;現在位置、開始位置、開始速度、ポイントカウント値、ポイント設定値、ピッチ、軸番号、空きの表示方式</t>
  </si>
  <si>
    <t>;下降減速位置、速度と上昇減速位置、速度、空き、空き、空き、空きの表示方式</t>
    <rPh sb="1" eb="2">
      <t>ゲ</t>
    </rPh>
    <rPh sb="2" eb="3">
      <t>コウ</t>
    </rPh>
    <rPh sb="3" eb="5">
      <t>ゲンソク</t>
    </rPh>
    <rPh sb="5" eb="7">
      <t>イチ</t>
    </rPh>
    <rPh sb="8" eb="10">
      <t>ソクド</t>
    </rPh>
    <rPh sb="11" eb="13">
      <t>ジョウショウ</t>
    </rPh>
    <rPh sb="13" eb="15">
      <t>ゲンソク</t>
    </rPh>
    <rPh sb="15" eb="17">
      <t>イチ</t>
    </rPh>
    <rPh sb="18" eb="20">
      <t>ソクド</t>
    </rPh>
    <rPh sb="21" eb="22">
      <t>ア</t>
    </rPh>
    <rPh sb="24" eb="25">
      <t>ア</t>
    </rPh>
    <rPh sb="27" eb="28">
      <t>ア</t>
    </rPh>
    <rPh sb="30" eb="31">
      <t>ア</t>
    </rPh>
    <rPh sb="33" eb="35">
      <t>ヒョウジ</t>
    </rPh>
    <rPh sb="35" eb="37">
      <t>ホウシキ</t>
    </rPh>
    <phoneticPr fontId="6"/>
  </si>
  <si>
    <t>;自由パレタイズ画面</t>
    <phoneticPr fontId="6"/>
  </si>
  <si>
    <t>;补正值　数値文字色RGB</t>
    <rPh sb="1" eb="3">
      <t>ゲンザイ</t>
    </rPh>
    <rPh sb="3" eb="5">
      <t>イチ</t>
    </rPh>
    <rPh sb="6" eb="8">
      <t>スウチ</t>
    </rPh>
    <rPh sb="8" eb="10">
      <t>モジ</t>
    </rPh>
    <rPh sb="10" eb="11">
      <t>ショク</t>
    </rPh>
    <phoneticPr fontId="6"/>
  </si>
  <si>
    <t>;补正速度　数値文字色RGB</t>
    <rPh sb="1" eb="3">
      <t>ゲンザイ</t>
    </rPh>
    <rPh sb="3" eb="5">
      <t>イチ</t>
    </rPh>
    <rPh sb="6" eb="8">
      <t>スウチ</t>
    </rPh>
    <rPh sb="8" eb="10">
      <t>モジ</t>
    </rPh>
    <rPh sb="10" eb="11">
      <t>ショク</t>
    </rPh>
    <phoneticPr fontId="6"/>
  </si>
  <si>
    <t>;FPxxx数値文字色RGB</t>
    <rPh sb="1" eb="3">
      <t>ゲンザイ</t>
    </rPh>
    <rPh sb="3" eb="5">
      <t>イチ</t>
    </rPh>
    <rPh sb="6" eb="8">
      <t>スウチ</t>
    </rPh>
    <rPh sb="8" eb="10">
      <t>モジ</t>
    </rPh>
    <rPh sb="10" eb="11">
      <t>ショク</t>
    </rPh>
    <phoneticPr fontId="6"/>
  </si>
  <si>
    <t>;ページないデータ　　数値文字RGB</t>
    <rPh sb="11" eb="15">
      <t>スウチモジ</t>
    </rPh>
    <phoneticPr fontId="6"/>
  </si>
  <si>
    <r>
      <t>;当前数量、</t>
    </r>
    <r>
      <rPr>
        <sz val="11"/>
        <rFont val="Microsoft JhengHei"/>
        <family val="2"/>
        <charset val="136"/>
      </rPr>
      <t>设</t>
    </r>
    <r>
      <rPr>
        <sz val="11"/>
        <rFont val="等线"/>
        <family val="3"/>
        <charset val="128"/>
        <scheme val="minor"/>
      </rPr>
      <t>定数量、</t>
    </r>
    <r>
      <rPr>
        <sz val="11"/>
        <rFont val="Microsoft JhengHei"/>
        <family val="2"/>
        <charset val="136"/>
      </rPr>
      <t>现</t>
    </r>
    <r>
      <rPr>
        <sz val="11"/>
        <rFont val="等线"/>
        <family val="3"/>
        <charset val="128"/>
        <scheme val="minor"/>
      </rPr>
      <t>在位置、</t>
    </r>
    <r>
      <rPr>
        <sz val="11"/>
        <rFont val="Microsoft JhengHei"/>
        <family val="2"/>
        <charset val="136"/>
      </rPr>
      <t>补</t>
    </r>
    <r>
      <rPr>
        <sz val="11"/>
        <rFont val="等线"/>
        <family val="3"/>
        <charset val="128"/>
        <scheme val="minor"/>
      </rPr>
      <t>正</t>
    </r>
    <r>
      <rPr>
        <sz val="11"/>
        <rFont val="Microsoft JhengHei"/>
        <family val="2"/>
        <charset val="136"/>
      </rPr>
      <t>值</t>
    </r>
    <r>
      <rPr>
        <sz val="11"/>
        <rFont val="等线"/>
        <family val="3"/>
        <charset val="128"/>
        <scheme val="minor"/>
      </rPr>
      <t>、</t>
    </r>
    <r>
      <rPr>
        <sz val="11"/>
        <rFont val="Microsoft JhengHei"/>
        <family val="2"/>
        <charset val="136"/>
      </rPr>
      <t>补</t>
    </r>
    <r>
      <rPr>
        <sz val="11"/>
        <rFont val="等线"/>
        <family val="3"/>
        <charset val="128"/>
        <scheme val="minor"/>
      </rPr>
      <t>正速度、FPxxx表示方式</t>
    </r>
    <rPh sb="2" eb="6">
      <t>ゲンザイイチ</t>
    </rPh>
    <rPh sb="31" eb="33">
      <t>セッテイ</t>
    </rPh>
    <rPh sb="33" eb="34">
      <t>チアア</t>
    </rPh>
    <phoneticPr fontId="6"/>
  </si>
  <si>
    <t>;画面9　タイマー画面</t>
    <rPh sb="9" eb="11">
      <t>ガメン</t>
    </rPh>
    <phoneticPr fontId="6"/>
  </si>
  <si>
    <r>
      <t>;</t>
    </r>
    <r>
      <rPr>
        <sz val="11"/>
        <color theme="1"/>
        <rFont val="Microsoft JhengHei"/>
        <family val="2"/>
        <charset val="136"/>
      </rPr>
      <t>start状態のシンボル</t>
    </r>
    <r>
      <rPr>
        <sz val="11"/>
        <color theme="1"/>
        <rFont val="等线"/>
        <family val="3"/>
        <charset val="128"/>
        <scheme val="minor"/>
      </rPr>
      <t>　文字色RGB</t>
    </r>
    <rPh sb="6" eb="8">
      <t>ジョウタイ</t>
    </rPh>
    <rPh sb="18" eb="19">
      <t>アタイスウチ</t>
    </rPh>
    <phoneticPr fontId="6"/>
  </si>
  <si>
    <r>
      <t>;</t>
    </r>
    <r>
      <rPr>
        <sz val="11"/>
        <color theme="1"/>
        <rFont val="Microsoft JhengHei"/>
        <family val="2"/>
        <charset val="136"/>
      </rPr>
      <t>UP状態のタイマー</t>
    </r>
    <r>
      <rPr>
        <sz val="11"/>
        <color theme="1"/>
        <rFont val="等线"/>
        <family val="3"/>
        <charset val="128"/>
        <scheme val="minor"/>
      </rPr>
      <t>　数</t>
    </r>
    <r>
      <rPr>
        <sz val="11"/>
        <color theme="1"/>
        <rFont val="Microsoft JhengHei"/>
        <family val="2"/>
        <charset val="136"/>
      </rPr>
      <t>值</t>
    </r>
    <r>
      <rPr>
        <sz val="11"/>
        <color theme="1"/>
        <rFont val="等线"/>
        <family val="3"/>
        <charset val="128"/>
        <scheme val="minor"/>
      </rPr>
      <t>文字色RGB</t>
    </r>
    <rPh sb="3" eb="5">
      <t>ジョウタイ</t>
    </rPh>
    <rPh sb="15" eb="16">
      <t>アタイ</t>
    </rPh>
    <rPh sb="17" eb="19">
      <t>スウチ</t>
    </rPh>
    <phoneticPr fontId="6"/>
  </si>
  <si>
    <t>;選択されたタグ　　表示文字RGB（「動作１」「動作2」「動作3」「モニタ１」「モニタ2」）</t>
    <rPh sb="1" eb="3">
      <t>センタク</t>
    </rPh>
    <rPh sb="10" eb="12">
      <t>ヒョウジ</t>
    </rPh>
    <rPh sb="12" eb="14">
      <t>モジ</t>
    </rPh>
    <phoneticPr fontId="6"/>
  </si>
  <si>
    <t>;表示ページ　数値文字RGB</t>
    <rPh sb="1" eb="3">
      <t>ヒョウジ</t>
    </rPh>
    <rPh sb="7" eb="9">
      <t>スウチ</t>
    </rPh>
    <rPh sb="9" eb="11">
      <t>モジ</t>
    </rPh>
    <phoneticPr fontId="6"/>
  </si>
  <si>
    <t>;</t>
    <rPh sb="0" eb="1">
      <t>セッテイアタイスウチモジショク</t>
    </rPh>
    <phoneticPr fontId="6"/>
  </si>
  <si>
    <t>;计时器表示方式</t>
    <phoneticPr fontId="6"/>
  </si>
  <si>
    <t xml:space="preserve">；Txx </t>
    <phoneticPr fontId="6"/>
  </si>
  <si>
    <t>；表示方式</t>
    <phoneticPr fontId="6"/>
  </si>
  <si>
    <t>；Txx</t>
    <phoneticPr fontId="6"/>
  </si>
  <si>
    <t>;Txx表示顺序、表示方式、Txx表示顺序、表示方式</t>
    <phoneticPr fontId="6"/>
  </si>
  <si>
    <t>;page1</t>
    <phoneticPr fontId="6"/>
  </si>
  <si>
    <t>;page2</t>
    <phoneticPr fontId="6"/>
  </si>
  <si>
    <t>;page3</t>
    <phoneticPr fontId="6"/>
  </si>
  <si>
    <t>;page4</t>
    <phoneticPr fontId="6"/>
  </si>
  <si>
    <t>;page5</t>
    <phoneticPr fontId="6"/>
  </si>
  <si>
    <t>;page6</t>
    <phoneticPr fontId="6"/>
  </si>
  <si>
    <t>;page7</t>
    <phoneticPr fontId="6"/>
  </si>
  <si>
    <t>;page8</t>
    <phoneticPr fontId="6"/>
  </si>
  <si>
    <t>;page9</t>
    <phoneticPr fontId="6"/>
  </si>
  <si>
    <t>;page10</t>
    <phoneticPr fontId="6"/>
  </si>
  <si>
    <t>HRxxxx</t>
    <phoneticPr fontId="6"/>
  </si>
  <si>
    <t>Dixxx</t>
    <phoneticPr fontId="6"/>
  </si>
  <si>
    <r>
      <t>;</t>
    </r>
    <r>
      <rPr>
        <sz val="11"/>
        <color theme="1"/>
        <rFont val="Microsoft JhengHei"/>
        <family val="2"/>
        <charset val="136"/>
      </rPr>
      <t>タイマーMODBUS（</t>
    </r>
    <r>
      <rPr>
        <sz val="11"/>
        <color theme="1"/>
        <rFont val="等线"/>
        <family val="3"/>
        <charset val="128"/>
        <scheme val="minor"/>
      </rPr>
      <t>HRxxxx）、start状態（Dixxx）、up状態（Dixxx）</t>
    </r>
    <rPh sb="25" eb="27">
      <t>ジョウタイ</t>
    </rPh>
    <rPh sb="37" eb="39">
      <t>ジョウタイ</t>
    </rPh>
    <phoneticPr fontId="6"/>
  </si>
  <si>
    <t>;T1</t>
    <phoneticPr fontId="6"/>
  </si>
  <si>
    <t>;T2</t>
  </si>
  <si>
    <t>;T3</t>
  </si>
  <si>
    <t>;T4</t>
  </si>
  <si>
    <t>;T5</t>
  </si>
  <si>
    <t>;T6</t>
  </si>
  <si>
    <t>;T7</t>
  </si>
  <si>
    <t>;T8</t>
  </si>
  <si>
    <t>;T9</t>
  </si>
  <si>
    <t>;T10</t>
  </si>
  <si>
    <t>;T11</t>
  </si>
  <si>
    <t>;T12</t>
  </si>
  <si>
    <t>;T13</t>
  </si>
  <si>
    <t>;T14</t>
  </si>
  <si>
    <t>;T15</t>
  </si>
  <si>
    <t>;T16</t>
  </si>
  <si>
    <t>;T17</t>
  </si>
  <si>
    <t>;T18</t>
  </si>
  <si>
    <t>;T19</t>
  </si>
  <si>
    <t>;T20</t>
  </si>
  <si>
    <t>;T21</t>
  </si>
  <si>
    <t>;T22</t>
  </si>
  <si>
    <t>;T23</t>
  </si>
  <si>
    <t>;T24</t>
  </si>
  <si>
    <t>;T25</t>
  </si>
  <si>
    <t>;T26</t>
  </si>
  <si>
    <t>;T27</t>
  </si>
  <si>
    <t>;T28</t>
  </si>
  <si>
    <t>;T29</t>
  </si>
  <si>
    <t>;T30</t>
  </si>
  <si>
    <t>;T31</t>
  </si>
  <si>
    <t>;T32</t>
  </si>
  <si>
    <t>;T33</t>
  </si>
  <si>
    <t>;T34</t>
  </si>
  <si>
    <t>;T35</t>
  </si>
  <si>
    <t>;T36</t>
  </si>
  <si>
    <t>;T37</t>
  </si>
  <si>
    <t>;T38</t>
  </si>
  <si>
    <t>;T39</t>
  </si>
  <si>
    <t>;T40</t>
  </si>
  <si>
    <t>;T41</t>
  </si>
  <si>
    <t>;T42</t>
  </si>
  <si>
    <t>;T43</t>
  </si>
  <si>
    <t>;T44</t>
  </si>
  <si>
    <t>;T45</t>
  </si>
  <si>
    <t>;T46</t>
  </si>
  <si>
    <t>;T47</t>
  </si>
  <si>
    <t>;T48</t>
  </si>
  <si>
    <t>;T49</t>
  </si>
  <si>
    <t>;T50</t>
  </si>
  <si>
    <t>;T51</t>
  </si>
  <si>
    <t>;T52</t>
  </si>
  <si>
    <t>;T53</t>
  </si>
  <si>
    <t>;T54</t>
  </si>
  <si>
    <t>;T55</t>
  </si>
  <si>
    <t>;T56</t>
  </si>
  <si>
    <t>;T57</t>
  </si>
  <si>
    <t>;T58</t>
  </si>
  <si>
    <t>;T59</t>
  </si>
  <si>
    <t>;T60</t>
  </si>
  <si>
    <t>;T61</t>
  </si>
  <si>
    <t>;T62</t>
  </si>
  <si>
    <t>;T63</t>
  </si>
  <si>
    <t>;T64</t>
  </si>
  <si>
    <t>;T65</t>
  </si>
  <si>
    <t>;T66</t>
  </si>
  <si>
    <t>;T67</t>
  </si>
  <si>
    <t>;T68</t>
  </si>
  <si>
    <t>;T69</t>
  </si>
  <si>
    <t>;T70</t>
  </si>
  <si>
    <t>;T71</t>
  </si>
  <si>
    <t>;T72</t>
  </si>
  <si>
    <t>;T73</t>
  </si>
  <si>
    <t>;T74</t>
  </si>
  <si>
    <t>;T75</t>
  </si>
  <si>
    <t>;T76</t>
  </si>
  <si>
    <t>;T77</t>
  </si>
  <si>
    <t>;T78</t>
  </si>
  <si>
    <t>;T79</t>
  </si>
  <si>
    <t>;T80</t>
  </si>
  <si>
    <t>;T81</t>
  </si>
  <si>
    <t>;T82</t>
  </si>
  <si>
    <t>;T83</t>
  </si>
  <si>
    <t>;T84</t>
  </si>
  <si>
    <t>;T85</t>
  </si>
  <si>
    <t>;T86</t>
  </si>
  <si>
    <t>;T87</t>
  </si>
  <si>
    <t>;T88</t>
  </si>
  <si>
    <t>;T89</t>
  </si>
  <si>
    <t>;T90</t>
  </si>
  <si>
    <t>;T91</t>
  </si>
  <si>
    <t>;T92</t>
  </si>
  <si>
    <t>;T93</t>
  </si>
  <si>
    <t>;T94</t>
  </si>
  <si>
    <t>;T95</t>
  </si>
  <si>
    <t>;T96</t>
  </si>
  <si>
    <t>;T97</t>
  </si>
  <si>
    <t>;T98</t>
  </si>
  <si>
    <t>;T99</t>
  </si>
  <si>
    <t>;T100</t>
  </si>
  <si>
    <t>;画面10　カウンター画面</t>
    <rPh sb="11" eb="13">
      <t>ガメン</t>
    </rPh>
    <phoneticPr fontId="6"/>
  </si>
  <si>
    <t>;画面11　パス画面</t>
    <rPh sb="8" eb="10">
      <t>ガメン</t>
    </rPh>
    <phoneticPr fontId="6"/>
  </si>
  <si>
    <t>;パス画面</t>
    <rPh sb="3" eb="5">
      <t>ガメン</t>
    </rPh>
    <phoneticPr fontId="6"/>
  </si>
  <si>
    <t>;ページの表示数値　表示文字色RGB</t>
    <rPh sb="5" eb="7">
      <t>ヒョウジ</t>
    </rPh>
    <rPh sb="7" eb="9">
      <t>スウチ</t>
    </rPh>
    <rPh sb="10" eb="12">
      <t>ヒョウジ</t>
    </rPh>
    <rPh sb="12" eb="14">
      <t>モジ</t>
    </rPh>
    <rPh sb="14" eb="15">
      <t>ショク</t>
    </rPh>
    <phoneticPr fontId="6"/>
  </si>
  <si>
    <r>
      <t>;設定値を選択</t>
    </r>
    <r>
      <rPr>
        <sz val="11"/>
        <color theme="1"/>
        <rFont val="Microsoft JhengHei"/>
        <family val="2"/>
        <charset val="136"/>
      </rPr>
      <t>時　表示文字色RGB</t>
    </r>
    <rPh sb="1" eb="3">
      <t>セッテイ</t>
    </rPh>
    <rPh sb="3" eb="4">
      <t>チ</t>
    </rPh>
    <rPh sb="5" eb="7">
      <t>センタク</t>
    </rPh>
    <rPh sb="7" eb="8">
      <t>トキ</t>
    </rPh>
    <rPh sb="9" eb="11">
      <t>ヒョウジ</t>
    </rPh>
    <rPh sb="11" eb="13">
      <t>モジ</t>
    </rPh>
    <rPh sb="13" eb="14">
      <t>ショク</t>
    </rPh>
    <phoneticPr fontId="6"/>
  </si>
  <si>
    <r>
      <t>;</t>
    </r>
    <r>
      <rPr>
        <sz val="11"/>
        <color theme="1"/>
        <rFont val="Microsoft JhengHei"/>
        <family val="2"/>
        <charset val="136"/>
      </rPr>
      <t>空き</t>
    </r>
    <rPh sb="1" eb="2">
      <t>ア</t>
    </rPh>
    <phoneticPr fontId="6"/>
  </si>
  <si>
    <t>;画面12　プログラム画面</t>
    <rPh sb="11" eb="13">
      <t>ガメン</t>
    </rPh>
    <phoneticPr fontId="6"/>
  </si>
  <si>
    <t>;画面13　システム設定画面</t>
    <rPh sb="10" eb="14">
      <t>セッテイガメン</t>
    </rPh>
    <phoneticPr fontId="6"/>
  </si>
  <si>
    <t>;画面14　機械パラメータ設定</t>
    <rPh sb="6" eb="8">
      <t>キカイ</t>
    </rPh>
    <rPh sb="13" eb="15">
      <t>セッテイ</t>
    </rPh>
    <phoneticPr fontId="6"/>
  </si>
  <si>
    <t>;機械パラメータ画面　機種選択</t>
    <rPh sb="1" eb="3">
      <t>キカイ</t>
    </rPh>
    <rPh sb="8" eb="10">
      <t>ガメン</t>
    </rPh>
    <rPh sb="11" eb="15">
      <t>キシュセンタク</t>
    </rPh>
    <phoneticPr fontId="6"/>
  </si>
  <si>
    <t>;モーターメーカー名　表示文字RGB</t>
    <rPh sb="9" eb="10">
      <t>メイ</t>
    </rPh>
    <rPh sb="11" eb="13">
      <t>ヒョウジ</t>
    </rPh>
    <rPh sb="13" eb="15">
      <t>モジ</t>
    </rPh>
    <phoneticPr fontId="6"/>
  </si>
  <si>
    <t>;エンコーダタイプ　表示文字色RGB</t>
    <rPh sb="10" eb="12">
      <t>ヒョウジ</t>
    </rPh>
    <rPh sb="12" eb="14">
      <t>モジ</t>
    </rPh>
    <rPh sb="14" eb="15">
      <t>ショク</t>
    </rPh>
    <phoneticPr fontId="6"/>
  </si>
  <si>
    <r>
      <t>;</t>
    </r>
    <r>
      <rPr>
        <sz val="11"/>
        <color theme="1"/>
        <rFont val="Microsoft JhengHei"/>
        <family val="2"/>
        <charset val="136"/>
      </rPr>
      <t>ストローク長</t>
    </r>
    <r>
      <rPr>
        <sz val="11"/>
        <color theme="1"/>
        <rFont val="等线"/>
        <family val="3"/>
        <charset val="128"/>
        <scheme val="minor"/>
      </rPr>
      <t>　数値文字色RGB</t>
    </r>
    <rPh sb="6" eb="7">
      <t>チョウ</t>
    </rPh>
    <rPh sb="8" eb="10">
      <t>スウチ</t>
    </rPh>
    <rPh sb="9" eb="11">
      <t>スウチ</t>
    </rPh>
    <rPh sb="11" eb="13">
      <t>モジ</t>
    </rPh>
    <rPh sb="13" eb="14">
      <t>ショク</t>
    </rPh>
    <phoneticPr fontId="6"/>
  </si>
  <si>
    <t>;ストローク長表示方式</t>
    <rPh sb="7" eb="9">
      <t>ヒョウジ</t>
    </rPh>
    <rPh sb="9" eb="11">
      <t>ホウシキ</t>
    </rPh>
    <phoneticPr fontId="6"/>
  </si>
  <si>
    <t>;軸1～軸8</t>
    <rPh sb="1" eb="2">
      <t>ジク</t>
    </rPh>
    <rPh sb="4" eb="5">
      <t>ジク</t>
    </rPh>
    <phoneticPr fontId="6"/>
  </si>
  <si>
    <t>;機械パラメータ画面　機械パラメータ</t>
    <rPh sb="1" eb="3">
      <t>キカイ</t>
    </rPh>
    <rPh sb="8" eb="10">
      <t>ガメン</t>
    </rPh>
    <rPh sb="11" eb="13">
      <t>キカイ</t>
    </rPh>
    <phoneticPr fontId="6"/>
  </si>
  <si>
    <r>
      <t>;</t>
    </r>
    <r>
      <rPr>
        <sz val="11"/>
        <color theme="1"/>
        <rFont val="Microsoft JhengHei"/>
        <family val="2"/>
        <charset val="136"/>
      </rPr>
      <t>機種名称</t>
    </r>
    <r>
      <rPr>
        <sz val="11"/>
        <color theme="1"/>
        <rFont val="等线"/>
        <family val="3"/>
        <charset val="128"/>
        <scheme val="minor"/>
      </rPr>
      <t>　表示文字色RGB</t>
    </r>
    <rPh sb="1" eb="3">
      <t>キシュ</t>
    </rPh>
    <rPh sb="3" eb="5">
      <t>メイショウ</t>
    </rPh>
    <rPh sb="6" eb="8">
      <t>ヒョウジ</t>
    </rPh>
    <rPh sb="8" eb="10">
      <t>モジ</t>
    </rPh>
    <rPh sb="9" eb="11">
      <t>モジ</t>
    </rPh>
    <rPh sb="11" eb="12">
      <t>ショク</t>
    </rPh>
    <phoneticPr fontId="6"/>
  </si>
  <si>
    <t>;画面内データ　表示数値文字RGB</t>
    <rPh sb="1" eb="3">
      <t>ガメン</t>
    </rPh>
    <rPh sb="3" eb="4">
      <t>ナイ</t>
    </rPh>
    <rPh sb="8" eb="10">
      <t>ヒョウジ</t>
    </rPh>
    <rPh sb="10" eb="12">
      <t>スウチ</t>
    </rPh>
    <rPh sb="12" eb="14">
      <t>モジ</t>
    </rPh>
    <phoneticPr fontId="6"/>
  </si>
  <si>
    <t>;データが設定して保存前　数値文字色RGB</t>
    <rPh sb="5" eb="7">
      <t>セッテイ</t>
    </rPh>
    <rPh sb="9" eb="11">
      <t>ホゾン</t>
    </rPh>
    <rPh sb="11" eb="12">
      <t>マエ</t>
    </rPh>
    <rPh sb="13" eb="15">
      <t>スウチ</t>
    </rPh>
    <rPh sb="15" eb="18">
      <t>モジショク</t>
    </rPh>
    <phoneticPr fontId="6"/>
  </si>
  <si>
    <t>;1回転距離</t>
    <rPh sb="2" eb="4">
      <t>カイテン</t>
    </rPh>
    <rPh sb="4" eb="6">
      <t>キョリ</t>
    </rPh>
    <phoneticPr fontId="7"/>
  </si>
  <si>
    <t>;1回転パルス数</t>
    <rPh sb="2" eb="4">
      <t>カイテン</t>
    </rPh>
    <rPh sb="7" eb="8">
      <t>スウ</t>
    </rPh>
    <phoneticPr fontId="7"/>
  </si>
  <si>
    <t>;最大回転数</t>
    <rPh sb="1" eb="3">
      <t>サイダイ</t>
    </rPh>
    <rPh sb="3" eb="6">
      <t>カイテンスウ</t>
    </rPh>
    <phoneticPr fontId="7"/>
  </si>
  <si>
    <t>;手前完了距離</t>
    <rPh sb="1" eb="3">
      <t>テマエ</t>
    </rPh>
    <rPh sb="3" eb="5">
      <t>カンリョウ</t>
    </rPh>
    <rPh sb="5" eb="7">
      <t>キョリ</t>
    </rPh>
    <phoneticPr fontId="7"/>
  </si>
  <si>
    <t>;原点補正</t>
    <rPh sb="1" eb="3">
      <t>ゲンテン</t>
    </rPh>
    <rPh sb="3" eb="5">
      <t>ホセイ</t>
    </rPh>
    <phoneticPr fontId="7"/>
  </si>
  <si>
    <t>;給油距離</t>
    <rPh sb="1" eb="3">
      <t>キュウユ</t>
    </rPh>
    <rPh sb="3" eb="5">
      <t>キョリ</t>
    </rPh>
    <phoneticPr fontId="7"/>
  </si>
  <si>
    <t>;機械パラメータ画面　ドライバパラメータ</t>
    <rPh sb="1" eb="3">
      <t>キカイ</t>
    </rPh>
    <rPh sb="8" eb="10">
      <t>ガメン</t>
    </rPh>
    <phoneticPr fontId="6"/>
  </si>
  <si>
    <t>;タグ選択された時　表示文字色RGB（ドライバパラメータ、簡易設定、ドライバモニタ）</t>
    <rPh sb="3" eb="5">
      <t>センタク</t>
    </rPh>
    <rPh sb="8" eb="9">
      <t>トキ</t>
    </rPh>
    <rPh sb="10" eb="12">
      <t>ヒョウジ</t>
    </rPh>
    <rPh sb="12" eb="14">
      <t>モジ</t>
    </rPh>
    <rPh sb="14" eb="15">
      <t>ショク</t>
    </rPh>
    <rPh sb="29" eb="33">
      <t>カンイセッテイ</t>
    </rPh>
    <phoneticPr fontId="6"/>
  </si>
  <si>
    <r>
      <t>;</t>
    </r>
    <r>
      <rPr>
        <sz val="11"/>
        <color theme="1"/>
        <rFont val="Microsoft JhengHei"/>
        <family val="2"/>
        <charset val="136"/>
      </rPr>
      <t>表示するページの数</t>
    </r>
    <rPh sb="1" eb="3">
      <t>ヒョウジ</t>
    </rPh>
    <rPh sb="9" eb="10">
      <t>カズ</t>
    </rPh>
    <phoneticPr fontId="6"/>
  </si>
  <si>
    <t>;ドライバパラメータMODBUS（HR*****）テーブル、順番もこれで決まります。最大、最小、変換ある値の倍率です。</t>
    <rPh sb="30" eb="32">
      <t>ジュンバン</t>
    </rPh>
    <rPh sb="36" eb="37">
      <t>キ</t>
    </rPh>
    <rPh sb="42" eb="44">
      <t>サイダイ</t>
    </rPh>
    <rPh sb="45" eb="47">
      <t>サイショウ</t>
    </rPh>
    <rPh sb="48" eb="50">
      <t>ヘンカン</t>
    </rPh>
    <rPh sb="52" eb="53">
      <t>アタイ</t>
    </rPh>
    <rPh sb="54" eb="56">
      <t>バイリツ</t>
    </rPh>
    <phoneticPr fontId="6"/>
  </si>
  <si>
    <t>;軸1</t>
    <rPh sb="1" eb="2">
      <t>ジク</t>
    </rPh>
    <phoneticPr fontId="7"/>
  </si>
  <si>
    <t>;軸2</t>
    <rPh sb="1" eb="2">
      <t>ジク</t>
    </rPh>
    <phoneticPr fontId="7"/>
  </si>
  <si>
    <t>;軸3</t>
    <rPh sb="1" eb="2">
      <t>ジク</t>
    </rPh>
    <phoneticPr fontId="7"/>
  </si>
  <si>
    <t>;軸4</t>
    <rPh sb="1" eb="2">
      <t>ジク</t>
    </rPh>
    <phoneticPr fontId="7"/>
  </si>
  <si>
    <t>;軸5</t>
    <rPh sb="1" eb="2">
      <t>ジク</t>
    </rPh>
    <phoneticPr fontId="7"/>
  </si>
  <si>
    <t>;軸6</t>
    <rPh sb="1" eb="2">
      <t>ジク</t>
    </rPh>
    <phoneticPr fontId="7"/>
  </si>
  <si>
    <t>;軸7</t>
    <rPh sb="1" eb="2">
      <t>ジク</t>
    </rPh>
    <phoneticPr fontId="7"/>
  </si>
  <si>
    <t>;軸8</t>
    <rPh sb="1" eb="2">
      <t>ジク</t>
    </rPh>
    <phoneticPr fontId="7"/>
  </si>
  <si>
    <t>;min</t>
    <phoneticPr fontId="7"/>
  </si>
  <si>
    <t>;max</t>
    <phoneticPr fontId="7"/>
  </si>
  <si>
    <t>;変換</t>
    <rPh sb="1" eb="3">
      <t>ヘンカン</t>
    </rPh>
    <phoneticPr fontId="7"/>
  </si>
  <si>
    <t>;項目</t>
    <rPh sb="1" eb="3">
      <t>コウモク</t>
    </rPh>
    <phoneticPr fontId="7"/>
  </si>
  <si>
    <t>-</t>
    <phoneticPr fontId="7"/>
  </si>
  <si>
    <t>;Page1</t>
    <phoneticPr fontId="7"/>
  </si>
  <si>
    <t>;PA1_02:INC/ABS選択</t>
    <phoneticPr fontId="6"/>
  </si>
  <si>
    <t>;PA1_04:回転方向切換</t>
    <phoneticPr fontId="7"/>
  </si>
  <si>
    <t>;PA1_06:電子ギア分子</t>
    <phoneticPr fontId="6"/>
  </si>
  <si>
    <t>;PA1_07:電子ギア分母</t>
    <phoneticPr fontId="6"/>
  </si>
  <si>
    <t>;Page2</t>
  </si>
  <si>
    <t>;PA1_13:チューニングモード</t>
    <phoneticPr fontId="6"/>
  </si>
  <si>
    <t>×10</t>
    <phoneticPr fontId="7"/>
  </si>
  <si>
    <t>;PA1_14:負荷慣性モーメント比</t>
    <phoneticPr fontId="7"/>
  </si>
  <si>
    <t>;PA1_15:ｵｰﾄﾁｭｰﾆﾝｸﾞｹﾞｲﾝ1</t>
    <phoneticPr fontId="7"/>
  </si>
  <si>
    <t>×100</t>
    <phoneticPr fontId="7"/>
  </si>
  <si>
    <t>;PA1_25:最大回転速度</t>
    <phoneticPr fontId="7"/>
  </si>
  <si>
    <t>;PA1_30:ゼロ速度範囲</t>
    <phoneticPr fontId="6"/>
  </si>
  <si>
    <t>;Page3</t>
  </si>
  <si>
    <t>;PA1_32:偏差ゼロ範囲／位置決め完了範囲</t>
    <phoneticPr fontId="6"/>
  </si>
  <si>
    <t>;PA2_44:回生過負荷予報検出閾値</t>
    <phoneticPr fontId="7"/>
  </si>
  <si>
    <t>;PA2_45:不足電圧予報検出閾値</t>
    <phoneticPr fontId="7"/>
  </si>
  <si>
    <t>;PA2_46:モータ過熱予報検出閾値</t>
    <phoneticPr fontId="7"/>
  </si>
  <si>
    <t>;PA2_47:ﾌﾞﾚｰｷﾜｰﾆﾝｸﾞ有効/無効</t>
    <phoneticPr fontId="7"/>
  </si>
  <si>
    <t>;Page4</t>
  </si>
  <si>
    <t>;PA2_48:偏差オーバ幅２</t>
    <phoneticPr fontId="6"/>
  </si>
  <si>
    <t>;PA2_61:サーボオン = OFF時動作シーケンス</t>
    <phoneticPr fontId="6"/>
  </si>
  <si>
    <t>;PA2_62:アラーム時動作シーケンス</t>
    <phoneticPr fontId="6"/>
  </si>
  <si>
    <t>;PA2_63:主電源 OFF時動作シーケンス</t>
    <phoneticPr fontId="6"/>
  </si>
  <si>
    <t>;PA2_64:ブレーキ動作時間</t>
    <phoneticPr fontId="6"/>
  </si>
  <si>
    <t>;Page5</t>
  </si>
  <si>
    <t>;PA2_65:回生抵抗選択</t>
    <phoneticPr fontId="6"/>
  </si>
  <si>
    <t>;PA2_69:偏差オーバ検出値</t>
    <phoneticPr fontId="6"/>
  </si>
  <si>
    <t>;PA2_95:速度オーバ検出値</t>
    <phoneticPr fontId="7"/>
  </si>
  <si>
    <t>;PA3_79:回生抵抗値設定</t>
    <phoneticPr fontId="7"/>
  </si>
  <si>
    <t>;PA3_80:回生抵抗容量設定</t>
    <phoneticPr fontId="7"/>
  </si>
  <si>
    <t>;Page6</t>
  </si>
  <si>
    <t>;PA3_81:モニタ 1信号割当</t>
    <phoneticPr fontId="6"/>
  </si>
  <si>
    <t>;PA3_82:モニタ 2信号割当</t>
    <phoneticPr fontId="6"/>
  </si>
  <si>
    <t>;PA3_83:モニタ 1スケール</t>
    <phoneticPr fontId="7"/>
  </si>
  <si>
    <t>;PA3_84:モニタ 1オフセット</t>
    <phoneticPr fontId="6"/>
  </si>
  <si>
    <t>;PA3_85:モニタ 2スケール</t>
    <phoneticPr fontId="7"/>
  </si>
  <si>
    <t>;Page7</t>
  </si>
  <si>
    <t>;PA3_86:モニタ 2オフセット</t>
    <phoneticPr fontId="6"/>
  </si>
  <si>
    <t>×10</t>
  </si>
  <si>
    <t>;PA1_78:制振反共振周波数0</t>
    <phoneticPr fontId="7"/>
  </si>
  <si>
    <t>;PA1_79:制振ワーク慣性比（共振周波数）0</t>
    <phoneticPr fontId="6"/>
  </si>
  <si>
    <t>;PA1_80:制振反共振周波数1</t>
    <phoneticPr fontId="7"/>
  </si>
  <si>
    <t>;PA1_81:制振ワーク慣性比（共振周波数）1</t>
    <phoneticPr fontId="6"/>
  </si>
  <si>
    <t>;Page8</t>
  </si>
  <si>
    <t>;PA1_70:自動ノッチ選択</t>
    <phoneticPr fontId="6"/>
  </si>
  <si>
    <t>;PA1_71:ノッチフィルタ1周波数</t>
    <phoneticPr fontId="7"/>
  </si>
  <si>
    <t>;PA1_72:ノッチフィルタ1減衰量</t>
    <phoneticPr fontId="6"/>
  </si>
  <si>
    <t>;PA1_73:ノッチフィルタ1広さ</t>
    <phoneticPr fontId="6"/>
  </si>
  <si>
    <t>;PA1_74:ノッチフィルタ2周波数</t>
    <phoneticPr fontId="6"/>
  </si>
  <si>
    <t>;Page9</t>
  </si>
  <si>
    <t>;PA1_75:ノッチフィルタ2減衰量</t>
    <phoneticPr fontId="6"/>
  </si>
  <si>
    <t>;PA1_76:ノッチフィルタ2広さ</t>
    <phoneticPr fontId="6"/>
  </si>
  <si>
    <t>;PA1_52:一次遅れS字時定数</t>
    <phoneticPr fontId="6"/>
  </si>
  <si>
    <t>;PA1_59:トルクフィルタ時定数</t>
    <phoneticPr fontId="7"/>
  </si>
  <si>
    <t>;Page10</t>
  </si>
  <si>
    <t>;PA1_54:位置指令応答時定数</t>
    <phoneticPr fontId="6"/>
  </si>
  <si>
    <t>;PA1_55:位置ループゲイン1</t>
    <phoneticPr fontId="6"/>
  </si>
  <si>
    <t>;PA1_56:速度ループゲイン1</t>
    <phoneticPr fontId="6"/>
  </si>
  <si>
    <t>;PA1_57:速度ループ積分時定数1</t>
    <phoneticPr fontId="6"/>
  </si>
  <si>
    <t>;Dataの表示方式</t>
    <rPh sb="6" eb="10">
      <t>ヒョウジホウシキ</t>
    </rPh>
    <phoneticPr fontId="6"/>
  </si>
  <si>
    <t>;画面15　区域設定画面</t>
    <rPh sb="6" eb="8">
      <t>クイキ</t>
    </rPh>
    <rPh sb="8" eb="10">
      <t>セッテイ</t>
    </rPh>
    <rPh sb="10" eb="12">
      <t>ガメン</t>
    </rPh>
    <phoneticPr fontId="6"/>
  </si>
  <si>
    <t>;区域設定</t>
    <rPh sb="1" eb="3">
      <t>クイキ</t>
    </rPh>
    <rPh sb="3" eb="5">
      <t>セッテイ</t>
    </rPh>
    <phoneticPr fontId="6"/>
  </si>
  <si>
    <r>
      <t>;選択されたタグ（「区域設定」「区域修正」）</t>
    </r>
    <r>
      <rPr>
        <sz val="11"/>
        <color theme="1"/>
        <rFont val="等线"/>
        <family val="3"/>
        <charset val="128"/>
        <scheme val="minor"/>
      </rPr>
      <t>　文字色RGB</t>
    </r>
    <rPh sb="1" eb="3">
      <t>センタク</t>
    </rPh>
    <rPh sb="10" eb="14">
      <t>クイキセッテイ</t>
    </rPh>
    <rPh sb="16" eb="20">
      <t>クイキシュウセイ</t>
    </rPh>
    <rPh sb="23" eb="25">
      <t>イチスウチモジショク</t>
    </rPh>
    <phoneticPr fontId="6"/>
  </si>
  <si>
    <r>
      <t>;選択されたボタン</t>
    </r>
    <r>
      <rPr>
        <sz val="11"/>
        <color theme="1"/>
        <rFont val="等线"/>
        <family val="3"/>
        <charset val="128"/>
        <scheme val="minor"/>
      </rPr>
      <t>　文字色RGB</t>
    </r>
    <r>
      <rPr>
        <sz val="11"/>
        <color theme="1"/>
        <rFont val="等线"/>
        <family val="2"/>
        <charset val="128"/>
        <scheme val="minor"/>
      </rPr>
      <t>（取出側区域最大最小、置物側最大最小、下降待機最大、最大移動値ボタン）</t>
    </r>
    <rPh sb="1" eb="3">
      <t>センタク</t>
    </rPh>
    <rPh sb="17" eb="19">
      <t>トリシュツ</t>
    </rPh>
    <rPh sb="19" eb="20">
      <t>カワ</t>
    </rPh>
    <rPh sb="20" eb="22">
      <t>クイキ</t>
    </rPh>
    <rPh sb="22" eb="26">
      <t>サイダイサイショウ</t>
    </rPh>
    <rPh sb="27" eb="29">
      <t>オキモノ</t>
    </rPh>
    <rPh sb="29" eb="30">
      <t>カワ</t>
    </rPh>
    <rPh sb="30" eb="34">
      <t>サイダイサイショウ</t>
    </rPh>
    <rPh sb="35" eb="37">
      <t>カコウ</t>
    </rPh>
    <rPh sb="37" eb="39">
      <t>タイキ</t>
    </rPh>
    <rPh sb="39" eb="41">
      <t>サイダイ</t>
    </rPh>
    <rPh sb="42" eb="44">
      <t>サイダイ</t>
    </rPh>
    <rPh sb="44" eb="46">
      <t>イドウ</t>
    </rPh>
    <rPh sb="46" eb="47">
      <t>チ</t>
    </rPh>
    <phoneticPr fontId="6"/>
  </si>
  <si>
    <t>;表示データ数値　　文字色RGB</t>
    <rPh sb="1" eb="3">
      <t>ヒョウジ</t>
    </rPh>
    <rPh sb="6" eb="8">
      <t>スウチ</t>
    </rPh>
    <rPh sb="10" eb="12">
      <t>モジ</t>
    </rPh>
    <rPh sb="12" eb="13">
      <t>ショク</t>
    </rPh>
    <phoneticPr fontId="6"/>
  </si>
  <si>
    <t>;ONになったIO表示　文字色RGB</t>
    <rPh sb="9" eb="11">
      <t>ヒョウジ</t>
    </rPh>
    <rPh sb="12" eb="14">
      <t>モジ</t>
    </rPh>
    <rPh sb="14" eb="15">
      <t>ショク</t>
    </rPh>
    <phoneticPr fontId="6"/>
  </si>
  <si>
    <t>;位置、取出側区域最大、最小、置物側最大、最小、下降待機最大、最大移動値の数値表示方式</t>
    <rPh sb="1" eb="3">
      <t>イチ</t>
    </rPh>
    <rPh sb="4" eb="5">
      <t>ト</t>
    </rPh>
    <rPh sb="5" eb="6">
      <t>デ</t>
    </rPh>
    <rPh sb="6" eb="7">
      <t>カワ</t>
    </rPh>
    <rPh sb="7" eb="9">
      <t>クイキ</t>
    </rPh>
    <rPh sb="9" eb="11">
      <t>サイダイ</t>
    </rPh>
    <rPh sb="12" eb="14">
      <t>サイショウ</t>
    </rPh>
    <rPh sb="15" eb="17">
      <t>オキモノ</t>
    </rPh>
    <rPh sb="17" eb="18">
      <t>ガワ</t>
    </rPh>
    <rPh sb="18" eb="20">
      <t>サイダイ</t>
    </rPh>
    <rPh sb="21" eb="23">
      <t>サイショウ</t>
    </rPh>
    <rPh sb="24" eb="26">
      <t>カコウ</t>
    </rPh>
    <rPh sb="26" eb="28">
      <t>タイキ</t>
    </rPh>
    <rPh sb="28" eb="30">
      <t>サイダイ</t>
    </rPh>
    <rPh sb="31" eb="33">
      <t>サイダイ</t>
    </rPh>
    <rPh sb="33" eb="35">
      <t>イドウ</t>
    </rPh>
    <rPh sb="35" eb="36">
      <t>チ</t>
    </rPh>
    <rPh sb="37" eb="39">
      <t>スウチ</t>
    </rPh>
    <rPh sb="39" eb="41">
      <t>ヒョウジ</t>
    </rPh>
    <rPh sb="41" eb="43">
      <t>ホウシキ</t>
    </rPh>
    <phoneticPr fontId="6"/>
  </si>
  <si>
    <t>;区域修正</t>
    <rPh sb="1" eb="3">
      <t>クイキ</t>
    </rPh>
    <rPh sb="3" eb="5">
      <t>シュウセイ</t>
    </rPh>
    <phoneticPr fontId="6"/>
  </si>
  <si>
    <r>
      <t>;データ数値が選択された時</t>
    </r>
    <r>
      <rPr>
        <sz val="11"/>
        <color theme="1"/>
        <rFont val="等线"/>
        <family val="3"/>
        <charset val="128"/>
        <scheme val="minor"/>
      </rPr>
      <t>　文字色RGB</t>
    </r>
    <rPh sb="4" eb="6">
      <t>スウチ</t>
    </rPh>
    <rPh sb="7" eb="9">
      <t>センタク</t>
    </rPh>
    <rPh sb="12" eb="13">
      <t>ジ</t>
    </rPh>
    <phoneticPr fontId="6"/>
  </si>
  <si>
    <t>;位置、最大移動値、取出側区域最大、最小、置物側最大、最小、下降待機最大、MX/SX間隔の数値表示方式</t>
    <rPh sb="1" eb="3">
      <t>イチ</t>
    </rPh>
    <rPh sb="10" eb="11">
      <t>ト</t>
    </rPh>
    <rPh sb="11" eb="12">
      <t>デ</t>
    </rPh>
    <rPh sb="12" eb="13">
      <t>カワ</t>
    </rPh>
    <rPh sb="13" eb="15">
      <t>クイキ</t>
    </rPh>
    <rPh sb="15" eb="17">
      <t>サイダイ</t>
    </rPh>
    <rPh sb="18" eb="20">
      <t>サイショウ</t>
    </rPh>
    <rPh sb="21" eb="23">
      <t>オキモノ</t>
    </rPh>
    <rPh sb="23" eb="24">
      <t>ガワ</t>
    </rPh>
    <rPh sb="24" eb="26">
      <t>サイダイ</t>
    </rPh>
    <rPh sb="27" eb="29">
      <t>サイショウ</t>
    </rPh>
    <rPh sb="30" eb="32">
      <t>カコウ</t>
    </rPh>
    <rPh sb="32" eb="34">
      <t>タイキ</t>
    </rPh>
    <rPh sb="34" eb="36">
      <t>サイダイ</t>
    </rPh>
    <rPh sb="45" eb="47">
      <t>スウチ</t>
    </rPh>
    <rPh sb="47" eb="49">
      <t>ヒョウジ</t>
    </rPh>
    <rPh sb="49" eb="51">
      <t>ホウシキ</t>
    </rPh>
    <phoneticPr fontId="6"/>
  </si>
  <si>
    <t>;画面16　メンテナンス画面</t>
    <rPh sb="12" eb="14">
      <t>ガメン</t>
    </rPh>
    <phoneticPr fontId="6"/>
  </si>
  <si>
    <t>;メンテナンス画面　点検</t>
  </si>
  <si>
    <t>;選択されたタグ（「点検」「メンテナンス」）　文字色RGB</t>
  </si>
  <si>
    <t>;「完成」選択された時　文字色RGB</t>
  </si>
  <si>
    <t>;「最後点検日」数値　　文字色RGB</t>
  </si>
  <si>
    <t>;ページ表示数値　文字色RGB</t>
  </si>
  <si>
    <t>;メンテナンス</t>
  </si>
  <si>
    <t>;「給油完成」選択された時　文字色RGB</t>
  </si>
  <si>
    <t>;データ数値　　文字色RGB（「給油距離」「累計距離」「最後給油日」）</t>
  </si>
  <si>
    <t>;給油距離、累計距離の数値表示方式</t>
  </si>
  <si>
    <t>;画面17　生産管理画面</t>
    <rPh sb="6" eb="12">
      <t>セイサンカンリガメン</t>
    </rPh>
    <phoneticPr fontId="6"/>
  </si>
  <si>
    <t>;生産管理画面　</t>
  </si>
  <si>
    <t>;選択されたタグ（テンキー入力時）　文字色RGB</t>
  </si>
  <si>
    <t>;データ表示数値　文字色RGB</t>
  </si>
  <si>
    <t>;予定生産数、現在生産数、現在不良数、達成率、不良率、一回取出数、取出数、生産開始時刻、累積生産時間の表示方式</t>
  </si>
  <si>
    <t>;画面18　ABS設定画面</t>
    <rPh sb="9" eb="11">
      <t>セッテイ</t>
    </rPh>
    <rPh sb="11" eb="13">
      <t>ガメン</t>
    </rPh>
    <phoneticPr fontId="6"/>
  </si>
  <si>
    <t>;ABS画面　</t>
  </si>
  <si>
    <t>;「リセット」押下された時　文字色RGB</t>
  </si>
  <si>
    <t>;「設定」押下された時　文字色RGB</t>
  </si>
  <si>
    <t>;現在位置の表示方式</t>
  </si>
  <si>
    <t>;画面19　加減速画面</t>
    <rPh sb="6" eb="9">
      <t>カゲンソク</t>
    </rPh>
    <rPh sb="9" eb="11">
      <t>ガメン</t>
    </rPh>
    <phoneticPr fontId="6"/>
  </si>
  <si>
    <t>;画面20　バージョン管理</t>
    <rPh sb="11" eb="13">
      <t>カンリ</t>
    </rPh>
    <phoneticPr fontId="6"/>
  </si>
  <si>
    <t>;画面21　履歴画面</t>
    <rPh sb="6" eb="10">
      <t>リレキガメン</t>
    </rPh>
    <phoneticPr fontId="6"/>
  </si>
  <si>
    <t>;履歴画面　</t>
  </si>
  <si>
    <t>;選択された時（「アラーム」「操作」「IO」）　文字色RGB</t>
  </si>
  <si>
    <t>;「USBに書込」押下された時　文字色RGB</t>
  </si>
  <si>
    <t>;画面22　段取り換え画面</t>
    <rPh sb="6" eb="7">
      <t>ダン</t>
    </rPh>
    <rPh sb="7" eb="8">
      <t>ト</t>
    </rPh>
    <rPh sb="9" eb="10">
      <t>カ</t>
    </rPh>
    <rPh sb="11" eb="13">
      <t>ガメン</t>
    </rPh>
    <phoneticPr fontId="6"/>
  </si>
  <si>
    <t>;段取り換え画面</t>
  </si>
  <si>
    <t>;選択されたタグ（「段取かえ」「USBに書出」「USBから書込」）　文字色RGB</t>
  </si>
  <si>
    <t>;コマンド（読取、保存、上書き、比較、削除）が押下された時　文字色RGB</t>
  </si>
  <si>
    <t>;選択されたファイルの内容（type、No.、時間、ファイル名）表示　文字色RGB</t>
  </si>
  <si>
    <r>
      <t>;level</t>
    </r>
    <r>
      <rPr>
        <sz val="11"/>
        <color rgb="FF000000"/>
        <rFont val="宋体"/>
        <family val="3"/>
        <charset val="134"/>
      </rPr>
      <t>1</t>
    </r>
    <phoneticPr fontId="6"/>
  </si>
  <si>
    <r>
      <t>;level</t>
    </r>
    <r>
      <rPr>
        <sz val="11"/>
        <color rgb="FF000000"/>
        <rFont val="宋体"/>
        <family val="3"/>
        <charset val="134"/>
      </rPr>
      <t>2</t>
    </r>
    <r>
      <rPr>
        <sz val="11"/>
        <color theme="1"/>
        <rFont val="等线"/>
        <family val="2"/>
        <scheme val="minor"/>
      </rPr>
      <t/>
    </r>
  </si>
  <si>
    <r>
      <t>;level</t>
    </r>
    <r>
      <rPr>
        <sz val="11"/>
        <color rgb="FF000000"/>
        <rFont val="宋体"/>
        <family val="3"/>
        <charset val="134"/>
      </rPr>
      <t>3</t>
    </r>
    <r>
      <rPr>
        <sz val="11"/>
        <color theme="1"/>
        <rFont val="等线"/>
        <family val="2"/>
        <scheme val="minor"/>
      </rPr>
      <t/>
    </r>
  </si>
  <si>
    <r>
      <t>;level</t>
    </r>
    <r>
      <rPr>
        <sz val="11"/>
        <color rgb="FF000000"/>
        <rFont val="宋体"/>
        <family val="3"/>
        <charset val="134"/>
      </rPr>
      <t>4</t>
    </r>
    <r>
      <rPr>
        <sz val="11"/>
        <color theme="1"/>
        <rFont val="等线"/>
        <family val="2"/>
        <scheme val="minor"/>
      </rPr>
      <t/>
    </r>
  </si>
  <si>
    <r>
      <t>;level</t>
    </r>
    <r>
      <rPr>
        <sz val="11"/>
        <color rgb="FF000000"/>
        <rFont val="宋体"/>
        <family val="3"/>
        <charset val="134"/>
      </rPr>
      <t>5</t>
    </r>
    <r>
      <rPr>
        <sz val="11"/>
        <color theme="1"/>
        <rFont val="等线"/>
        <family val="2"/>
        <scheme val="minor"/>
      </rPr>
      <t/>
    </r>
  </si>
  <si>
    <t>;画面23</t>
    <rPh sb="0" eb="5">
      <t>ヒョウジガメン</t>
    </rPh>
    <phoneticPr fontId="6"/>
  </si>
  <si>
    <t>;画面24　ユーザレベル画面</t>
    <rPh sb="12" eb="14">
      <t>ガメン</t>
    </rPh>
    <phoneticPr fontId="6"/>
  </si>
  <si>
    <r>
      <t>;選択されたタグ（「ユーザ切り替え」「パスワード変更」）</t>
    </r>
    <r>
      <rPr>
        <sz val="11"/>
        <color theme="1"/>
        <rFont val="等线"/>
        <family val="3"/>
        <charset val="128"/>
        <scheme val="minor"/>
      </rPr>
      <t>　文字色RGB</t>
    </r>
    <rPh sb="1" eb="3">
      <t>センタク</t>
    </rPh>
    <rPh sb="13" eb="14">
      <t>キ</t>
    </rPh>
    <rPh sb="15" eb="16">
      <t>カ</t>
    </rPh>
    <rPh sb="24" eb="26">
      <t>ヘンコウ</t>
    </rPh>
    <rPh sb="29" eb="31">
      <t>イチスウチモジショク</t>
    </rPh>
    <phoneticPr fontId="6"/>
  </si>
  <si>
    <r>
      <t>;選択されたユーザ名称</t>
    </r>
    <r>
      <rPr>
        <sz val="11"/>
        <color theme="1"/>
        <rFont val="等线"/>
        <family val="3"/>
        <charset val="128"/>
        <scheme val="minor"/>
      </rPr>
      <t>(操作、技</t>
    </r>
    <r>
      <rPr>
        <sz val="11"/>
        <color theme="1"/>
        <rFont val="Microsoft JhengHei"/>
        <family val="2"/>
        <charset val="136"/>
      </rPr>
      <t>术</t>
    </r>
    <r>
      <rPr>
        <sz val="11"/>
        <color theme="1"/>
        <rFont val="等线"/>
        <family val="3"/>
        <charset val="128"/>
        <scheme val="minor"/>
      </rPr>
      <t>、管理、高</t>
    </r>
    <r>
      <rPr>
        <sz val="11"/>
        <color theme="1"/>
        <rFont val="Microsoft JhengHei"/>
        <family val="2"/>
        <charset val="136"/>
      </rPr>
      <t>级</t>
    </r>
    <r>
      <rPr>
        <sz val="11"/>
        <color theme="1"/>
        <rFont val="等线"/>
        <family val="3"/>
        <charset val="128"/>
        <scheme val="minor"/>
      </rPr>
      <t>、用</t>
    </r>
    <r>
      <rPr>
        <sz val="11"/>
        <color theme="1"/>
        <rFont val="Microsoft JhengHei"/>
        <family val="2"/>
        <charset val="136"/>
      </rPr>
      <t>户</t>
    </r>
    <r>
      <rPr>
        <sz val="11"/>
        <color theme="1"/>
        <rFont val="等线"/>
        <family val="3"/>
        <charset val="128"/>
        <scheme val="minor"/>
      </rPr>
      <t>5) ,文字色RGB</t>
    </r>
    <rPh sb="1" eb="3">
      <t>センタク</t>
    </rPh>
    <rPh sb="9" eb="11">
      <t>メイショウ</t>
    </rPh>
    <phoneticPr fontId="6"/>
  </si>
  <si>
    <t>;画面group</t>
    <phoneticPr fontId="6"/>
  </si>
  <si>
    <t>;level1</t>
    <phoneticPr fontId="6"/>
  </si>
  <si>
    <t>;level2</t>
  </si>
  <si>
    <t>;level3</t>
  </si>
  <si>
    <t>;level4</t>
  </si>
  <si>
    <t>;level5</t>
  </si>
  <si>
    <t>;group1</t>
    <phoneticPr fontId="6"/>
  </si>
  <si>
    <t>;group2</t>
  </si>
  <si>
    <t>;group3</t>
  </si>
  <si>
    <t>;group4</t>
  </si>
  <si>
    <t>;group5</t>
  </si>
  <si>
    <t>;group6</t>
  </si>
  <si>
    <t>;group7</t>
  </si>
  <si>
    <t>;group8</t>
  </si>
  <si>
    <t>;group9</t>
  </si>
  <si>
    <t>;group10</t>
  </si>
  <si>
    <t>;group11</t>
  </si>
  <si>
    <t>;group12</t>
  </si>
  <si>
    <t>;group13</t>
  </si>
  <si>
    <t>;group14</t>
  </si>
  <si>
    <t>;group15</t>
  </si>
  <si>
    <t>;group16</t>
  </si>
  <si>
    <t>;group17</t>
  </si>
  <si>
    <t>;group18</t>
  </si>
  <si>
    <t>;group19</t>
  </si>
  <si>
    <t>;group20</t>
  </si>
  <si>
    <t>;group21</t>
  </si>
  <si>
    <t>;group22</t>
  </si>
  <si>
    <t>;group23</t>
  </si>
  <si>
    <t>;group24</t>
  </si>
  <si>
    <t>;group25</t>
  </si>
  <si>
    <t>;group26</t>
  </si>
  <si>
    <t>;group27</t>
  </si>
  <si>
    <t>;group28</t>
  </si>
  <si>
    <t>;group29</t>
  </si>
  <si>
    <t>;group30</t>
  </si>
  <si>
    <t>;group31</t>
  </si>
  <si>
    <t>;预留</t>
    <rPh sb="1" eb="2">
      <t>ア</t>
    </rPh>
    <phoneticPr fontId="6"/>
  </si>
  <si>
    <t>;</t>
    <rPh sb="0" eb="1">
      <t>ア</t>
    </rPh>
    <phoneticPr fontId="6"/>
  </si>
  <si>
    <t>;画面25　タイマー設定画面</t>
    <rPh sb="10" eb="12">
      <t>セッテイ</t>
    </rPh>
    <rPh sb="12" eb="14">
      <t>ガメン</t>
    </rPh>
    <phoneticPr fontId="6"/>
  </si>
  <si>
    <r>
      <t>;設定行われている値　</t>
    </r>
    <r>
      <rPr>
        <sz val="11"/>
        <color theme="1"/>
        <rFont val="等线"/>
        <family val="3"/>
        <charset val="128"/>
        <scheme val="minor"/>
      </rPr>
      <t>文字色RGB</t>
    </r>
    <rPh sb="1" eb="3">
      <t>セッテイ</t>
    </rPh>
    <rPh sb="3" eb="4">
      <t>オコナ</t>
    </rPh>
    <rPh sb="9" eb="10">
      <t>アタイ</t>
    </rPh>
    <rPh sb="11" eb="13">
      <t>モジ</t>
    </rPh>
    <rPh sb="13" eb="14">
      <t>ショク</t>
    </rPh>
    <phoneticPr fontId="6"/>
  </si>
  <si>
    <t>;画面26　速度設定画面</t>
    <phoneticPr fontId="6"/>
  </si>
  <si>
    <r>
      <t>;</t>
    </r>
    <r>
      <rPr>
        <sz val="11"/>
        <color theme="1"/>
        <rFont val="Microsoft JhengHei"/>
        <family val="2"/>
        <charset val="136"/>
      </rPr>
      <t>選択された手動速度　</t>
    </r>
    <r>
      <rPr>
        <sz val="11"/>
        <color theme="1"/>
        <rFont val="等线"/>
        <family val="3"/>
        <charset val="128"/>
        <scheme val="minor"/>
      </rPr>
      <t>文字色RGB</t>
    </r>
    <rPh sb="1" eb="3">
      <t>センタク</t>
    </rPh>
    <rPh sb="6" eb="8">
      <t>シュドウ</t>
    </rPh>
    <rPh sb="8" eb="10">
      <t>ソクド</t>
    </rPh>
    <rPh sb="11" eb="14">
      <t>モジショク</t>
    </rPh>
    <phoneticPr fontId="6"/>
  </si>
  <si>
    <r>
      <t>;自動速度が</t>
    </r>
    <r>
      <rPr>
        <sz val="11"/>
        <color theme="1"/>
        <rFont val="等线"/>
        <family val="3"/>
        <charset val="128"/>
        <scheme val="minor"/>
      </rPr>
      <t>10%、100%時　文字</t>
    </r>
    <r>
      <rPr>
        <sz val="11"/>
        <color theme="1"/>
        <rFont val="Microsoft JhengHei"/>
        <family val="2"/>
        <charset val="136"/>
      </rPr>
      <t>颜</t>
    </r>
    <r>
      <rPr>
        <sz val="11"/>
        <color theme="1"/>
        <rFont val="等线"/>
        <family val="3"/>
        <charset val="128"/>
        <scheme val="minor"/>
      </rPr>
      <t>色RGB</t>
    </r>
    <rPh sb="1" eb="3">
      <t>ジドウ</t>
    </rPh>
    <rPh sb="3" eb="5">
      <t>ソクド</t>
    </rPh>
    <rPh sb="14" eb="15">
      <t>トキ</t>
    </rPh>
    <phoneticPr fontId="6"/>
  </si>
  <si>
    <r>
      <t>;0.001</t>
    </r>
    <r>
      <rPr>
        <sz val="11"/>
        <color theme="1"/>
        <rFont val="Microsoft JhengHei"/>
        <family val="2"/>
        <charset val="136"/>
      </rPr>
      <t>の有無設定　有</t>
    </r>
    <r>
      <rPr>
        <sz val="11"/>
        <color theme="1"/>
        <rFont val="等线"/>
        <family val="3"/>
        <charset val="128"/>
        <scheme val="minor"/>
      </rPr>
      <t>：1　無：0</t>
    </r>
    <rPh sb="1" eb="2">
      <t>ア</t>
    </rPh>
    <rPh sb="7" eb="9">
      <t>アリナ</t>
    </rPh>
    <rPh sb="9" eb="11">
      <t>セッテイ</t>
    </rPh>
    <rPh sb="12" eb="13">
      <t>アリ</t>
    </rPh>
    <rPh sb="16" eb="17">
      <t>ナ</t>
    </rPh>
    <phoneticPr fontId="6"/>
  </si>
  <si>
    <r>
      <t>;0.01有無設定　有</t>
    </r>
    <r>
      <rPr>
        <sz val="11"/>
        <color theme="1"/>
        <rFont val="等线"/>
        <family val="3"/>
        <charset val="128"/>
        <scheme val="minor"/>
      </rPr>
      <t>：1，無：0</t>
    </r>
    <rPh sb="1" eb="2">
      <t>ア</t>
    </rPh>
    <rPh sb="5" eb="7">
      <t>ウム</t>
    </rPh>
    <rPh sb="7" eb="9">
      <t>セッテイ</t>
    </rPh>
    <rPh sb="10" eb="11">
      <t>アリ</t>
    </rPh>
    <rPh sb="14" eb="15">
      <t>ナ</t>
    </rPh>
    <phoneticPr fontId="6"/>
  </si>
  <si>
    <t>;画面27　言語選択画面</t>
    <rPh sb="6" eb="8">
      <t>ゲンゴ</t>
    </rPh>
    <rPh sb="8" eb="10">
      <t>センタク</t>
    </rPh>
    <rPh sb="10" eb="12">
      <t>ガメン</t>
    </rPh>
    <phoneticPr fontId="6"/>
  </si>
  <si>
    <r>
      <t>;</t>
    </r>
    <r>
      <rPr>
        <sz val="11"/>
        <color theme="1"/>
        <rFont val="Microsoft JhengHei"/>
        <family val="2"/>
        <charset val="136"/>
      </rPr>
      <t>選択された言語　</t>
    </r>
    <r>
      <rPr>
        <sz val="11"/>
        <color theme="1"/>
        <rFont val="等线"/>
        <family val="3"/>
        <charset val="128"/>
        <scheme val="minor"/>
      </rPr>
      <t>文字色RGB</t>
    </r>
    <rPh sb="1" eb="3">
      <t>センタク</t>
    </rPh>
    <rPh sb="6" eb="8">
      <t>ゲンゴ</t>
    </rPh>
    <rPh sb="9" eb="11">
      <t>モジ</t>
    </rPh>
    <phoneticPr fontId="6"/>
  </si>
  <si>
    <t>画面group 统计</t>
    <phoneticPr fontId="17" type="noConversion"/>
  </si>
  <si>
    <t>;共通データ</t>
    <rPh sb="1" eb="3">
      <t>キョウツウ</t>
    </rPh>
    <phoneticPr fontId="7"/>
  </si>
  <si>
    <t>;画面4　モニタ画面</t>
  </si>
  <si>
    <t>;画面5　教導画面</t>
  </si>
  <si>
    <t>;画面23　アラーム表示画面</t>
    <rPh sb="10" eb="12">
      <t>ヒョウジ</t>
    </rPh>
    <rPh sb="12" eb="14">
      <t>ガメン</t>
    </rPh>
    <phoneticPr fontId="6"/>
  </si>
  <si>
    <t>;0:表示なし，1:表示あり</t>
    <rPh sb="3" eb="5">
      <t>ヒョウジ</t>
    </rPh>
    <rPh sb="10" eb="12">
      <t>ヒョウジ</t>
    </rPh>
    <phoneticPr fontId="6"/>
  </si>
  <si>
    <t>;読込</t>
    <rPh sb="1" eb="3">
      <t>ヨミコミ</t>
    </rPh>
    <phoneticPr fontId="6"/>
  </si>
  <si>
    <t>;保存</t>
    <rPh sb="1" eb="3">
      <t>ホゾン</t>
    </rPh>
    <phoneticPr fontId="6"/>
  </si>
  <si>
    <t>;削除</t>
    <rPh sb="1" eb="3">
      <t>サクジョ</t>
    </rPh>
    <phoneticPr fontId="6"/>
  </si>
  <si>
    <t>;上書き</t>
    <rPh sb="1" eb="3">
      <t>ウワガ</t>
    </rPh>
    <phoneticPr fontId="6"/>
  </si>
  <si>
    <r>
      <t>;比</t>
    </r>
    <r>
      <rPr>
        <sz val="11"/>
        <color rgb="FF000000"/>
        <rFont val="等线"/>
        <family val="2"/>
        <charset val="136"/>
        <scheme val="minor"/>
      </rPr>
      <t>较</t>
    </r>
    <phoneticPr fontId="6"/>
  </si>
  <si>
    <t>;ボタンの表示有り無し設定</t>
    <phoneticPr fontId="6"/>
  </si>
  <si>
    <t>;各画面の操作権限設定</t>
    <rPh sb="7" eb="9">
      <t>ケンゲン</t>
    </rPh>
    <rPh sb="9" eb="11">
      <t>セッテイ</t>
    </rPh>
    <phoneticPr fontId="6"/>
  </si>
  <si>
    <t>;功能画面での表示できない物のボタンが表示しません。</t>
    <rPh sb="7" eb="9">
      <t>ヒョウジ</t>
    </rPh>
    <rPh sb="13" eb="14">
      <t>モノ</t>
    </rPh>
    <rPh sb="19" eb="21">
      <t>ヒョウジ</t>
    </rPh>
    <phoneticPr fontId="6"/>
  </si>
  <si>
    <t>;功能画面以外の画面の操作できない物は，タッチ無効です。</t>
    <rPh sb="8" eb="10">
      <t>ガメン</t>
    </rPh>
    <rPh sb="17" eb="18">
      <t>モノ</t>
    </rPh>
    <rPh sb="23" eb="25">
      <t>ムコウ</t>
    </rPh>
    <phoneticPr fontId="6"/>
  </si>
  <si>
    <t>;モーター容量　表示文字色RGB</t>
    <rPh sb="5" eb="7">
      <t>ヨウリョウ</t>
    </rPh>
    <rPh sb="8" eb="10">
      <t>ヒョウジ</t>
    </rPh>
    <rPh sb="10" eb="13">
      <t>モジショク</t>
    </rPh>
    <phoneticPr fontId="6"/>
  </si>
  <si>
    <r>
      <t>;</t>
    </r>
    <r>
      <rPr>
        <sz val="11"/>
        <color theme="1"/>
        <rFont val="Microsoft JhengHei"/>
        <family val="2"/>
        <charset val="136"/>
      </rPr>
      <t>タグ（「機種選択」「機械パラメータ」「ドライバパラメータ」）選択された時　表示文字色RGB</t>
    </r>
    <rPh sb="31" eb="33">
      <t>センタク</t>
    </rPh>
    <rPh sb="36" eb="37">
      <t>トキ</t>
    </rPh>
    <rPh sb="38" eb="40">
      <t>ヒョウジ</t>
    </rPh>
    <rPh sb="40" eb="42">
      <t>モジ</t>
    </rPh>
    <rPh sb="42" eb="43">
      <t>ショク</t>
    </rPh>
    <phoneticPr fontId="6"/>
  </si>
  <si>
    <t>;データが変更して保存前　数値文字色RGB</t>
    <rPh sb="5" eb="7">
      <t>ヘンコウ</t>
    </rPh>
    <rPh sb="9" eb="11">
      <t>ホゾン</t>
    </rPh>
    <rPh sb="11" eb="12">
      <t>マエ</t>
    </rPh>
    <rPh sb="13" eb="15">
      <t>スウチ</t>
    </rPh>
    <rPh sb="15" eb="18">
      <t>モジショク</t>
    </rPh>
    <phoneticPr fontId="6"/>
  </si>
  <si>
    <t>;ボタンを押下されてテンキー表示している間　数値文字色RGB</t>
    <rPh sb="5" eb="7">
      <t>オウカ</t>
    </rPh>
    <rPh sb="14" eb="16">
      <t>ヒョウジ</t>
    </rPh>
    <rPh sb="20" eb="21">
      <t>アイダ</t>
    </rPh>
    <rPh sb="22" eb="24">
      <t>スウチ</t>
    </rPh>
    <rPh sb="24" eb="27">
      <t>モジショク</t>
    </rPh>
    <phoneticPr fontId="6"/>
  </si>
  <si>
    <r>
      <t>;軸</t>
    </r>
    <r>
      <rPr>
        <sz val="11"/>
        <rFont val="Microsoft JhengHei"/>
        <family val="3"/>
        <charset val="134"/>
      </rPr>
      <t>1</t>
    </r>
    <rPh sb="1" eb="2">
      <t>ジク</t>
    </rPh>
    <phoneticPr fontId="7"/>
  </si>
  <si>
    <r>
      <t>;軸</t>
    </r>
    <r>
      <rPr>
        <sz val="11"/>
        <rFont val="Microsoft JhengHei"/>
        <family val="3"/>
        <charset val="134"/>
      </rPr>
      <t>2</t>
    </r>
    <r>
      <rPr>
        <sz val="11"/>
        <color theme="1"/>
        <rFont val="等线"/>
        <family val="2"/>
        <charset val="128"/>
        <scheme val="minor"/>
      </rPr>
      <t/>
    </r>
    <rPh sb="1" eb="2">
      <t>ジク</t>
    </rPh>
    <phoneticPr fontId="7"/>
  </si>
  <si>
    <r>
      <t>;軸</t>
    </r>
    <r>
      <rPr>
        <sz val="11"/>
        <rFont val="Microsoft JhengHei"/>
        <family val="3"/>
        <charset val="134"/>
      </rPr>
      <t>3</t>
    </r>
    <r>
      <rPr>
        <sz val="11"/>
        <color theme="1"/>
        <rFont val="等线"/>
        <family val="2"/>
        <charset val="128"/>
        <scheme val="minor"/>
      </rPr>
      <t/>
    </r>
    <rPh sb="1" eb="2">
      <t>ジク</t>
    </rPh>
    <phoneticPr fontId="7"/>
  </si>
  <si>
    <r>
      <t>;軸</t>
    </r>
    <r>
      <rPr>
        <sz val="11"/>
        <rFont val="Microsoft JhengHei"/>
        <family val="3"/>
        <charset val="134"/>
      </rPr>
      <t>4</t>
    </r>
    <r>
      <rPr>
        <sz val="11"/>
        <color theme="1"/>
        <rFont val="等线"/>
        <family val="2"/>
        <charset val="128"/>
        <scheme val="minor"/>
      </rPr>
      <t/>
    </r>
    <rPh sb="1" eb="2">
      <t>ジク</t>
    </rPh>
    <phoneticPr fontId="7"/>
  </si>
  <si>
    <r>
      <t>;軸</t>
    </r>
    <r>
      <rPr>
        <sz val="11"/>
        <rFont val="Microsoft JhengHei"/>
        <family val="3"/>
        <charset val="134"/>
      </rPr>
      <t>5</t>
    </r>
    <r>
      <rPr>
        <sz val="11"/>
        <color theme="1"/>
        <rFont val="等线"/>
        <family val="2"/>
        <charset val="128"/>
        <scheme val="minor"/>
      </rPr>
      <t/>
    </r>
    <rPh sb="1" eb="2">
      <t>ジク</t>
    </rPh>
    <phoneticPr fontId="7"/>
  </si>
  <si>
    <r>
      <t>;軸</t>
    </r>
    <r>
      <rPr>
        <sz val="11"/>
        <rFont val="Microsoft JhengHei"/>
        <family val="3"/>
        <charset val="134"/>
      </rPr>
      <t>6</t>
    </r>
    <r>
      <rPr>
        <sz val="11"/>
        <color theme="1"/>
        <rFont val="等线"/>
        <family val="2"/>
        <charset val="128"/>
        <scheme val="minor"/>
      </rPr>
      <t/>
    </r>
    <rPh sb="1" eb="2">
      <t>ジク</t>
    </rPh>
    <phoneticPr fontId="7"/>
  </si>
  <si>
    <r>
      <t>;軸</t>
    </r>
    <r>
      <rPr>
        <sz val="11"/>
        <rFont val="Microsoft JhengHei"/>
        <family val="3"/>
        <charset val="134"/>
      </rPr>
      <t>7</t>
    </r>
    <r>
      <rPr>
        <sz val="11"/>
        <color theme="1"/>
        <rFont val="等线"/>
        <family val="2"/>
        <charset val="128"/>
        <scheme val="minor"/>
      </rPr>
      <t/>
    </r>
    <rPh sb="1" eb="2">
      <t>ジク</t>
    </rPh>
    <phoneticPr fontId="7"/>
  </si>
  <si>
    <r>
      <t>;軸</t>
    </r>
    <r>
      <rPr>
        <sz val="11"/>
        <rFont val="Microsoft JhengHei"/>
        <family val="3"/>
        <charset val="134"/>
      </rPr>
      <t>8</t>
    </r>
    <r>
      <rPr>
        <sz val="11"/>
        <color theme="1"/>
        <rFont val="等线"/>
        <family val="2"/>
        <charset val="128"/>
        <scheme val="minor"/>
      </rPr>
      <t/>
    </r>
    <rPh sb="1" eb="2">
      <t>ジク</t>
    </rPh>
    <phoneticPr fontId="7"/>
  </si>
  <si>
    <t>;システム設定画面　システム設定</t>
    <rPh sb="5" eb="9">
      <t>セッテイガメン</t>
    </rPh>
    <rPh sb="14" eb="16">
      <t>セッテイ</t>
    </rPh>
    <phoneticPr fontId="6"/>
  </si>
  <si>
    <r>
      <t>;</t>
    </r>
    <r>
      <rPr>
        <sz val="11"/>
        <color theme="1"/>
        <rFont val="Microsoft JhengHei"/>
        <family val="2"/>
        <charset val="136"/>
      </rPr>
      <t>タグ（「システム設定」「ユーザ設定」「ネットワーク設定」）選択された時　表示文字色RGB</t>
    </r>
    <rPh sb="9" eb="11">
      <t>セッテイ</t>
    </rPh>
    <rPh sb="16" eb="18">
      <t>セッテイ</t>
    </rPh>
    <rPh sb="26" eb="28">
      <t>セッテイ</t>
    </rPh>
    <rPh sb="30" eb="32">
      <t>センタク</t>
    </rPh>
    <rPh sb="35" eb="36">
      <t>トキ</t>
    </rPh>
    <rPh sb="37" eb="39">
      <t>ヒョウジ</t>
    </rPh>
    <rPh sb="39" eb="41">
      <t>モジ</t>
    </rPh>
    <rPh sb="41" eb="42">
      <t>ショク</t>
    </rPh>
    <phoneticPr fontId="6"/>
  </si>
  <si>
    <t>;画面OFF時間　表示方式</t>
    <rPh sb="1" eb="3">
      <t>ガメン</t>
    </rPh>
    <rPh sb="6" eb="8">
      <t>ジカン</t>
    </rPh>
    <rPh sb="9" eb="11">
      <t>ヒョウジ</t>
    </rPh>
    <rPh sb="11" eb="13">
      <t>ホウシキ</t>
    </rPh>
    <phoneticPr fontId="6"/>
  </si>
  <si>
    <t>;システム設定画面　ユーザ設定</t>
    <rPh sb="5" eb="9">
      <t>セッテイガメン</t>
    </rPh>
    <rPh sb="13" eb="15">
      <t>セッテイ</t>
    </rPh>
    <phoneticPr fontId="6"/>
  </si>
  <si>
    <t>;DP2</t>
    <phoneticPr fontId="6"/>
  </si>
  <si>
    <t>;ユーザ3</t>
  </si>
  <si>
    <t>；モニター画面　「IO表示」</t>
    <rPh sb="5" eb="7">
      <t>ガメン</t>
    </rPh>
    <phoneticPr fontId="6"/>
  </si>
  <si>
    <t>；モニター画面　「IO強制」</t>
    <phoneticPr fontId="6"/>
  </si>
  <si>
    <t>；モニター画面　「ドライバ」</t>
    <phoneticPr fontId="6"/>
  </si>
  <si>
    <t>；モニター画面　「内部IO」</t>
    <phoneticPr fontId="6"/>
  </si>
  <si>
    <t>；モード画面</t>
    <rPh sb="4" eb="6">
      <t>ガメン</t>
    </rPh>
    <phoneticPr fontId="6"/>
  </si>
  <si>
    <t>；位置設定画面　位置設定</t>
    <rPh sb="1" eb="7">
      <t>イチセッテイガメン</t>
    </rPh>
    <rPh sb="5" eb="7">
      <t>ガメン</t>
    </rPh>
    <rPh sb="8" eb="12">
      <t>イチセッテイ</t>
    </rPh>
    <phoneticPr fontId="6"/>
  </si>
  <si>
    <t>；位置設定画面　位置修正</t>
    <rPh sb="1" eb="7">
      <t>イチセッテイガメン</t>
    </rPh>
    <rPh sb="5" eb="7">
      <t>ガメン</t>
    </rPh>
    <rPh sb="8" eb="12">
      <t>イチシュウセイ</t>
    </rPh>
    <phoneticPr fontId="6"/>
  </si>
  <si>
    <t>；標準パレタイズ画面</t>
    <rPh sb="1" eb="3">
      <t>ヒョウジュン</t>
    </rPh>
    <rPh sb="8" eb="10">
      <t>ガメン</t>
    </rPh>
    <phoneticPr fontId="6"/>
  </si>
  <si>
    <t>；自由パレタイズ画面</t>
    <rPh sb="1" eb="3">
      <t>ジユウ</t>
    </rPh>
    <rPh sb="8" eb="10">
      <t>ガメン</t>
    </rPh>
    <phoneticPr fontId="6"/>
  </si>
  <si>
    <t>；タイマー画面</t>
    <rPh sb="5" eb="7">
      <t>ガメン</t>
    </rPh>
    <phoneticPr fontId="6"/>
  </si>
  <si>
    <t>；カウンター画面</t>
    <rPh sb="6" eb="8">
      <t>ガメン</t>
    </rPh>
    <phoneticPr fontId="6"/>
  </si>
  <si>
    <t>；パス画面</t>
    <rPh sb="3" eb="5">
      <t>ガメン</t>
    </rPh>
    <phoneticPr fontId="6"/>
  </si>
  <si>
    <t>；Prog画面</t>
    <rPh sb="5" eb="7">
      <t>ガメン</t>
    </rPh>
    <phoneticPr fontId="6"/>
  </si>
  <si>
    <t>；システム設定画面　システム設定</t>
    <rPh sb="5" eb="7">
      <t>セッテイ</t>
    </rPh>
    <rPh sb="7" eb="9">
      <t>ガメン</t>
    </rPh>
    <rPh sb="14" eb="16">
      <t>セッテイ</t>
    </rPh>
    <phoneticPr fontId="6"/>
  </si>
  <si>
    <t>；システム設定画面　ユーザ設定</t>
    <rPh sb="5" eb="7">
      <t>セッテイ</t>
    </rPh>
    <rPh sb="7" eb="9">
      <t>ガメン</t>
    </rPh>
    <rPh sb="13" eb="15">
      <t>セッテイ</t>
    </rPh>
    <phoneticPr fontId="6"/>
  </si>
  <si>
    <t>；システム設定画面　ネットワーク設定</t>
    <rPh sb="5" eb="7">
      <t>セッテイ</t>
    </rPh>
    <rPh sb="7" eb="9">
      <t>ガメン</t>
    </rPh>
    <rPh sb="16" eb="18">
      <t>セッテイ</t>
    </rPh>
    <phoneticPr fontId="6"/>
  </si>
  <si>
    <t>；機械パラメータ設定画面　機種選択</t>
    <rPh sb="1" eb="3">
      <t>キカイ</t>
    </rPh>
    <rPh sb="8" eb="10">
      <t>セッテイ</t>
    </rPh>
    <rPh sb="10" eb="12">
      <t>ガメン</t>
    </rPh>
    <rPh sb="13" eb="17">
      <t>キシュセンタク</t>
    </rPh>
    <phoneticPr fontId="6"/>
  </si>
  <si>
    <t>；機械パラメータ設定画面　機械パラメータ</t>
    <rPh sb="1" eb="3">
      <t>キカイ</t>
    </rPh>
    <rPh sb="8" eb="10">
      <t>セッテイ</t>
    </rPh>
    <rPh sb="10" eb="12">
      <t>ガメン</t>
    </rPh>
    <rPh sb="13" eb="15">
      <t>キカイ</t>
    </rPh>
    <phoneticPr fontId="6"/>
  </si>
  <si>
    <t>；機械パラメータ設定画面　アンプパラメータ</t>
    <rPh sb="1" eb="3">
      <t>キカイ</t>
    </rPh>
    <rPh sb="8" eb="10">
      <t>セッテイ</t>
    </rPh>
    <rPh sb="10" eb="12">
      <t>ガメン</t>
    </rPh>
    <phoneticPr fontId="6"/>
  </si>
  <si>
    <t>；区域設定画面　区域設定</t>
    <rPh sb="1" eb="5">
      <t>クイキセッテイ</t>
    </rPh>
    <rPh sb="5" eb="7">
      <t>ガメン</t>
    </rPh>
    <rPh sb="8" eb="12">
      <t>クイキセッテイ</t>
    </rPh>
    <phoneticPr fontId="6"/>
  </si>
  <si>
    <t>；区域設定画面　区域修正</t>
    <rPh sb="1" eb="5">
      <t>クイキセッテイ</t>
    </rPh>
    <rPh sb="5" eb="7">
      <t>ガメン</t>
    </rPh>
    <rPh sb="8" eb="12">
      <t>クイキシュウセイ</t>
    </rPh>
    <phoneticPr fontId="6"/>
  </si>
  <si>
    <t>；メンテナンス画面　点検</t>
    <rPh sb="7" eb="9">
      <t>ガメン</t>
    </rPh>
    <rPh sb="10" eb="12">
      <t>テンケン</t>
    </rPh>
    <phoneticPr fontId="6"/>
  </si>
  <si>
    <t>；メンテナンス画面　メンテナンス</t>
    <rPh sb="7" eb="9">
      <t>ガメン</t>
    </rPh>
    <phoneticPr fontId="6"/>
  </si>
  <si>
    <t>；生産管理画面</t>
    <rPh sb="1" eb="5">
      <t>セイサンカンリ</t>
    </rPh>
    <rPh sb="5" eb="7">
      <t>ガメン</t>
    </rPh>
    <phoneticPr fontId="6"/>
  </si>
  <si>
    <t>；ABS設定画面</t>
    <rPh sb="4" eb="6">
      <t>セッテイ</t>
    </rPh>
    <rPh sb="6" eb="8">
      <t>ガメン</t>
    </rPh>
    <phoneticPr fontId="6"/>
  </si>
  <si>
    <t>；加減速設定画面</t>
    <rPh sb="1" eb="4">
      <t>カゲンソク</t>
    </rPh>
    <rPh sb="4" eb="6">
      <t>セッテイ</t>
    </rPh>
    <rPh sb="6" eb="8">
      <t>ガメン</t>
    </rPh>
    <phoneticPr fontId="6"/>
  </si>
  <si>
    <t>；バージョン管理画面</t>
    <rPh sb="6" eb="8">
      <t>カンリ</t>
    </rPh>
    <rPh sb="8" eb="10">
      <t>ガメン</t>
    </rPh>
    <phoneticPr fontId="6"/>
  </si>
  <si>
    <t>；履歴画面　アラーム履歴</t>
    <rPh sb="1" eb="3">
      <t>リレキ</t>
    </rPh>
    <rPh sb="3" eb="5">
      <t>ガメン</t>
    </rPh>
    <rPh sb="10" eb="12">
      <t>リレキ</t>
    </rPh>
    <phoneticPr fontId="6"/>
  </si>
  <si>
    <t>；履歴画面　操作履歴</t>
    <rPh sb="1" eb="3">
      <t>リレキ</t>
    </rPh>
    <rPh sb="3" eb="5">
      <t>ガメン</t>
    </rPh>
    <rPh sb="6" eb="8">
      <t>ソウサ</t>
    </rPh>
    <rPh sb="8" eb="10">
      <t>リレキ</t>
    </rPh>
    <phoneticPr fontId="6"/>
  </si>
  <si>
    <t>；履歴画面　IO履歴</t>
    <rPh sb="1" eb="3">
      <t>リレキ</t>
    </rPh>
    <rPh sb="3" eb="5">
      <t>ガメン</t>
    </rPh>
    <rPh sb="8" eb="10">
      <t>リレキ</t>
    </rPh>
    <phoneticPr fontId="6"/>
  </si>
  <si>
    <t>；段取り換え・外部メモリ画面　段取り換え</t>
    <rPh sb="1" eb="3">
      <t>ダンド</t>
    </rPh>
    <rPh sb="4" eb="5">
      <t>ガ</t>
    </rPh>
    <rPh sb="7" eb="9">
      <t>ガイブ</t>
    </rPh>
    <rPh sb="12" eb="14">
      <t>ガメン</t>
    </rPh>
    <rPh sb="15" eb="17">
      <t>ダンド</t>
    </rPh>
    <rPh sb="18" eb="19">
      <t>カ</t>
    </rPh>
    <phoneticPr fontId="6"/>
  </si>
  <si>
    <t>；段取り換え・外部メモリ画面　USBに書き込み</t>
    <rPh sb="1" eb="3">
      <t>ダンド</t>
    </rPh>
    <rPh sb="4" eb="5">
      <t>ガ</t>
    </rPh>
    <rPh sb="7" eb="9">
      <t>ガイブ</t>
    </rPh>
    <rPh sb="12" eb="14">
      <t>ガメン</t>
    </rPh>
    <rPh sb="19" eb="20">
      <t>カ</t>
    </rPh>
    <rPh sb="21" eb="22">
      <t>コ</t>
    </rPh>
    <phoneticPr fontId="6"/>
  </si>
  <si>
    <t>；段取り換え・外部メモリ画面　USBから書き込み</t>
    <rPh sb="1" eb="3">
      <t>ダンド</t>
    </rPh>
    <rPh sb="4" eb="5">
      <t>ガ</t>
    </rPh>
    <rPh sb="7" eb="9">
      <t>ガイブ</t>
    </rPh>
    <rPh sb="12" eb="14">
      <t>ガメン</t>
    </rPh>
    <rPh sb="20" eb="21">
      <t>カ</t>
    </rPh>
    <rPh sb="22" eb="23">
      <t>コ</t>
    </rPh>
    <phoneticPr fontId="6"/>
  </si>
  <si>
    <t>；空き</t>
    <rPh sb="1" eb="2">
      <t>ア</t>
    </rPh>
    <phoneticPr fontId="6"/>
  </si>
  <si>
    <t>;システム設定画面　ネットワーク設定</t>
    <rPh sb="5" eb="9">
      <t>セッテイガメン</t>
    </rPh>
    <rPh sb="16" eb="18">
      <t>セッテイ</t>
    </rPh>
    <phoneticPr fontId="6"/>
  </si>
  <si>
    <t>mode02</t>
  </si>
  <si>
    <t>mode03</t>
  </si>
  <si>
    <t>mode04</t>
  </si>
  <si>
    <t>mode05</t>
  </si>
  <si>
    <t>mode06</t>
  </si>
  <si>
    <t>mode07</t>
  </si>
  <si>
    <t>mode08</t>
  </si>
  <si>
    <t>mode09</t>
  </si>
  <si>
    <t>mode10</t>
  </si>
  <si>
    <t>mode11</t>
  </si>
  <si>
    <t>mode12</t>
  </si>
  <si>
    <t>mode13</t>
  </si>
  <si>
    <t>mode14</t>
  </si>
  <si>
    <t>mode15</t>
  </si>
  <si>
    <t>mode16</t>
  </si>
  <si>
    <t>mode17</t>
  </si>
  <si>
    <t>mode18</t>
  </si>
  <si>
    <t>mode19</t>
  </si>
  <si>
    <t>mode20</t>
  </si>
  <si>
    <t>mode21</t>
  </si>
  <si>
    <t>mode22</t>
  </si>
  <si>
    <t>mode23</t>
  </si>
  <si>
    <t>mode24</t>
  </si>
  <si>
    <t>mode25</t>
  </si>
  <si>
    <t>mode26</t>
  </si>
  <si>
    <t>mode27</t>
  </si>
  <si>
    <t>mode28</t>
  </si>
  <si>
    <t>mode29</t>
  </si>
  <si>
    <t>mode30</t>
  </si>
  <si>
    <t>mode31</t>
  </si>
  <si>
    <t>mode32</t>
  </si>
  <si>
    <t>mode33</t>
  </si>
  <si>
    <t>mode34</t>
  </si>
  <si>
    <t>mode35</t>
  </si>
  <si>
    <t>mode36</t>
  </si>
  <si>
    <t>mode37</t>
  </si>
  <si>
    <t>mode38</t>
  </si>
  <si>
    <t>mode39</t>
  </si>
  <si>
    <t>mode40</t>
  </si>
  <si>
    <t>mode41</t>
  </si>
  <si>
    <t>mode42</t>
  </si>
  <si>
    <t>mode43</t>
  </si>
  <si>
    <t>mode44</t>
  </si>
  <si>
    <t>mode45</t>
  </si>
  <si>
    <t>mode46</t>
  </si>
  <si>
    <t>mode47</t>
  </si>
  <si>
    <t>mode48</t>
  </si>
  <si>
    <t>mode49</t>
  </si>
  <si>
    <t>mode50</t>
  </si>
  <si>
    <t>mode51</t>
  </si>
  <si>
    <t>mode52</t>
  </si>
  <si>
    <t>mode53</t>
  </si>
  <si>
    <t>mode54</t>
  </si>
  <si>
    <t>mode55</t>
  </si>
  <si>
    <t>mode56</t>
  </si>
  <si>
    <t>mode57</t>
  </si>
  <si>
    <t>mode58</t>
  </si>
  <si>
    <t>mode59</t>
  </si>
  <si>
    <t>mode60</t>
  </si>
  <si>
    <t>mode61</t>
  </si>
  <si>
    <t>mode62</t>
  </si>
  <si>
    <t>mode63</t>
  </si>
  <si>
    <t>mode64</t>
  </si>
  <si>
    <t>modeNO.</t>
    <phoneticPr fontId="6"/>
  </si>
  <si>
    <t>;</t>
    <phoneticPr fontId="6"/>
  </si>
  <si>
    <t>;モードNO発行KEY NO.とDI***のテーブル</t>
    <rPh sb="6" eb="8">
      <t>ハッコウ</t>
    </rPh>
    <phoneticPr fontId="6"/>
  </si>
  <si>
    <t>;0:操作できない,1:操作可能</t>
    <rPh sb="14" eb="16">
      <t>カノウ</t>
    </rPh>
    <phoneticPr fontId="6"/>
  </si>
  <si>
    <t>POINT番号</t>
    <rPh sb="5" eb="7">
      <t>バンゴウ</t>
    </rPh>
    <phoneticPr fontId="6"/>
  </si>
  <si>
    <t>;設定位置</t>
    <rPh sb="1" eb="3">
      <t>セッテイ</t>
    </rPh>
    <rPh sb="3" eb="5">
      <t>イチ</t>
    </rPh>
    <phoneticPr fontId="6"/>
  </si>
  <si>
    <t>;1軸</t>
    <phoneticPr fontId="16"/>
  </si>
  <si>
    <t>;2軸</t>
    <phoneticPr fontId="16"/>
  </si>
  <si>
    <t>;3軸</t>
  </si>
  <si>
    <t>;4軸</t>
  </si>
  <si>
    <t>;5軸</t>
  </si>
  <si>
    <t>;6軸</t>
  </si>
  <si>
    <t>;7軸</t>
  </si>
  <si>
    <t>;8軸</t>
  </si>
  <si>
    <t>17bitINC</t>
    <phoneticPr fontId="7"/>
  </si>
  <si>
    <r>
      <t>1</t>
    </r>
    <r>
      <rPr>
        <sz val="11"/>
        <color theme="1"/>
        <rFont val="Microsoft YaHei"/>
        <family val="2"/>
        <charset val="134"/>
      </rPr>
      <t>7</t>
    </r>
    <r>
      <rPr>
        <sz val="11"/>
        <color theme="1"/>
        <rFont val="等线"/>
        <family val="2"/>
        <charset val="128"/>
        <scheme val="minor"/>
      </rPr>
      <t>bitABS</t>
    </r>
    <phoneticPr fontId="6"/>
  </si>
  <si>
    <t>10000pulseINC</t>
    <phoneticPr fontId="7"/>
  </si>
  <si>
    <t>20bitINC</t>
    <phoneticPr fontId="7"/>
  </si>
  <si>
    <r>
      <rPr>
        <sz val="11"/>
        <color theme="1"/>
        <rFont val="Microsoft JhengHei"/>
        <family val="2"/>
        <charset val="134"/>
      </rPr>
      <t>23</t>
    </r>
    <r>
      <rPr>
        <sz val="11"/>
        <color theme="1"/>
        <rFont val="等线"/>
        <family val="2"/>
        <charset val="128"/>
        <scheme val="minor"/>
      </rPr>
      <t>bit</t>
    </r>
    <phoneticPr fontId="6"/>
  </si>
  <si>
    <t>23bit</t>
    <phoneticPr fontId="6"/>
  </si>
  <si>
    <r>
      <rPr>
        <sz val="11"/>
        <color theme="1"/>
        <rFont val="Microsoft JhengHei"/>
        <family val="2"/>
        <charset val="134"/>
      </rPr>
      <t>24</t>
    </r>
    <r>
      <rPr>
        <sz val="11"/>
        <color theme="1"/>
        <rFont val="等线"/>
        <family val="2"/>
        <charset val="128"/>
        <scheme val="minor"/>
      </rPr>
      <t>bit</t>
    </r>
    <phoneticPr fontId="7"/>
  </si>
  <si>
    <t>18bitABS</t>
    <phoneticPr fontId="7"/>
  </si>
  <si>
    <t>；エンコーダタイプ</t>
    <phoneticPr fontId="6"/>
  </si>
  <si>
    <t>；Data</t>
    <phoneticPr fontId="7"/>
  </si>
  <si>
    <t>；タイプ</t>
    <phoneticPr fontId="7"/>
  </si>
  <si>
    <t>；</t>
    <phoneticPr fontId="6"/>
  </si>
  <si>
    <t>;項目No</t>
    <rPh sb="1" eb="3">
      <t>コウモク</t>
    </rPh>
    <phoneticPr fontId="7"/>
  </si>
  <si>
    <r>
      <t>;mode</t>
    </r>
    <r>
      <rPr>
        <sz val="11"/>
        <color theme="1"/>
        <rFont val="Microsoft JhengHei"/>
        <family val="2"/>
        <charset val="136"/>
      </rPr>
      <t>表示設定　</t>
    </r>
    <r>
      <rPr>
        <sz val="11"/>
        <color theme="1"/>
        <rFont val="等线"/>
        <family val="3"/>
        <charset val="128"/>
        <scheme val="minor"/>
      </rPr>
      <t>255：表示なし,1-64</t>
    </r>
    <r>
      <rPr>
        <sz val="11"/>
        <color theme="1"/>
        <rFont val="Microsoft JhengHei"/>
        <family val="2"/>
        <charset val="136"/>
      </rPr>
      <t>：モード番号を意味しています。</t>
    </r>
    <r>
      <rPr>
        <sz val="11"/>
        <color theme="1"/>
        <rFont val="等线"/>
        <family val="3"/>
        <charset val="128"/>
        <scheme val="minor"/>
      </rPr>
      <t>mode1-64</t>
    </r>
    <rPh sb="5" eb="7">
      <t>ヒョウジ</t>
    </rPh>
    <rPh sb="7" eb="9">
      <t>セッテイ</t>
    </rPh>
    <rPh sb="14" eb="16">
      <t>ヒョウジ</t>
    </rPh>
    <rPh sb="27" eb="29">
      <t>バンゴウ</t>
    </rPh>
    <rPh sb="30" eb="32">
      <t>イミ</t>
    </rPh>
    <phoneticPr fontId="6"/>
  </si>
  <si>
    <t>；ページ内いくつ項目255の場合、その項目のボタン、文字列を表示なしとします。</t>
    <phoneticPr fontId="6"/>
  </si>
  <si>
    <t>；ページ内の項目すべて255の場合、このページは表示しません</t>
    <phoneticPr fontId="6"/>
  </si>
  <si>
    <t>；次のページを詰めて表示します</t>
    <phoneticPr fontId="6"/>
  </si>
  <si>
    <r>
      <t>;「</t>
    </r>
    <r>
      <rPr>
        <sz val="11"/>
        <color theme="1"/>
        <rFont val="Microsoft JhengHei"/>
        <family val="2"/>
        <charset val="136"/>
      </rPr>
      <t>機種選択」変更して、保存前の文字色RGB</t>
    </r>
    <rPh sb="2" eb="4">
      <t>キシュ</t>
    </rPh>
    <rPh sb="4" eb="6">
      <t>センタク</t>
    </rPh>
    <rPh sb="7" eb="9">
      <t>ヘンコウ</t>
    </rPh>
    <rPh sb="12" eb="14">
      <t>ホゾン</t>
    </rPh>
    <rPh sb="14" eb="15">
      <t>マエ</t>
    </rPh>
    <rPh sb="16" eb="18">
      <t>モジ</t>
    </rPh>
    <rPh sb="18" eb="19">
      <t>イロ</t>
    </rPh>
    <phoneticPr fontId="6"/>
  </si>
  <si>
    <t>;原点復帰前速度　上位</t>
    <rPh sb="1" eb="3">
      <t>ゲンテン</t>
    </rPh>
    <rPh sb="3" eb="5">
      <t>フッキ</t>
    </rPh>
    <rPh sb="5" eb="6">
      <t>マエ</t>
    </rPh>
    <rPh sb="6" eb="8">
      <t>ソクド</t>
    </rPh>
    <rPh sb="9" eb="11">
      <t>ジョウイ</t>
    </rPh>
    <phoneticPr fontId="7"/>
  </si>
  <si>
    <t>;自由操作速度[低]上位</t>
    <rPh sb="1" eb="3">
      <t>ジユウ</t>
    </rPh>
    <rPh sb="3" eb="5">
      <t>ソウサ</t>
    </rPh>
    <rPh sb="5" eb="7">
      <t>ソクド</t>
    </rPh>
    <rPh sb="8" eb="9">
      <t>テイ</t>
    </rPh>
    <rPh sb="10" eb="12">
      <t>ジョウイ</t>
    </rPh>
    <phoneticPr fontId="7"/>
  </si>
  <si>
    <t>;自由操作速度[中]下位</t>
    <rPh sb="1" eb="3">
      <t>ジユウ</t>
    </rPh>
    <rPh sb="3" eb="5">
      <t>ソウサ</t>
    </rPh>
    <rPh sb="5" eb="7">
      <t>ソクド</t>
    </rPh>
    <rPh sb="8" eb="9">
      <t>チュウ</t>
    </rPh>
    <rPh sb="10" eb="12">
      <t>カイ</t>
    </rPh>
    <phoneticPr fontId="7"/>
  </si>
  <si>
    <t>;自由操作速度[高]上位</t>
    <rPh sb="1" eb="3">
      <t>ジユウ</t>
    </rPh>
    <rPh sb="3" eb="5">
      <t>ソウサ</t>
    </rPh>
    <rPh sb="5" eb="7">
      <t>ソクド</t>
    </rPh>
    <rPh sb="8" eb="9">
      <t>コウ</t>
    </rPh>
    <rPh sb="10" eb="12">
      <t>ジョウイ</t>
    </rPh>
    <phoneticPr fontId="7"/>
  </si>
  <si>
    <t>;加減速時間[最小]上位</t>
    <rPh sb="1" eb="2">
      <t>カ</t>
    </rPh>
    <rPh sb="2" eb="4">
      <t>ゲンソク</t>
    </rPh>
    <rPh sb="4" eb="6">
      <t>ジカン</t>
    </rPh>
    <rPh sb="7" eb="9">
      <t>サイショウ</t>
    </rPh>
    <rPh sb="10" eb="12">
      <t>ジョウイ</t>
    </rPh>
    <phoneticPr fontId="7"/>
  </si>
  <si>
    <t>;加減速時間[最大]下位</t>
    <rPh sb="1" eb="2">
      <t>カ</t>
    </rPh>
    <rPh sb="2" eb="4">
      <t>ゲンソク</t>
    </rPh>
    <rPh sb="4" eb="6">
      <t>ジカン</t>
    </rPh>
    <rPh sb="7" eb="9">
      <t>サイダイ</t>
    </rPh>
    <rPh sb="10" eb="12">
      <t>カイ</t>
    </rPh>
    <phoneticPr fontId="7"/>
  </si>
  <si>
    <t>;機械パラメータ項目No</t>
    <rPh sb="1" eb="3">
      <t>キカイ</t>
    </rPh>
    <rPh sb="8" eb="10">
      <t>コウモク</t>
    </rPh>
    <phoneticPr fontId="6"/>
  </si>
  <si>
    <t>;機械パラメータ画面　簡易設定</t>
    <rPh sb="1" eb="3">
      <t>キカイ</t>
    </rPh>
    <rPh sb="8" eb="10">
      <t>ガメン</t>
    </rPh>
    <rPh sb="11" eb="15">
      <t>カンイセッテイ</t>
    </rPh>
    <phoneticPr fontId="6"/>
  </si>
  <si>
    <t>；</t>
    <phoneticPr fontId="6"/>
  </si>
  <si>
    <t>;簡易設定表示項目No</t>
    <rPh sb="1" eb="5">
      <t>カンイセッテイ</t>
    </rPh>
    <rPh sb="5" eb="7">
      <t>ヒョウジ</t>
    </rPh>
    <rPh sb="7" eb="9">
      <t>コウモク</t>
    </rPh>
    <phoneticPr fontId="5"/>
  </si>
  <si>
    <t>;page1</t>
    <phoneticPr fontId="6"/>
  </si>
  <si>
    <t>;page2</t>
    <phoneticPr fontId="6"/>
  </si>
  <si>
    <t>;page3</t>
    <phoneticPr fontId="6"/>
  </si>
  <si>
    <t>;page4</t>
    <phoneticPr fontId="6"/>
  </si>
  <si>
    <r>
      <t>;</t>
    </r>
    <r>
      <rPr>
        <sz val="11"/>
        <color theme="1"/>
        <rFont val="Microsoft JhengHei"/>
        <family val="2"/>
        <charset val="136"/>
      </rPr>
      <t>表示するカウント値の個数</t>
    </r>
    <r>
      <rPr>
        <sz val="11"/>
        <color theme="1"/>
        <rFont val="等线"/>
        <family val="3"/>
        <charset val="128"/>
        <scheme val="minor"/>
      </rPr>
      <t>，8-24个</t>
    </r>
    <rPh sb="1" eb="3">
      <t>ヒョウジ</t>
    </rPh>
    <rPh sb="9" eb="10">
      <t>チ</t>
    </rPh>
    <rPh sb="11" eb="13">
      <t>コスウ</t>
    </rPh>
    <phoneticPr fontId="6"/>
  </si>
  <si>
    <t>;画面13　コントローラ設定画面</t>
    <rPh sb="12" eb="16">
      <t>セッテイガメン</t>
    </rPh>
    <phoneticPr fontId="6"/>
  </si>
  <si>
    <t>-</t>
    <phoneticPr fontId="17" type="noConversion"/>
  </si>
  <si>
    <t>;　「-」（予備）は表示しない。</t>
    <rPh sb="6" eb="8">
      <t>ヨビ</t>
    </rPh>
    <rPh sb="10" eb="12">
      <t>ヒョウジ</t>
    </rPh>
    <phoneticPr fontId="6"/>
  </si>
  <si>
    <t>;軸8</t>
  </si>
  <si>
    <t>;設定できないPOINT数字　数値文字色RGB</t>
    <rPh sb="1" eb="3">
      <t>セッテイ</t>
    </rPh>
    <rPh sb="12" eb="13">
      <t>スウ</t>
    </rPh>
    <rPh sb="13" eb="14">
      <t>ジ</t>
    </rPh>
    <rPh sb="15" eb="17">
      <t>スウチ</t>
    </rPh>
    <rPh sb="17" eb="19">
      <t>モジ</t>
    </rPh>
    <rPh sb="19" eb="20">
      <t>ショク</t>
    </rPh>
    <phoneticPr fontId="6"/>
  </si>
  <si>
    <t>;最大ページ数</t>
    <rPh sb="1" eb="3">
      <t>サイダイ</t>
    </rPh>
    <rPh sb="6" eb="7">
      <t>スウ</t>
    </rPh>
    <phoneticPr fontId="6"/>
  </si>
  <si>
    <t>;取出し機開始ページ数</t>
    <rPh sb="1" eb="3">
      <t>トリダ</t>
    </rPh>
    <rPh sb="4" eb="5">
      <t>キ</t>
    </rPh>
    <rPh sb="5" eb="7">
      <t>カイシ</t>
    </rPh>
    <rPh sb="10" eb="11">
      <t>スウ</t>
    </rPh>
    <phoneticPr fontId="6"/>
  </si>
  <si>
    <t>;ツール開始ページ数</t>
    <rPh sb="4" eb="6">
      <t>カイシ</t>
    </rPh>
    <rPh sb="9" eb="10">
      <t>スウ</t>
    </rPh>
    <phoneticPr fontId="6"/>
  </si>
  <si>
    <t>;成形機開始ページ数</t>
    <rPh sb="1" eb="4">
      <t>セイケイキ</t>
    </rPh>
    <rPh sb="4" eb="6">
      <t>カイシ</t>
    </rPh>
    <rPh sb="9" eb="10">
      <t>スウ</t>
    </rPh>
    <phoneticPr fontId="6"/>
  </si>
  <si>
    <t>;12ぺージ×8行</t>
    <phoneticPr fontId="6"/>
  </si>
  <si>
    <t>;入力表示ページ数</t>
    <rPh sb="1" eb="3">
      <t>ニュウリョク</t>
    </rPh>
    <rPh sb="3" eb="5">
      <t>ヒョウジ</t>
    </rPh>
    <rPh sb="8" eb="9">
      <t>スウ</t>
    </rPh>
    <phoneticPr fontId="6"/>
  </si>
  <si>
    <t>;　表示したいDixxxのxxx部を設定します。これを見て名称、シンボルを表示します。</t>
    <rPh sb="27" eb="28">
      <t>ミ</t>
    </rPh>
    <rPh sb="29" eb="31">
      <t>メイショウ</t>
    </rPh>
    <rPh sb="37" eb="39">
      <t>ヒョウジ</t>
    </rPh>
    <phoneticPr fontId="6"/>
  </si>
  <si>
    <t>;　表示したいBANK番号を設定します。これを入替データとして保存します。</t>
    <rPh sb="11" eb="13">
      <t>バンゴウ</t>
    </rPh>
    <rPh sb="23" eb="25">
      <t>イレカエ</t>
    </rPh>
    <rPh sb="31" eb="33">
      <t>ホゾン</t>
    </rPh>
    <phoneticPr fontId="6"/>
  </si>
  <si>
    <t>;表示IOと強制ON/OFFするアドレス（DI/DO***）、開放（操作無し）アドレス（DO***）、反転するアドレス（DO***）,bank番号（入替に必要）のテーブル</t>
    <rPh sb="1" eb="3">
      <t>ヒョウジ</t>
    </rPh>
    <rPh sb="6" eb="8">
      <t>キョウセイ</t>
    </rPh>
    <rPh sb="31" eb="33">
      <t>カイホウ</t>
    </rPh>
    <rPh sb="51" eb="53">
      <t>ハンテン</t>
    </rPh>
    <rPh sb="71" eb="73">
      <t>バンゴウ</t>
    </rPh>
    <rPh sb="74" eb="76">
      <t>イレカエ</t>
    </rPh>
    <rPh sb="77" eb="79">
      <t>ヒツヨウ</t>
    </rPh>
    <phoneticPr fontId="6"/>
  </si>
  <si>
    <t>03</t>
    <phoneticPr fontId="6"/>
  </si>
  <si>
    <t>;　BANK番号（16進）は入替に必要です。</t>
    <rPh sb="6" eb="8">
      <t>バンゴウ</t>
    </rPh>
    <rPh sb="11" eb="12">
      <t>シン</t>
    </rPh>
    <rPh sb="14" eb="16">
      <t>イレカエ</t>
    </rPh>
    <rPh sb="17" eb="19">
      <t>ヒツヨウ</t>
    </rPh>
    <phoneticPr fontId="6"/>
  </si>
  <si>
    <t>04</t>
    <phoneticPr fontId="6"/>
  </si>
  <si>
    <t>0E</t>
    <phoneticPr fontId="6"/>
  </si>
  <si>
    <t>16</t>
    <phoneticPr fontId="6"/>
  </si>
  <si>
    <t>23</t>
    <phoneticPr fontId="6"/>
  </si>
  <si>
    <t>34</t>
    <phoneticPr fontId="6"/>
  </si>
  <si>
    <t>10</t>
    <phoneticPr fontId="6"/>
  </si>
  <si>
    <t>11</t>
    <phoneticPr fontId="6"/>
  </si>
  <si>
    <t>0C</t>
    <phoneticPr fontId="6"/>
  </si>
  <si>
    <t>0D</t>
    <phoneticPr fontId="6"/>
  </si>
  <si>
    <t>12</t>
    <phoneticPr fontId="6"/>
  </si>
  <si>
    <t>13</t>
    <phoneticPr fontId="6"/>
  </si>
  <si>
    <t>26</t>
    <phoneticPr fontId="6"/>
  </si>
  <si>
    <t>2B</t>
    <phoneticPr fontId="6"/>
  </si>
  <si>
    <t>2C</t>
    <phoneticPr fontId="6"/>
  </si>
  <si>
    <t>2F</t>
    <phoneticPr fontId="6"/>
  </si>
  <si>
    <t>30</t>
    <phoneticPr fontId="6"/>
  </si>
  <si>
    <t>33</t>
    <phoneticPr fontId="6"/>
  </si>
  <si>
    <t>20</t>
    <phoneticPr fontId="6"/>
  </si>
  <si>
    <t>21</t>
    <phoneticPr fontId="6"/>
  </si>
  <si>
    <t>24</t>
    <phoneticPr fontId="6"/>
  </si>
  <si>
    <t>3A</t>
    <phoneticPr fontId="6"/>
  </si>
  <si>
    <t>39</t>
    <phoneticPr fontId="6"/>
  </si>
  <si>
    <t>27</t>
    <phoneticPr fontId="6"/>
  </si>
  <si>
    <t>2D</t>
    <phoneticPr fontId="6"/>
  </si>
  <si>
    <t>29</t>
    <phoneticPr fontId="6"/>
  </si>
  <si>
    <t>25</t>
    <phoneticPr fontId="6"/>
  </si>
  <si>
    <t>2A</t>
    <phoneticPr fontId="6"/>
  </si>
  <si>
    <t>08</t>
    <phoneticPr fontId="6"/>
  </si>
  <si>
    <t>06</t>
    <phoneticPr fontId="6"/>
  </si>
  <si>
    <t>14</t>
    <phoneticPr fontId="6"/>
  </si>
  <si>
    <t>0F</t>
    <phoneticPr fontId="6"/>
  </si>
  <si>
    <t>15</t>
    <phoneticPr fontId="6"/>
  </si>
  <si>
    <t>07</t>
    <phoneticPr fontId="6"/>
  </si>
  <si>
    <t>0A</t>
    <phoneticPr fontId="6"/>
  </si>
  <si>
    <t>0B</t>
    <phoneticPr fontId="6"/>
  </si>
  <si>
    <t>28</t>
    <phoneticPr fontId="6"/>
  </si>
  <si>
    <t>35</t>
    <phoneticPr fontId="6"/>
  </si>
  <si>
    <t>36</t>
    <phoneticPr fontId="6"/>
  </si>
  <si>
    <t>37</t>
    <phoneticPr fontId="6"/>
  </si>
  <si>
    <t>40</t>
    <phoneticPr fontId="6"/>
  </si>
  <si>
    <t>42</t>
    <phoneticPr fontId="6"/>
  </si>
  <si>
    <t>41</t>
    <phoneticPr fontId="6"/>
  </si>
  <si>
    <t>48</t>
    <phoneticPr fontId="6"/>
  </si>
  <si>
    <t>44</t>
    <phoneticPr fontId="6"/>
  </si>
  <si>
    <t>43</t>
    <phoneticPr fontId="6"/>
  </si>
  <si>
    <t>47</t>
    <phoneticPr fontId="6"/>
  </si>
  <si>
    <t>4A</t>
    <phoneticPr fontId="6"/>
  </si>
  <si>
    <t>4C</t>
    <phoneticPr fontId="6"/>
  </si>
  <si>
    <t>4D</t>
    <phoneticPr fontId="6"/>
  </si>
  <si>
    <t>4E</t>
    <phoneticPr fontId="6"/>
  </si>
  <si>
    <t>4F</t>
    <phoneticPr fontId="6"/>
  </si>
  <si>
    <t>60</t>
    <phoneticPr fontId="6"/>
  </si>
  <si>
    <t>61</t>
    <phoneticPr fontId="6"/>
  </si>
  <si>
    <t>62</t>
    <phoneticPr fontId="6"/>
  </si>
  <si>
    <t>63</t>
    <phoneticPr fontId="6"/>
  </si>
  <si>
    <t>64</t>
    <phoneticPr fontId="6"/>
  </si>
  <si>
    <t>66</t>
    <phoneticPr fontId="6"/>
  </si>
  <si>
    <t>67</t>
    <phoneticPr fontId="6"/>
  </si>
  <si>
    <t>68</t>
    <phoneticPr fontId="6"/>
  </si>
  <si>
    <t>69</t>
    <phoneticPr fontId="6"/>
  </si>
  <si>
    <t>65</t>
    <phoneticPr fontId="6"/>
  </si>
  <si>
    <t>45</t>
    <phoneticPr fontId="6"/>
  </si>
  <si>
    <t>46</t>
    <phoneticPr fontId="6"/>
  </si>
  <si>
    <t>6A</t>
    <phoneticPr fontId="6"/>
  </si>
  <si>
    <t>6D</t>
    <phoneticPr fontId="6"/>
  </si>
  <si>
    <t>6C</t>
    <phoneticPr fontId="6"/>
  </si>
  <si>
    <t>6E</t>
    <phoneticPr fontId="6"/>
  </si>
  <si>
    <t>6F</t>
    <phoneticPr fontId="6"/>
  </si>
  <si>
    <t>6B</t>
    <phoneticPr fontId="6"/>
  </si>
  <si>
    <t>49</t>
    <phoneticPr fontId="6"/>
  </si>
  <si>
    <t>4B</t>
    <phoneticPr fontId="6"/>
  </si>
  <si>
    <t>38</t>
    <phoneticPr fontId="6"/>
  </si>
  <si>
    <t>2E</t>
    <phoneticPr fontId="6"/>
  </si>
  <si>
    <t>17</t>
    <phoneticPr fontId="6"/>
  </si>
  <si>
    <t>05</t>
    <phoneticPr fontId="6"/>
  </si>
  <si>
    <t>；DI****</t>
    <phoneticPr fontId="6"/>
  </si>
  <si>
    <t>;BANK番号</t>
    <rPh sb="5" eb="7">
      <t>バンゴウ</t>
    </rPh>
    <phoneticPr fontId="6"/>
  </si>
  <si>
    <t>;出力</t>
    <rPh sb="1" eb="3">
      <t>シュツリョク</t>
    </rPh>
    <phoneticPr fontId="6"/>
  </si>
  <si>
    <t>87</t>
    <phoneticPr fontId="6"/>
  </si>
  <si>
    <t>86</t>
    <phoneticPr fontId="6"/>
  </si>
  <si>
    <t>85</t>
    <phoneticPr fontId="6"/>
  </si>
  <si>
    <t>84</t>
    <phoneticPr fontId="6"/>
  </si>
  <si>
    <t>83</t>
    <phoneticPr fontId="6"/>
  </si>
  <si>
    <t>82</t>
    <phoneticPr fontId="6"/>
  </si>
  <si>
    <t>81</t>
    <phoneticPr fontId="6"/>
  </si>
  <si>
    <t>80</t>
    <phoneticPr fontId="6"/>
  </si>
  <si>
    <t>8F</t>
    <phoneticPr fontId="6"/>
  </si>
  <si>
    <t>8E</t>
    <phoneticPr fontId="6"/>
  </si>
  <si>
    <t>8D</t>
    <phoneticPr fontId="6"/>
  </si>
  <si>
    <t>8C</t>
    <phoneticPr fontId="6"/>
  </si>
  <si>
    <t>8B</t>
    <phoneticPr fontId="6"/>
  </si>
  <si>
    <t>8A</t>
    <phoneticPr fontId="6"/>
  </si>
  <si>
    <t>89</t>
    <phoneticPr fontId="6"/>
  </si>
  <si>
    <t>88</t>
    <phoneticPr fontId="6"/>
  </si>
  <si>
    <t>C7</t>
    <phoneticPr fontId="6"/>
  </si>
  <si>
    <t>C6</t>
    <phoneticPr fontId="6"/>
  </si>
  <si>
    <t>C5</t>
    <phoneticPr fontId="6"/>
  </si>
  <si>
    <t>C4</t>
    <phoneticPr fontId="6"/>
  </si>
  <si>
    <t>C3</t>
    <phoneticPr fontId="6"/>
  </si>
  <si>
    <t>C2</t>
    <phoneticPr fontId="6"/>
  </si>
  <si>
    <t>C1</t>
    <phoneticPr fontId="6"/>
  </si>
  <si>
    <t>CF</t>
    <phoneticPr fontId="6"/>
  </si>
  <si>
    <t>CE</t>
    <phoneticPr fontId="6"/>
  </si>
  <si>
    <t>CD</t>
    <phoneticPr fontId="6"/>
  </si>
  <si>
    <t>CC</t>
    <phoneticPr fontId="6"/>
  </si>
  <si>
    <t>CB</t>
    <phoneticPr fontId="6"/>
  </si>
  <si>
    <t>CA</t>
    <phoneticPr fontId="6"/>
  </si>
  <si>
    <t>C9</t>
    <phoneticPr fontId="6"/>
  </si>
  <si>
    <t>C8</t>
    <phoneticPr fontId="6"/>
  </si>
  <si>
    <t>D7</t>
    <phoneticPr fontId="6"/>
  </si>
  <si>
    <t>D6</t>
    <phoneticPr fontId="6"/>
  </si>
  <si>
    <t>D5</t>
    <phoneticPr fontId="6"/>
  </si>
  <si>
    <t>D4</t>
    <phoneticPr fontId="6"/>
  </si>
  <si>
    <t>D3</t>
    <phoneticPr fontId="6"/>
  </si>
  <si>
    <t>D2</t>
    <phoneticPr fontId="6"/>
  </si>
  <si>
    <t>D1</t>
    <phoneticPr fontId="6"/>
  </si>
  <si>
    <t>D0</t>
    <phoneticPr fontId="6"/>
  </si>
  <si>
    <t>DF</t>
    <phoneticPr fontId="6"/>
  </si>
  <si>
    <t>DE</t>
    <phoneticPr fontId="6"/>
  </si>
  <si>
    <t>DD</t>
    <phoneticPr fontId="6"/>
  </si>
  <si>
    <t>DC</t>
    <phoneticPr fontId="6"/>
  </si>
  <si>
    <t>DB</t>
    <phoneticPr fontId="6"/>
  </si>
  <si>
    <t>DA</t>
    <phoneticPr fontId="6"/>
  </si>
  <si>
    <t>D9</t>
    <phoneticPr fontId="6"/>
  </si>
  <si>
    <t>D8</t>
    <phoneticPr fontId="6"/>
  </si>
  <si>
    <t>;DI****</t>
    <phoneticPr fontId="6"/>
  </si>
  <si>
    <t>;出力表示ページ数</t>
    <rPh sb="1" eb="3">
      <t>シュツリョク</t>
    </rPh>
    <rPh sb="3" eb="5">
      <t>ヒョウジ</t>
    </rPh>
    <rPh sb="8" eb="9">
      <t>スウ</t>
    </rPh>
    <phoneticPr fontId="6"/>
  </si>
  <si>
    <t>22</t>
    <phoneticPr fontId="6"/>
  </si>
  <si>
    <t>32</t>
    <phoneticPr fontId="6"/>
  </si>
  <si>
    <t>31</t>
    <phoneticPr fontId="6"/>
  </si>
  <si>
    <t>A7</t>
    <phoneticPr fontId="6"/>
  </si>
  <si>
    <t>A6</t>
    <phoneticPr fontId="6"/>
  </si>
  <si>
    <t>A5</t>
    <phoneticPr fontId="6"/>
  </si>
  <si>
    <t>A4</t>
    <phoneticPr fontId="6"/>
  </si>
  <si>
    <t>A3</t>
    <phoneticPr fontId="6"/>
  </si>
  <si>
    <t>A2</t>
    <phoneticPr fontId="6"/>
  </si>
  <si>
    <t>A1</t>
    <phoneticPr fontId="6"/>
  </si>
  <si>
    <t>A0</t>
    <phoneticPr fontId="6"/>
  </si>
  <si>
    <t>AF</t>
    <phoneticPr fontId="6"/>
  </si>
  <si>
    <t>AE</t>
    <phoneticPr fontId="6"/>
  </si>
  <si>
    <t>AD</t>
    <phoneticPr fontId="6"/>
  </si>
  <si>
    <t>AC</t>
    <phoneticPr fontId="6"/>
  </si>
  <si>
    <t>AB</t>
    <phoneticPr fontId="6"/>
  </si>
  <si>
    <t>AA</t>
    <phoneticPr fontId="6"/>
  </si>
  <si>
    <t>A9</t>
    <phoneticPr fontId="6"/>
  </si>
  <si>
    <t>A8</t>
    <phoneticPr fontId="6"/>
  </si>
  <si>
    <t>；正臂取出下降距離</t>
    <phoneticPr fontId="6"/>
  </si>
  <si>
    <t>；PASS最終直線移動距離1</t>
    <phoneticPr fontId="6"/>
  </si>
  <si>
    <t>；副臂取出下降距離</t>
    <phoneticPr fontId="6"/>
  </si>
  <si>
    <t>；PASS最終直線移動距離3</t>
    <phoneticPr fontId="6"/>
  </si>
  <si>
    <r>
      <t>；置物</t>
    </r>
    <r>
      <rPr>
        <sz val="11"/>
        <color theme="1"/>
        <rFont val="Microsoft JhengHei"/>
        <family val="2"/>
        <charset val="136"/>
      </rPr>
      <t>侧</t>
    </r>
    <r>
      <rPr>
        <sz val="11"/>
        <color theme="1"/>
        <rFont val="等线"/>
        <family val="3"/>
        <charset val="128"/>
        <scheme val="minor"/>
      </rPr>
      <t>下降距離</t>
    </r>
    <phoneticPr fontId="6"/>
  </si>
  <si>
    <t>；正臂取出上升距離</t>
    <phoneticPr fontId="6"/>
  </si>
  <si>
    <t>；PASS最終直線移動距離2</t>
    <phoneticPr fontId="6"/>
  </si>
  <si>
    <t>；副臂取出上升距離</t>
    <phoneticPr fontId="6"/>
  </si>
  <si>
    <t>；PASS最終直線移動距離4</t>
    <phoneticPr fontId="6"/>
  </si>
  <si>
    <r>
      <t>；置物</t>
    </r>
    <r>
      <rPr>
        <sz val="11"/>
        <color theme="1"/>
        <rFont val="Microsoft JhengHei"/>
        <family val="2"/>
        <charset val="136"/>
      </rPr>
      <t>侧</t>
    </r>
    <r>
      <rPr>
        <sz val="11"/>
        <color theme="1"/>
        <rFont val="等线"/>
        <family val="3"/>
        <charset val="128"/>
        <scheme val="minor"/>
      </rPr>
      <t>上升距離</t>
    </r>
    <phoneticPr fontId="6"/>
  </si>
  <si>
    <t>0の時はモードと関係なく、設定できる。</t>
    <rPh sb="2" eb="3">
      <t>トキ</t>
    </rPh>
    <rPh sb="8" eb="10">
      <t>カンケイ</t>
    </rPh>
    <rPh sb="13" eb="15">
      <t>セッテイ</t>
    </rPh>
    <phoneticPr fontId="6"/>
  </si>
  <si>
    <t>0以外の時モード1がONの時にこの設定を従います。</t>
    <rPh sb="1" eb="3">
      <t>イガイ</t>
    </rPh>
    <rPh sb="4" eb="5">
      <t>トキ</t>
    </rPh>
    <rPh sb="13" eb="14">
      <t>トキ</t>
    </rPh>
    <rPh sb="17" eb="19">
      <t>セッテイ</t>
    </rPh>
    <rPh sb="20" eb="21">
      <t>シタガ</t>
    </rPh>
    <phoneticPr fontId="6"/>
  </si>
  <si>
    <t>；自由パレタイズNo.に設定できる最大FP数</t>
    <rPh sb="1" eb="3">
      <t>ジユウ</t>
    </rPh>
    <rPh sb="12" eb="14">
      <t>セッテイ</t>
    </rPh>
    <rPh sb="17" eb="19">
      <t>サイダイ</t>
    </rPh>
    <phoneticPr fontId="6"/>
  </si>
  <si>
    <t>;自由NO.1</t>
    <rPh sb="1" eb="3">
      <t>ジユウ</t>
    </rPh>
    <phoneticPr fontId="47"/>
  </si>
  <si>
    <t>;自由NO.2</t>
    <rPh sb="1" eb="3">
      <t>ジユウ</t>
    </rPh>
    <phoneticPr fontId="47"/>
  </si>
  <si>
    <t>;自由NO.3</t>
    <rPh sb="1" eb="3">
      <t>ジユウ</t>
    </rPh>
    <phoneticPr fontId="47"/>
  </si>
  <si>
    <t>;自由NO.4</t>
    <rPh sb="1" eb="3">
      <t>ジユウ</t>
    </rPh>
    <phoneticPr fontId="47"/>
  </si>
  <si>
    <t>;自由NO.5</t>
    <rPh sb="1" eb="3">
      <t>ジユウ</t>
    </rPh>
    <phoneticPr fontId="47"/>
  </si>
  <si>
    <t>;自由NO.6</t>
    <rPh sb="1" eb="3">
      <t>ジユウ</t>
    </rPh>
    <phoneticPr fontId="47"/>
  </si>
  <si>
    <t>;自由NO.7</t>
    <rPh sb="1" eb="3">
      <t>ジユウ</t>
    </rPh>
    <phoneticPr fontId="47"/>
  </si>
  <si>
    <t>;自由NO.8</t>
    <rPh sb="1" eb="3">
      <t>ジユウ</t>
    </rPh>
    <phoneticPr fontId="47"/>
  </si>
  <si>
    <t>使用軸と順番を定義します。</t>
    <rPh sb="0" eb="2">
      <t>シヨウ</t>
    </rPh>
    <rPh sb="2" eb="3">
      <t>ジク</t>
    </rPh>
    <rPh sb="4" eb="6">
      <t>ジュンバン</t>
    </rPh>
    <rPh sb="7" eb="9">
      <t>テイギ</t>
    </rPh>
    <phoneticPr fontId="6"/>
  </si>
  <si>
    <t>0の時非使用</t>
    <rPh sb="2" eb="3">
      <t>トキ</t>
    </rPh>
    <rPh sb="3" eb="6">
      <t>ヒシヨウ</t>
    </rPh>
    <phoneticPr fontId="6"/>
  </si>
  <si>
    <t>;ファイルの内容（type、No.、時間、ファイル名）表示　文字色RGB</t>
    <phoneticPr fontId="6"/>
  </si>
  <si>
    <t>;（No.、時間、ファイル名）が押下するとき　表示文字色</t>
    <rPh sb="16" eb="18">
      <t>オウカ</t>
    </rPh>
    <rPh sb="23" eb="25">
      <t>ヒョウジ</t>
    </rPh>
    <rPh sb="25" eb="28">
      <t>モジショク</t>
    </rPh>
    <phoneticPr fontId="6"/>
  </si>
  <si>
    <t>；製品側と副側時の軸設定</t>
    <rPh sb="1" eb="4">
      <t>セイヒンカワ</t>
    </rPh>
    <rPh sb="5" eb="7">
      <t>フクカワ</t>
    </rPh>
    <rPh sb="7" eb="8">
      <t>ジ</t>
    </rPh>
    <rPh sb="9" eb="10">
      <t>ジク</t>
    </rPh>
    <rPh sb="10" eb="12">
      <t>セッテイ</t>
    </rPh>
    <phoneticPr fontId="6"/>
  </si>
  <si>
    <t>BB</t>
    <phoneticPr fontId="17" type="noConversion"/>
  </si>
  <si>
    <t>;point01-16</t>
  </si>
  <si>
    <t>;point17-32</t>
  </si>
  <si>
    <t>;point33-48</t>
  </si>
  <si>
    <t>;point49-64</t>
  </si>
  <si>
    <t>;point65-80</t>
  </si>
  <si>
    <t>;point81-96</t>
  </si>
  <si>
    <t>;point97-112</t>
  </si>
  <si>
    <t>;point113-128</t>
  </si>
  <si>
    <t>;point129-144</t>
  </si>
  <si>
    <t>;point145-160</t>
  </si>
  <si>
    <t>;point161-176</t>
  </si>
  <si>
    <t>;point177-192</t>
  </si>
  <si>
    <t>;point193-208</t>
  </si>
  <si>
    <t>;point209-224</t>
  </si>
  <si>
    <t>;point225-240</t>
  </si>
  <si>
    <t>;point241-256</t>
  </si>
  <si>
    <t>;point257-272</t>
  </si>
  <si>
    <t>;point273-288</t>
  </si>
  <si>
    <t>;point289-304</t>
  </si>
  <si>
    <t>;point305-320</t>
  </si>
  <si>
    <t>;point321-336</t>
  </si>
  <si>
    <t>;point337-352</t>
  </si>
  <si>
    <t>;point353-368</t>
  </si>
  <si>
    <t>;point369-384</t>
  </si>
  <si>
    <t>;point385-400</t>
  </si>
  <si>
    <t>;point401-416</t>
  </si>
  <si>
    <t>;point417-432</t>
  </si>
  <si>
    <t>;point433-448</t>
  </si>
  <si>
    <t>;point449-464</t>
  </si>
  <si>
    <t>;point465-480</t>
  </si>
  <si>
    <t>;point481-496</t>
  </si>
  <si>
    <t>;point497-512</t>
  </si>
  <si>
    <t>;point513-528</t>
  </si>
  <si>
    <t>;point529-544</t>
  </si>
  <si>
    <t>;point545-560</t>
  </si>
  <si>
    <t>;point561-576</t>
  </si>
  <si>
    <t>;point577-592</t>
  </si>
  <si>
    <t>;point593-608</t>
  </si>
  <si>
    <t>;point609-624</t>
  </si>
  <si>
    <t>;point625-640</t>
  </si>
  <si>
    <t>;point641-656</t>
  </si>
  <si>
    <t>;point657-672</t>
  </si>
  <si>
    <t>;point673-688</t>
  </si>
  <si>
    <t>;point689-704</t>
  </si>
  <si>
    <t>;point705-720</t>
  </si>
  <si>
    <t>;point721-736</t>
  </si>
  <si>
    <t>;point737-752</t>
  </si>
  <si>
    <t>;point753-768</t>
  </si>
  <si>
    <t>;point769-784</t>
  </si>
  <si>
    <t>;point785-800</t>
  </si>
  <si>
    <t>;point801-816</t>
  </si>
  <si>
    <t>;point817-832</t>
  </si>
  <si>
    <t>;point833-848</t>
  </si>
  <si>
    <t>;point849-864</t>
  </si>
  <si>
    <t>;point865-880</t>
  </si>
  <si>
    <t>;point881-896</t>
  </si>
  <si>
    <t>;point897-912</t>
  </si>
  <si>
    <t>;point913-928</t>
  </si>
  <si>
    <t>;point929-944</t>
  </si>
  <si>
    <t>;point945-960</t>
  </si>
  <si>
    <t>;point961-976</t>
  </si>
  <si>
    <t>;point977-992</t>
  </si>
  <si>
    <t>;point993-1000</t>
  </si>
  <si>
    <t>4B</t>
    <phoneticPr fontId="17" type="noConversion"/>
  </si>
  <si>
    <r>
      <t>；</t>
    </r>
    <r>
      <rPr>
        <sz val="11"/>
        <color theme="1"/>
        <rFont val="Microsoft JhengHei"/>
        <family val="2"/>
        <charset val="136"/>
      </rPr>
      <t>轴</t>
    </r>
    <r>
      <rPr>
        <sz val="11"/>
        <color theme="1"/>
        <rFont val="等线"/>
        <family val="3"/>
        <charset val="128"/>
        <scheme val="minor"/>
      </rPr>
      <t>1point毎最大値最小値設定</t>
    </r>
    <rPh sb="8" eb="9">
      <t>ｺﾞﾄ</t>
    </rPh>
    <rPh sb="9" eb="15">
      <t>ｻｲﾀﾞｲﾁｻｲｼｮｳﾁ</t>
    </rPh>
    <rPh sb="15" eb="17">
      <t>ｾｯﾃｲ</t>
    </rPh>
    <phoneticPr fontId="17" type="noConversion"/>
  </si>
  <si>
    <r>
      <t>；</t>
    </r>
    <r>
      <rPr>
        <sz val="11"/>
        <color theme="1"/>
        <rFont val="Microsoft JhengHei"/>
        <family val="2"/>
        <charset val="136"/>
      </rPr>
      <t>轴</t>
    </r>
    <r>
      <rPr>
        <sz val="11"/>
        <color theme="1"/>
        <rFont val="等线"/>
        <family val="3"/>
        <charset val="128"/>
        <scheme val="minor"/>
      </rPr>
      <t>2point毎最大値最小値設定</t>
    </r>
    <r>
      <rPr>
        <sz val="11"/>
        <color theme="1"/>
        <rFont val="等线"/>
        <family val="2"/>
        <charset val="128"/>
        <scheme val="minor"/>
      </rPr>
      <t/>
    </r>
    <rPh sb="8" eb="9">
      <t>ｺﾞﾄ</t>
    </rPh>
    <rPh sb="9" eb="15">
      <t>ｻｲﾀﾞｲﾁｻｲｼｮｳﾁ</t>
    </rPh>
    <rPh sb="15" eb="17">
      <t>ｾｯﾃｲ</t>
    </rPh>
    <phoneticPr fontId="17" type="noConversion"/>
  </si>
  <si>
    <r>
      <t>；</t>
    </r>
    <r>
      <rPr>
        <sz val="11"/>
        <color theme="1"/>
        <rFont val="Microsoft JhengHei"/>
        <family val="2"/>
        <charset val="136"/>
      </rPr>
      <t>轴</t>
    </r>
    <r>
      <rPr>
        <sz val="11"/>
        <color theme="1"/>
        <rFont val="等线"/>
        <family val="3"/>
        <charset val="128"/>
        <scheme val="minor"/>
      </rPr>
      <t>3point毎最大値最小値設定</t>
    </r>
    <r>
      <rPr>
        <sz val="11"/>
        <color theme="1"/>
        <rFont val="等线"/>
        <family val="2"/>
        <charset val="128"/>
        <scheme val="minor"/>
      </rPr>
      <t/>
    </r>
    <rPh sb="8" eb="9">
      <t>ｺﾞﾄ</t>
    </rPh>
    <rPh sb="9" eb="15">
      <t>ｻｲﾀﾞｲﾁｻｲｼｮｳﾁ</t>
    </rPh>
    <rPh sb="15" eb="17">
      <t>ｾｯﾃｲ</t>
    </rPh>
    <phoneticPr fontId="17" type="noConversion"/>
  </si>
  <si>
    <r>
      <t>；</t>
    </r>
    <r>
      <rPr>
        <sz val="11"/>
        <color theme="1"/>
        <rFont val="Microsoft JhengHei"/>
        <family val="2"/>
        <charset val="136"/>
      </rPr>
      <t>轴</t>
    </r>
    <r>
      <rPr>
        <sz val="11"/>
        <color theme="1"/>
        <rFont val="等线"/>
        <family val="3"/>
        <charset val="128"/>
        <scheme val="minor"/>
      </rPr>
      <t>4point毎最大値最小値設定</t>
    </r>
    <r>
      <rPr>
        <sz val="11"/>
        <color theme="1"/>
        <rFont val="等线"/>
        <family val="2"/>
        <charset val="128"/>
        <scheme val="minor"/>
      </rPr>
      <t/>
    </r>
    <rPh sb="8" eb="9">
      <t>ｺﾞﾄ</t>
    </rPh>
    <rPh sb="9" eb="15">
      <t>ｻｲﾀﾞｲﾁｻｲｼｮｳﾁ</t>
    </rPh>
    <rPh sb="15" eb="17">
      <t>ｾｯﾃｲ</t>
    </rPh>
    <phoneticPr fontId="17" type="noConversion"/>
  </si>
  <si>
    <r>
      <t>；</t>
    </r>
    <r>
      <rPr>
        <sz val="11"/>
        <color theme="1"/>
        <rFont val="Microsoft JhengHei"/>
        <family val="2"/>
        <charset val="136"/>
      </rPr>
      <t>轴</t>
    </r>
    <r>
      <rPr>
        <sz val="11"/>
        <color theme="1"/>
        <rFont val="等线"/>
        <family val="3"/>
        <charset val="128"/>
        <scheme val="minor"/>
      </rPr>
      <t>5point毎最大値最小値設定</t>
    </r>
    <r>
      <rPr>
        <sz val="11"/>
        <color theme="1"/>
        <rFont val="等线"/>
        <family val="2"/>
        <charset val="128"/>
        <scheme val="minor"/>
      </rPr>
      <t/>
    </r>
    <rPh sb="8" eb="9">
      <t>ｺﾞﾄ</t>
    </rPh>
    <rPh sb="9" eb="15">
      <t>ｻｲﾀﾞｲﾁｻｲｼｮｳﾁ</t>
    </rPh>
    <rPh sb="15" eb="17">
      <t>ｾｯﾃｲ</t>
    </rPh>
    <phoneticPr fontId="17" type="noConversion"/>
  </si>
  <si>
    <r>
      <t>；</t>
    </r>
    <r>
      <rPr>
        <sz val="11"/>
        <color theme="1"/>
        <rFont val="Microsoft JhengHei"/>
        <family val="2"/>
        <charset val="136"/>
      </rPr>
      <t>轴</t>
    </r>
    <r>
      <rPr>
        <sz val="11"/>
        <color theme="1"/>
        <rFont val="等线"/>
        <family val="3"/>
        <charset val="128"/>
        <scheme val="minor"/>
      </rPr>
      <t>6point毎最大値最小値設定</t>
    </r>
    <r>
      <rPr>
        <sz val="11"/>
        <color theme="1"/>
        <rFont val="等线"/>
        <family val="2"/>
        <charset val="128"/>
        <scheme val="minor"/>
      </rPr>
      <t/>
    </r>
    <rPh sb="8" eb="9">
      <t>ｺﾞﾄ</t>
    </rPh>
    <rPh sb="9" eb="15">
      <t>ｻｲﾀﾞｲﾁｻｲｼｮｳﾁ</t>
    </rPh>
    <rPh sb="15" eb="17">
      <t>ｾｯﾃｲ</t>
    </rPh>
    <phoneticPr fontId="17" type="noConversion"/>
  </si>
  <si>
    <r>
      <t>；</t>
    </r>
    <r>
      <rPr>
        <sz val="11"/>
        <color theme="1"/>
        <rFont val="Microsoft JhengHei"/>
        <family val="2"/>
        <charset val="136"/>
      </rPr>
      <t>轴</t>
    </r>
    <r>
      <rPr>
        <sz val="11"/>
        <color theme="1"/>
        <rFont val="等线"/>
        <family val="3"/>
        <charset val="128"/>
        <scheme val="minor"/>
      </rPr>
      <t>7point毎最大値最小値設定</t>
    </r>
    <r>
      <rPr>
        <sz val="11"/>
        <color theme="1"/>
        <rFont val="等线"/>
        <family val="2"/>
        <charset val="128"/>
        <scheme val="minor"/>
      </rPr>
      <t/>
    </r>
    <rPh sb="8" eb="9">
      <t>ｺﾞﾄ</t>
    </rPh>
    <rPh sb="9" eb="15">
      <t>ｻｲﾀﾞｲﾁｻｲｼｮｳﾁ</t>
    </rPh>
    <rPh sb="15" eb="17">
      <t>ｾｯﾃｲ</t>
    </rPh>
    <phoneticPr fontId="17" type="noConversion"/>
  </si>
  <si>
    <r>
      <t>；</t>
    </r>
    <r>
      <rPr>
        <sz val="11"/>
        <color theme="1"/>
        <rFont val="Microsoft JhengHei"/>
        <family val="2"/>
        <charset val="136"/>
      </rPr>
      <t>轴</t>
    </r>
    <r>
      <rPr>
        <sz val="11"/>
        <color theme="1"/>
        <rFont val="等线"/>
        <family val="3"/>
        <charset val="128"/>
        <scheme val="minor"/>
      </rPr>
      <t>8point毎最大値最小値設定</t>
    </r>
    <r>
      <rPr>
        <sz val="11"/>
        <color theme="1"/>
        <rFont val="等线"/>
        <family val="2"/>
        <charset val="128"/>
        <scheme val="minor"/>
      </rPr>
      <t/>
    </r>
    <rPh sb="8" eb="9">
      <t>ｺﾞﾄ</t>
    </rPh>
    <rPh sb="9" eb="15">
      <t>ｻｲﾀﾞｲﾁｻｲｼｮｳﾁ</t>
    </rPh>
    <rPh sb="15" eb="17">
      <t>ｾｯﾃｲ</t>
    </rPh>
    <phoneticPr fontId="17" type="noConversion"/>
  </si>
  <si>
    <t>；例え、Point1の設定が21の場合</t>
    <rPh sb="1" eb="2">
      <t>タト</t>
    </rPh>
    <rPh sb="11" eb="13">
      <t>セッテイ</t>
    </rPh>
    <rPh sb="17" eb="19">
      <t>バアイ</t>
    </rPh>
    <phoneticPr fontId="6"/>
  </si>
  <si>
    <t>；Point1の軸1の最大値最小値は以下のようになります。</t>
    <rPh sb="8" eb="9">
      <t>ジク</t>
    </rPh>
    <rPh sb="11" eb="17">
      <t>サイダイチサイショウチ</t>
    </rPh>
    <rPh sb="18" eb="20">
      <t>イカ</t>
    </rPh>
    <phoneticPr fontId="6"/>
  </si>
  <si>
    <t>；最小値：設定の上位が1なのでPoint231の軸1の最小値を従います。</t>
    <rPh sb="28" eb="29">
      <t>ショウ</t>
    </rPh>
    <phoneticPr fontId="6"/>
  </si>
  <si>
    <t>；副臂取出下降距離</t>
  </si>
  <si>
    <r>
      <t>；置物</t>
    </r>
    <r>
      <rPr>
        <sz val="11"/>
        <color theme="1"/>
        <rFont val="等线"/>
        <family val="3"/>
        <charset val="134"/>
        <scheme val="minor"/>
      </rPr>
      <t>侧</t>
    </r>
    <r>
      <rPr>
        <sz val="11"/>
        <color theme="1"/>
        <rFont val="等线"/>
        <family val="2"/>
        <charset val="128"/>
        <scheme val="minor"/>
      </rPr>
      <t>下降距離</t>
    </r>
  </si>
  <si>
    <t>；正臂取出上升距離</t>
  </si>
  <si>
    <t>；副臂取出上升距離</t>
  </si>
  <si>
    <r>
      <t>；置物</t>
    </r>
    <r>
      <rPr>
        <sz val="11"/>
        <color theme="1"/>
        <rFont val="等线"/>
        <family val="3"/>
        <charset val="134"/>
        <scheme val="minor"/>
      </rPr>
      <t>侧</t>
    </r>
    <r>
      <rPr>
        <sz val="11"/>
        <color theme="1"/>
        <rFont val="等线"/>
        <family val="2"/>
        <charset val="128"/>
        <scheme val="minor"/>
      </rPr>
      <t>上升距離</t>
    </r>
  </si>
  <si>
    <t>BB</t>
    <phoneticPr fontId="6"/>
  </si>
  <si>
    <t>；PASS最大値最小値設定</t>
    <rPh sb="5" eb="8">
      <t>サイダイチ</t>
    </rPh>
    <rPh sb="8" eb="11">
      <t>サイショウチ</t>
    </rPh>
    <rPh sb="11" eb="13">
      <t>セッテイ</t>
    </rPh>
    <phoneticPr fontId="6"/>
  </si>
  <si>
    <t>；Point設定</t>
    <rPh sb="6" eb="8">
      <t>セッテイ</t>
    </rPh>
    <phoneticPr fontId="6"/>
  </si>
  <si>
    <t>；軸設定</t>
    <rPh sb="1" eb="2">
      <t>ジク</t>
    </rPh>
    <rPh sb="2" eb="4">
      <t>セッテイ</t>
    </rPh>
    <phoneticPr fontId="6"/>
  </si>
  <si>
    <t>；正臂取出下降距離の最大値はPoint253（B)の軸4の最大値、最小値（B)は0です。</t>
    <rPh sb="10" eb="13">
      <t>サイダイチ</t>
    </rPh>
    <rPh sb="26" eb="27">
      <t>ジク</t>
    </rPh>
    <rPh sb="29" eb="32">
      <t>サイダイチ</t>
    </rPh>
    <rPh sb="33" eb="36">
      <t>サイショウチ</t>
    </rPh>
    <phoneticPr fontId="6"/>
  </si>
  <si>
    <r>
      <t>;</t>
    </r>
    <r>
      <rPr>
        <sz val="11"/>
        <color theme="1"/>
        <rFont val="Microsoft JhengHei"/>
        <family val="2"/>
        <charset val="136"/>
      </rPr>
      <t>「設置日」ボタンを設定するに押下し続ける時間設定（1-10秒）</t>
    </r>
    <rPh sb="2" eb="4">
      <t>セッチ</t>
    </rPh>
    <rPh sb="4" eb="5">
      <t>ヒ</t>
    </rPh>
    <rPh sb="10" eb="12">
      <t>セッテイ</t>
    </rPh>
    <rPh sb="15" eb="17">
      <t>オウカ</t>
    </rPh>
    <rPh sb="18" eb="19">
      <t>ツヅ</t>
    </rPh>
    <rPh sb="21" eb="23">
      <t>ジカン</t>
    </rPh>
    <rPh sb="23" eb="25">
      <t>セッテイ</t>
    </rPh>
    <rPh sb="30" eb="31">
      <t>ビョウ</t>
    </rPh>
    <phoneticPr fontId="6"/>
  </si>
  <si>
    <r>
      <t>0以外の時モード</t>
    </r>
    <r>
      <rPr>
        <sz val="11"/>
        <color theme="1"/>
        <rFont val="Microsoft JhengHei"/>
        <family val="2"/>
        <charset val="134"/>
      </rPr>
      <t>1</t>
    </r>
    <r>
      <rPr>
        <sz val="11"/>
        <color theme="1"/>
        <rFont val="等线"/>
        <family val="2"/>
        <charset val="128"/>
        <scheme val="minor"/>
      </rPr>
      <t>がOFFの時，</t>
    </r>
    <rPh sb="1" eb="3">
      <t>イガイ</t>
    </rPh>
    <rPh sb="4" eb="5">
      <t>トキ</t>
    </rPh>
    <rPh sb="14" eb="15">
      <t>トキ</t>
    </rPh>
    <phoneticPr fontId="6"/>
  </si>
  <si>
    <t>上の表示の設定（非表示の時設定できなく、表示の時設定できる）を従います。</t>
    <rPh sb="0" eb="1">
      <t>ウエ</t>
    </rPh>
    <rPh sb="2" eb="4">
      <t>ヒョウジ</t>
    </rPh>
    <rPh sb="5" eb="7">
      <t>セッテイ</t>
    </rPh>
    <rPh sb="8" eb="11">
      <t>ヒヒョウジ</t>
    </rPh>
    <rPh sb="12" eb="13">
      <t>トキ</t>
    </rPh>
    <rPh sb="13" eb="15">
      <t>セッテイ</t>
    </rPh>
    <rPh sb="20" eb="22">
      <t>ヒョウジ</t>
    </rPh>
    <rPh sb="23" eb="24">
      <t>トキ</t>
    </rPh>
    <rPh sb="24" eb="26">
      <t>セッテイ</t>
    </rPh>
    <rPh sb="31" eb="32">
      <t>シタガ</t>
    </rPh>
    <phoneticPr fontId="6"/>
  </si>
  <si>
    <r>
      <rPr>
        <sz val="11"/>
        <color theme="1"/>
        <rFont val="Microsoft JhengHei"/>
        <family val="2"/>
        <charset val="134"/>
      </rPr>
      <t>1</t>
    </r>
    <r>
      <rPr>
        <sz val="11"/>
        <color theme="1"/>
        <rFont val="等线"/>
        <family val="2"/>
        <charset val="128"/>
        <scheme val="minor"/>
      </rPr>
      <t>の軸が設定できて、0の軸は上の表の設定（非表示の時設定できなく、表示の時設定できる）を従います。</t>
    </r>
    <rPh sb="2" eb="3">
      <t>ジク</t>
    </rPh>
    <rPh sb="4" eb="6">
      <t>セッテイ</t>
    </rPh>
    <rPh sb="12" eb="13">
      <t>ジク</t>
    </rPh>
    <rPh sb="14" eb="15">
      <t>ウエ</t>
    </rPh>
    <rPh sb="16" eb="17">
      <t>ヒョウ</t>
    </rPh>
    <rPh sb="18" eb="20">
      <t>セッテイ</t>
    </rPh>
    <rPh sb="44" eb="45">
      <t>シタガ</t>
    </rPh>
    <phoneticPr fontId="6"/>
  </si>
  <si>
    <r>
      <rPr>
        <sz val="11"/>
        <color theme="1"/>
        <rFont val="Microsoft JhengHei"/>
        <family val="2"/>
        <charset val="134"/>
      </rPr>
      <t>1</t>
    </r>
    <r>
      <rPr>
        <sz val="11"/>
        <color theme="1"/>
        <rFont val="等线"/>
        <family val="2"/>
        <charset val="128"/>
        <scheme val="minor"/>
      </rPr>
      <t>の軸が設定できなくて、0の軸は上の表の設定（非表示の時設定できなく、表示の時設定できる）を従います。</t>
    </r>
    <rPh sb="2" eb="3">
      <t>ジク</t>
    </rPh>
    <rPh sb="4" eb="6">
      <t>セッテイ</t>
    </rPh>
    <rPh sb="14" eb="15">
      <t>ジク</t>
    </rPh>
    <rPh sb="16" eb="17">
      <t>ウエ</t>
    </rPh>
    <rPh sb="18" eb="19">
      <t>ヒョウ</t>
    </rPh>
    <rPh sb="20" eb="22">
      <t>セッテイ</t>
    </rPh>
    <rPh sb="46" eb="47">
      <t>シタガ</t>
    </rPh>
    <phoneticPr fontId="6"/>
  </si>
  <si>
    <r>
      <t>;変更内容文字色（</t>
    </r>
    <r>
      <rPr>
        <sz val="11"/>
        <color theme="1"/>
        <rFont val="Microsoft JhengHei"/>
        <family val="2"/>
        <charset val="136"/>
      </rPr>
      <t>保存前の色）</t>
    </r>
    <rPh sb="1" eb="5">
      <t>ヘンコウナイヨウ</t>
    </rPh>
    <rPh sb="5" eb="7">
      <t>モジ</t>
    </rPh>
    <rPh sb="7" eb="8">
      <t>ショク</t>
    </rPh>
    <rPh sb="9" eb="11">
      <t>ホゾン</t>
    </rPh>
    <rPh sb="11" eb="12">
      <t>マエ</t>
    </rPh>
    <rPh sb="13" eb="14">
      <t>イロ</t>
    </rPh>
    <phoneticPr fontId="6"/>
  </si>
  <si>
    <t>；標準パレタイズ1</t>
    <rPh sb="1" eb="3">
      <t>ヒョウジュン</t>
    </rPh>
    <phoneticPr fontId="6"/>
  </si>
  <si>
    <t>；標準パレタイズ2</t>
    <rPh sb="1" eb="3">
      <t>ヒョウジュン</t>
    </rPh>
    <phoneticPr fontId="6"/>
  </si>
  <si>
    <t>；標準パレタイズ3</t>
    <rPh sb="1" eb="3">
      <t>ヒョウジュン</t>
    </rPh>
    <phoneticPr fontId="6"/>
  </si>
  <si>
    <t>；標準パレタイズ4</t>
    <rPh sb="1" eb="3">
      <t>ヒョウジュン</t>
    </rPh>
    <phoneticPr fontId="6"/>
  </si>
  <si>
    <t>；標準パレタイズ5</t>
    <rPh sb="1" eb="3">
      <t>ヒョウジュン</t>
    </rPh>
    <phoneticPr fontId="6"/>
  </si>
  <si>
    <t>；標準パレタイズ6</t>
    <rPh sb="1" eb="3">
      <t>ヒョウジュン</t>
    </rPh>
    <phoneticPr fontId="6"/>
  </si>
  <si>
    <t>；標準パレタイズ7</t>
    <rPh sb="1" eb="3">
      <t>ヒョウジュン</t>
    </rPh>
    <phoneticPr fontId="6"/>
  </si>
  <si>
    <t>；標準パレタイズ8</t>
    <rPh sb="1" eb="3">
      <t>ヒョウジュン</t>
    </rPh>
    <phoneticPr fontId="6"/>
  </si>
  <si>
    <t>;DP1</t>
  </si>
  <si>
    <t>表示なし</t>
    <rPh sb="0" eb="2">
      <t>ヒョウジ</t>
    </rPh>
    <phoneticPr fontId="6"/>
  </si>
  <si>
    <t>表示あり</t>
    <rPh sb="0" eb="2">
      <t>ヒョウジ</t>
    </rPh>
    <phoneticPr fontId="6"/>
  </si>
  <si>
    <t>ユーザ設定値　F8の意味：　16進数でユーザ1～ユーザ5の時の表示有り無しを設定します。</t>
    <rPh sb="3" eb="5">
      <t>セッテイ</t>
    </rPh>
    <rPh sb="5" eb="6">
      <t>アタイ</t>
    </rPh>
    <rPh sb="10" eb="12">
      <t>イミ</t>
    </rPh>
    <rPh sb="16" eb="18">
      <t>シンスウ</t>
    </rPh>
    <rPh sb="29" eb="30">
      <t>トキ</t>
    </rPh>
    <rPh sb="31" eb="33">
      <t>ヒョウジ</t>
    </rPh>
    <rPh sb="33" eb="34">
      <t>ア</t>
    </rPh>
    <rPh sb="35" eb="36">
      <t>ナ</t>
    </rPh>
    <rPh sb="38" eb="40">
      <t>セッテイ</t>
    </rPh>
    <phoneticPr fontId="6"/>
  </si>
  <si>
    <t>ユーザ1から～ユーザ5まですべて表示すると</t>
    <rPh sb="16" eb="18">
      <t>ヒョウジ</t>
    </rPh>
    <phoneticPr fontId="6"/>
  </si>
  <si>
    <t>；簡易設定で見てます。</t>
    <rPh sb="1" eb="5">
      <t>カンイセッテイ</t>
    </rPh>
    <rPh sb="6" eb="7">
      <t>ミ</t>
    </rPh>
    <phoneticPr fontId="6"/>
  </si>
  <si>
    <t>；ドライバパラメータはアドレス</t>
    <phoneticPr fontId="6"/>
  </si>
  <si>
    <t>CB</t>
    <phoneticPr fontId="17" type="noConversion"/>
  </si>
  <si>
    <t>；最大値：設定の上位が2なのでPoint221の軸1の設定値を従います。</t>
    <rPh sb="5" eb="7">
      <t>セッテイ</t>
    </rPh>
    <rPh sb="8" eb="10">
      <t>ジョウイ</t>
    </rPh>
    <rPh sb="24" eb="25">
      <t>ジク</t>
    </rPh>
    <rPh sb="27" eb="29">
      <t>セッテイ</t>
    </rPh>
    <rPh sb="29" eb="30">
      <t>チ</t>
    </rPh>
    <rPh sb="31" eb="32">
      <t>シタガ</t>
    </rPh>
    <phoneticPr fontId="6"/>
  </si>
  <si>
    <t>;USBに書き込み、USBから書き込み</t>
    <rPh sb="5" eb="6">
      <t>カ</t>
    </rPh>
    <rPh sb="7" eb="8">
      <t>コ</t>
    </rPh>
    <rPh sb="15" eb="16">
      <t>カ</t>
    </rPh>
    <rPh sb="17" eb="18">
      <t>コ</t>
    </rPh>
    <phoneticPr fontId="6"/>
  </si>
  <si>
    <t>;フォルダー、ファイル表示　文字色RGB</t>
    <phoneticPr fontId="6"/>
  </si>
  <si>
    <t>;選択されたフォルダー、ファイル表示　文字色RGB</t>
    <rPh sb="1" eb="3">
      <t>センタク</t>
    </rPh>
    <phoneticPr fontId="6"/>
  </si>
  <si>
    <t>;コマンド（USBに書き込み、USBから書き）が押下された時　文字色RGB</t>
    <rPh sb="10" eb="11">
      <t>カ</t>
    </rPh>
    <rPh sb="12" eb="13">
      <t>コ</t>
    </rPh>
    <rPh sb="20" eb="21">
      <t>カ</t>
    </rPh>
    <phoneticPr fontId="6"/>
  </si>
  <si>
    <t>1Fになります。</t>
    <phoneticPr fontId="6"/>
  </si>
  <si>
    <t>;ユーザ1</t>
    <phoneticPr fontId="6"/>
  </si>
  <si>
    <t>;ユーザ2</t>
    <phoneticPr fontId="6"/>
  </si>
  <si>
    <t>;ユーザ4</t>
    <phoneticPr fontId="6"/>
  </si>
  <si>
    <t>;ユーザ5</t>
    <phoneticPr fontId="6"/>
  </si>
  <si>
    <t>軸が複数のモードで定義された場合、</t>
  </si>
  <si>
    <t>全てのモードが同じ設定（ON/OFF)の場合に設定できる。</t>
    <rPh sb="23" eb="25">
      <t>セッテイ</t>
    </rPh>
    <phoneticPr fontId="7"/>
  </si>
  <si>
    <t>;プログラム画面</t>
  </si>
  <si>
    <t>;菜单1-1(注塑机)设定（16个）（row1）</t>
  </si>
  <si>
    <t>;菜单1-2(机械手)设定,（16个）（row9）</t>
  </si>
  <si>
    <t>;菜单1-3(治具)设定,（24个，255代表使用，0代表不使用）（row17）</t>
  </si>
  <si>
    <t>;菜单2-3（堆叠）设定,（32个，1列是标准堆叠 主臂程序号，2列是标准堆叠 副臂程序号，3列是自由堆叠 主臂程序号，2列是自由堆叠 副臂程序号）（row25）</t>
  </si>
  <si>
    <t>;菜单3-2（计时器）设定,（100个）（row33）</t>
  </si>
  <si>
    <t>；计数器+1(CINC) 32个（row41）</t>
  </si>
  <si>
    <t>;菜单4-3（计数器）设定,（分成四类）</t>
  </si>
  <si>
    <t>；计数器复位(CCLR) 32个（row49）</t>
  </si>
  <si>
    <t>；寄存器+1(INC) 8个（row57）</t>
  </si>
  <si>
    <t>；寄存器-1(DEC) 8个（row65）</t>
  </si>
  <si>
    <t>；选择变量窗口，menu1（输入）128个，（row129）</t>
  </si>
  <si>
    <t>；选择变量窗口，menu2_2（内部输出byte）128个，（row145）</t>
  </si>
  <si>
    <t>；选择变量窗口，menu3（外部输出）128个，（row153）</t>
  </si>
  <si>
    <t>；选择变量窗口，menu4（计时器）100个，（row161）</t>
  </si>
  <si>
    <t>；选择变量窗口，menu5（计数器）80个，（row169）</t>
  </si>
  <si>
    <t>；选择变量窗口，menu6_1（轴控制BIt）64个，（row177）</t>
  </si>
  <si>
    <t>；选择变量窗口，menu6_2（轴控制BYTE）64个，（row185）</t>
  </si>
  <si>
    <t>；选择变量窗口，menu7_1（用户Bit）128个，（row193）</t>
  </si>
  <si>
    <t>；选择变量窗口，menu7_2（用户Byte）128个，（row201）</t>
  </si>
  <si>
    <t>；选择变量窗口，menu8_1（系统Bit）128个，（row209）</t>
  </si>
  <si>
    <t>；选择变量窗口，menu8_2（系统Byte）128个，（row217）</t>
  </si>
  <si>
    <t>；固定点设置（row225）</t>
  </si>
  <si>
    <t>;位置　　数値文字色RGB</t>
  </si>
  <si>
    <t>;エンコーダ　数値文字色RGB</t>
  </si>
  <si>
    <t>;設定値　数値文字色RGB</t>
  </si>
  <si>
    <t>;速度　数値文字色RGB</t>
  </si>
  <si>
    <t>;選択されたTAG　文字表示RGB</t>
  </si>
  <si>
    <t>;POINT表示順番設定表row232</t>
  </si>
  <si>
    <t>;DEC</t>
  </si>
  <si>
    <t>;データがPOINT***の***になります。</t>
  </si>
  <si>
    <t>;page1（8AXIS）</t>
  </si>
  <si>
    <t>;page2（8AXIS）</t>
  </si>
  <si>
    <t>;page3（8AXIS）</t>
  </si>
  <si>
    <t>;page4（8AXIS）</t>
  </si>
  <si>
    <t>;page5（8AXIS）</t>
  </si>
  <si>
    <t>;page6（8AXIS）</t>
  </si>
  <si>
    <t>;page7（8AXIS）</t>
  </si>
  <si>
    <t>;page8（8AXIS）</t>
  </si>
  <si>
    <t>;page9（8AXIS）</t>
  </si>
  <si>
    <t>;page10（8AXIS）</t>
  </si>
  <si>
    <t>;page11（8AXIS）</t>
  </si>
  <si>
    <t>;1軸</t>
  </si>
  <si>
    <t>;2軸</t>
  </si>
  <si>
    <t>;設定位置</t>
  </si>
  <si>
    <t>;速度</t>
  </si>
  <si>
    <t>POINT番号</t>
  </si>
  <si>
    <t>;各ポイントの設定位置、速度の表示方式</t>
  </si>
  <si>
    <t>;Y軸</t>
  </si>
  <si>
    <t>;MX軸</t>
  </si>
  <si>
    <t>;SX軸</t>
  </si>
  <si>
    <t>;MZ軸</t>
  </si>
  <si>
    <t>;SZ軸</t>
  </si>
  <si>
    <t>;位置</t>
  </si>
  <si>
    <t>；0は非表示です。</t>
  </si>
  <si>
    <t>；非表示は灰色PNGで、値の表示がなしです。。</t>
  </si>
  <si>
    <t>；1-3治具监控时间输入对应modbus地址，一页一列最多3个</t>
  </si>
  <si>
    <t>；喷雾</t>
    <phoneticPr fontId="6"/>
  </si>
  <si>
    <t>；输送带</t>
    <phoneticPr fontId="6"/>
  </si>
  <si>
    <t>；1-2机械手操作指示灯</t>
    <phoneticPr fontId="6"/>
  </si>
  <si>
    <t>;侧姿</t>
  </si>
  <si>
    <t>;前进</t>
  </si>
  <si>
    <t>;上升</t>
  </si>
  <si>
    <t>;旋转</t>
  </si>
  <si>
    <t>;回正</t>
  </si>
  <si>
    <t>;后退</t>
  </si>
  <si>
    <t>;下降</t>
  </si>
  <si>
    <t>;回转</t>
  </si>
  <si>
    <t>;侧姿指示</t>
    <phoneticPr fontId="6"/>
  </si>
  <si>
    <t>;回正指示</t>
    <phoneticPr fontId="6"/>
  </si>
  <si>
    <t>;前进指示</t>
    <phoneticPr fontId="6"/>
  </si>
  <si>
    <t>;上升指示</t>
    <phoneticPr fontId="6"/>
  </si>
  <si>
    <t>;旋转指示</t>
    <phoneticPr fontId="6"/>
  </si>
  <si>
    <t>;回转指示</t>
    <phoneticPr fontId="6"/>
  </si>
  <si>
    <t>;吸1~吸8</t>
    <phoneticPr fontId="6"/>
  </si>
  <si>
    <t>;抱1~抱8</t>
    <phoneticPr fontId="6"/>
  </si>
  <si>
    <t>副夹</t>
    <phoneticPr fontId="6"/>
  </si>
  <si>
    <t>；1-3操作按钮指示灯</t>
    <phoneticPr fontId="6"/>
  </si>
  <si>
    <t>；1-1监控时间输入地址，一页一列最多3个，一页一列</t>
    <phoneticPr fontId="6"/>
  </si>
  <si>
    <t>***</t>
    <phoneticPr fontId="6"/>
  </si>
  <si>
    <t>；1-2监控时间输入地址，一页一列最多3个，一页一列</t>
    <phoneticPr fontId="6"/>
  </si>
  <si>
    <t>；3-2计时器时间输入对应modbus</t>
    <phoneticPr fontId="6"/>
  </si>
  <si>
    <t>；选择变量窗口，menu2_1（内部输出bit）356个，（row137）</t>
    <phoneticPr fontId="6"/>
  </si>
  <si>
    <t>；1-2机械手操作按钮key</t>
    <phoneticPr fontId="6"/>
  </si>
  <si>
    <t>D0</t>
  </si>
  <si>
    <t>;HEX</t>
  </si>
  <si>
    <t>E8</t>
  </si>
  <si>
    <t>DO/DI ****</t>
    <phoneticPr fontId="50" type="noConversion"/>
  </si>
  <si>
    <t>;リトライ回数R</t>
    <rPh sb="5" eb="7">
      <t>カイスウ</t>
    </rPh>
    <phoneticPr fontId="6"/>
  </si>
  <si>
    <t>；IO画面-成形機</t>
    <phoneticPr fontId="6"/>
  </si>
  <si>
    <t>；に使用するPROGNo.</t>
    <phoneticPr fontId="6"/>
  </si>
  <si>
    <t>；全て16項目までです。空は予備とします。</t>
    <rPh sb="1" eb="2">
      <t>スベ</t>
    </rPh>
    <rPh sb="5" eb="7">
      <t>コウモク</t>
    </rPh>
    <rPh sb="12" eb="13">
      <t>カラ</t>
    </rPh>
    <rPh sb="14" eb="16">
      <t>ヨビ</t>
    </rPh>
    <phoneticPr fontId="6"/>
  </si>
  <si>
    <t>；IO画面-机械手に使用するPROGNo.</t>
    <rPh sb="6" eb="7">
      <t>ツクエ</t>
    </rPh>
    <rPh sb="7" eb="8">
      <t>カイ</t>
    </rPh>
    <rPh sb="8" eb="9">
      <t>テ</t>
    </rPh>
    <phoneticPr fontId="6"/>
  </si>
  <si>
    <t>;遅延-ﾀｲﾏのDO/DI****アドレス</t>
    <rPh sb="1" eb="3">
      <t>チエン</t>
    </rPh>
    <phoneticPr fontId="6"/>
  </si>
  <si>
    <t>;画面に表示するシンボルはこれによってPen_msgのsymbol_msgから取り寄せます。</t>
    <rPh sb="1" eb="3">
      <t>ガメン</t>
    </rPh>
    <rPh sb="4" eb="6">
      <t>ヒョウジ</t>
    </rPh>
    <rPh sb="39" eb="40">
      <t>ト</t>
    </rPh>
    <rPh sb="41" eb="42">
      <t>ヨ</t>
    </rPh>
    <phoneticPr fontId="6"/>
  </si>
  <si>
    <t>；ｶｳﾝﾀｰ+1の項目DO/DI****アドレス</t>
    <rPh sb="9" eb="11">
      <t>コウモク</t>
    </rPh>
    <phoneticPr fontId="6"/>
  </si>
  <si>
    <t>；これによってシンボルと名称を表示します。</t>
    <rPh sb="12" eb="14">
      <t>メイショウ</t>
    </rPh>
    <rPh sb="15" eb="17">
      <t>ヒョウジ</t>
    </rPh>
    <phoneticPr fontId="6"/>
  </si>
  <si>
    <t>；Pen_msgのsimbol_msgとall_msgを参照してください。</t>
    <rPh sb="28" eb="30">
      <t>サンショウ</t>
    </rPh>
    <phoneticPr fontId="6"/>
  </si>
  <si>
    <t>；ｶｳﾝﾀｰリセットの項目DO/DI****アドレス</t>
    <rPh sb="11" eb="13">
      <t>コウモク</t>
    </rPh>
    <phoneticPr fontId="6"/>
  </si>
  <si>
    <t>；Pen_msgのsimbol_msgとall_msgを参照</t>
    <rPh sb="28" eb="30">
      <t>サンショウ</t>
    </rPh>
    <phoneticPr fontId="6"/>
  </si>
  <si>
    <t>；「レジスター+1」の項目DO/DI****アドレス</t>
    <rPh sb="11" eb="13">
      <t>コウモク</t>
    </rPh>
    <phoneticPr fontId="6"/>
  </si>
  <si>
    <t>；「「レジスター-1」の項目DO/DI****アドレス</t>
    <rPh sb="12" eb="14">
      <t>コウモク</t>
    </rPh>
    <phoneticPr fontId="6"/>
  </si>
  <si>
    <t>；DO/DI ****</t>
    <phoneticPr fontId="50" type="noConversion"/>
  </si>
  <si>
    <r>
      <t>；1-3操作打开按</t>
    </r>
    <r>
      <rPr>
        <sz val="11"/>
        <color theme="1"/>
        <rFont val="Microsoft JhengHei"/>
        <family val="2"/>
        <charset val="136"/>
      </rPr>
      <t>钮</t>
    </r>
    <r>
      <rPr>
        <sz val="11"/>
        <color theme="1"/>
        <rFont val="等线"/>
        <family val="3"/>
        <charset val="128"/>
        <scheme val="minor"/>
      </rPr>
      <t>key</t>
    </r>
    <phoneticPr fontId="6"/>
  </si>
  <si>
    <r>
      <t>；1-</t>
    </r>
    <r>
      <rPr>
        <sz val="11"/>
        <color theme="1"/>
        <rFont val="Microsoft JhengHei"/>
        <family val="2"/>
        <charset val="134"/>
      </rPr>
      <t>3</t>
    </r>
    <r>
      <rPr>
        <sz val="11"/>
        <color theme="1"/>
        <rFont val="等线"/>
        <family val="2"/>
        <charset val="128"/>
        <scheme val="minor"/>
      </rPr>
      <t>操作</t>
    </r>
    <r>
      <rPr>
        <sz val="11"/>
        <color theme="1"/>
        <rFont val="Microsoft JhengHei"/>
        <family val="2"/>
        <charset val="134"/>
      </rPr>
      <t>关闭</t>
    </r>
    <r>
      <rPr>
        <sz val="11"/>
        <color theme="1"/>
        <rFont val="等线"/>
        <family val="2"/>
        <charset val="128"/>
        <scheme val="minor"/>
      </rPr>
      <t>按</t>
    </r>
    <r>
      <rPr>
        <sz val="11"/>
        <color theme="1"/>
        <rFont val="Microsoft JhengHei"/>
        <family val="2"/>
        <charset val="136"/>
      </rPr>
      <t>钮</t>
    </r>
    <r>
      <rPr>
        <sz val="11"/>
        <color theme="1"/>
        <rFont val="等线"/>
        <family val="3"/>
        <charset val="128"/>
        <scheme val="minor"/>
      </rPr>
      <t>key</t>
    </r>
    <phoneticPr fontId="6"/>
  </si>
  <si>
    <t>;吸1~吸9</t>
  </si>
  <si>
    <t>;抱1~抱9</t>
  </si>
  <si>
    <t>；副夹</t>
    <phoneticPr fontId="6"/>
  </si>
  <si>
    <t>；値ないのが予備</t>
    <rPh sb="1" eb="2">
      <t>アタイ</t>
    </rPh>
    <rPh sb="6" eb="8">
      <t>ヨビ</t>
    </rPh>
    <phoneticPr fontId="6"/>
  </si>
  <si>
    <t>;表示するポイント数</t>
    <phoneticPr fontId="6"/>
  </si>
  <si>
    <t>;出力表示ページ数2~12</t>
    <phoneticPr fontId="6"/>
  </si>
  <si>
    <t>；JOG操作倍率表</t>
    <rPh sb="4" eb="6">
      <t>ソウサ</t>
    </rPh>
    <rPh sb="6" eb="8">
      <t>バイリツ</t>
    </rPh>
    <rPh sb="8" eb="9">
      <t>ヒョウ</t>
    </rPh>
    <phoneticPr fontId="6"/>
  </si>
  <si>
    <t>；倍率</t>
    <rPh sb="1" eb="3">
      <t>バイリツ</t>
    </rPh>
    <phoneticPr fontId="6"/>
  </si>
  <si>
    <t>；割り算</t>
    <rPh sb="1" eb="2">
      <t>ワ</t>
    </rPh>
    <rPh sb="3" eb="4">
      <t>ザン</t>
    </rPh>
    <phoneticPr fontId="6"/>
  </si>
  <si>
    <t>；掛け算</t>
    <rPh sb="1" eb="2">
      <t>カ</t>
    </rPh>
    <rPh sb="3" eb="4">
      <t>ザン</t>
    </rPh>
    <phoneticPr fontId="6"/>
  </si>
  <si>
    <t>例え；10の場合、パルス量を4で割り算して</t>
    <rPh sb="0" eb="1">
      <t>タト</t>
    </rPh>
    <rPh sb="6" eb="8">
      <t>バアイ</t>
    </rPh>
    <rPh sb="12" eb="13">
      <t>リョウ</t>
    </rPh>
    <rPh sb="16" eb="17">
      <t>ワ</t>
    </rPh>
    <rPh sb="18" eb="19">
      <t>ザン</t>
    </rPh>
    <phoneticPr fontId="6"/>
  </si>
  <si>
    <t>100で掛け算して、結果をpendantに渡す。</t>
    <rPh sb="4" eb="5">
      <t>カ</t>
    </rPh>
    <rPh sb="6" eb="7">
      <t>ザン</t>
    </rPh>
    <rPh sb="10" eb="12">
      <t>ケッカ</t>
    </rPh>
    <rPh sb="21" eb="22">
      <t>ワタ</t>
    </rPh>
    <phoneticPr fontId="6"/>
  </si>
  <si>
    <t>;ﾀｲﾏの表示方式</t>
    <phoneticPr fontId="6"/>
  </si>
  <si>
    <t>;項目No</t>
    <phoneticPr fontId="6"/>
  </si>
  <si>
    <r>
      <t>;</t>
    </r>
    <r>
      <rPr>
        <sz val="11"/>
        <color theme="1"/>
        <rFont val="Microsoft JhengHei"/>
        <family val="2"/>
        <charset val="136"/>
      </rPr>
      <t>ストローク長表示方式</t>
    </r>
    <rPh sb="6" eb="7">
      <t>チョウ</t>
    </rPh>
    <rPh sb="7" eb="9">
      <t>ヒョウジ</t>
    </rPh>
    <rPh sb="9" eb="11">
      <t>ホウシキ</t>
    </rPh>
    <phoneticPr fontId="6"/>
  </si>
  <si>
    <t>×1000の時の速度変換のパルス量</t>
    <rPh sb="6" eb="7">
      <t>トキ</t>
    </rPh>
    <rPh sb="8" eb="10">
      <t>ソクド</t>
    </rPh>
    <rPh sb="10" eb="12">
      <t>ヘンカン</t>
    </rPh>
    <rPh sb="16" eb="17">
      <t>リョウ</t>
    </rPh>
    <phoneticPr fontId="6"/>
  </si>
  <si>
    <t>；低速</t>
    <rPh sb="1" eb="3">
      <t>ﾃｲｿｸ</t>
    </rPh>
    <phoneticPr fontId="17" type="noConversion"/>
  </si>
  <si>
    <t>；中速</t>
    <rPh sb="1" eb="3">
      <t>ﾁｭｳｿｸ</t>
    </rPh>
    <phoneticPr fontId="17" type="noConversion"/>
  </si>
  <si>
    <t>；高速</t>
    <rPh sb="1" eb="3">
      <t>ｺｳｿｸ</t>
    </rPh>
    <phoneticPr fontId="17" type="noConversion"/>
  </si>
  <si>
    <t>;パルス差分</t>
    <rPh sb="4" eb="6">
      <t>サブン</t>
    </rPh>
    <phoneticPr fontId="6"/>
  </si>
  <si>
    <t>パルス差分量0～20のあいだ　低速</t>
    <rPh sb="3" eb="5">
      <t>サブン</t>
    </rPh>
    <rPh sb="5" eb="6">
      <t>リョウ</t>
    </rPh>
    <rPh sb="15" eb="17">
      <t>テイソク</t>
    </rPh>
    <phoneticPr fontId="6"/>
  </si>
  <si>
    <t>パルス差分量30～以上　低速</t>
    <rPh sb="3" eb="5">
      <t>サブン</t>
    </rPh>
    <rPh sb="5" eb="6">
      <t>リョウ</t>
    </rPh>
    <rPh sb="9" eb="11">
      <t>イジョウ</t>
    </rPh>
    <rPh sb="12" eb="14">
      <t>テイソク</t>
    </rPh>
    <phoneticPr fontId="6"/>
  </si>
  <si>
    <t>パルス差分量20～30のあいだ　中速</t>
    <rPh sb="3" eb="5">
      <t>サブン</t>
    </rPh>
    <rPh sb="5" eb="6">
      <t>リョウ</t>
    </rPh>
    <rPh sb="16" eb="18">
      <t>チュウソク</t>
    </rPh>
    <phoneticPr fontId="6"/>
  </si>
  <si>
    <t>;Point101～200、256～999の位置の表示方式、速度の表示方式</t>
    <phoneticPr fontId="6"/>
  </si>
  <si>
    <t>;位置の表示方式、速度の表示方式</t>
    <phoneticPr fontId="6"/>
  </si>
  <si>
    <t>;IO全履歴表示方式</t>
    <rPh sb="3" eb="6">
      <t>ゼンリレキ</t>
    </rPh>
    <rPh sb="6" eb="8">
      <t>ヒョウジ</t>
    </rPh>
    <rPh sb="8" eb="10">
      <t>ホウシキ</t>
    </rPh>
    <phoneticPr fontId="6"/>
  </si>
  <si>
    <t>;00行</t>
    <rPh sb="3" eb="4">
      <t>ギョウ</t>
    </rPh>
    <phoneticPr fontId="6"/>
  </si>
  <si>
    <t>;10行</t>
    <rPh sb="3" eb="4">
      <t>ギョウ</t>
    </rPh>
    <phoneticPr fontId="6"/>
  </si>
  <si>
    <t>;20行</t>
    <rPh sb="3" eb="4">
      <t>ギョウ</t>
    </rPh>
    <phoneticPr fontId="6"/>
  </si>
  <si>
    <t>;30行</t>
    <rPh sb="3" eb="4">
      <t>ギョウ</t>
    </rPh>
    <phoneticPr fontId="6"/>
  </si>
  <si>
    <t>;40行</t>
    <rPh sb="3" eb="4">
      <t>ギョウ</t>
    </rPh>
    <phoneticPr fontId="6"/>
  </si>
  <si>
    <t>;50行</t>
    <rPh sb="3" eb="4">
      <t>ギョウ</t>
    </rPh>
    <phoneticPr fontId="6"/>
  </si>
  <si>
    <t>;60行</t>
    <rPh sb="3" eb="4">
      <t>ギョウ</t>
    </rPh>
    <phoneticPr fontId="6"/>
  </si>
  <si>
    <t>;70行</t>
    <rPh sb="3" eb="4">
      <t>ギョウ</t>
    </rPh>
    <phoneticPr fontId="6"/>
  </si>
  <si>
    <t>;80行</t>
    <rPh sb="3" eb="4">
      <t>ギョウ</t>
    </rPh>
    <phoneticPr fontId="6"/>
  </si>
  <si>
    <t>;90行</t>
    <rPh sb="3" eb="4">
      <t>ギョウ</t>
    </rPh>
    <phoneticPr fontId="6"/>
  </si>
  <si>
    <t>;A0行</t>
    <rPh sb="3" eb="4">
      <t>ギョウ</t>
    </rPh>
    <phoneticPr fontId="6"/>
  </si>
  <si>
    <t>;B0行</t>
    <rPh sb="3" eb="4">
      <t>ギョウ</t>
    </rPh>
    <phoneticPr fontId="6"/>
  </si>
  <si>
    <t>;C0行</t>
    <rPh sb="3" eb="4">
      <t>ギョウ</t>
    </rPh>
    <phoneticPr fontId="6"/>
  </si>
  <si>
    <t>;D0行</t>
    <rPh sb="3" eb="4">
      <t>ギョウ</t>
    </rPh>
    <phoneticPr fontId="6"/>
  </si>
  <si>
    <t>;E0行</t>
    <rPh sb="3" eb="4">
      <t>ギョウ</t>
    </rPh>
    <phoneticPr fontId="6"/>
  </si>
  <si>
    <t>;F0行</t>
    <rPh sb="3" eb="4">
      <t>ギョウ</t>
    </rPh>
    <phoneticPr fontId="6"/>
  </si>
  <si>
    <t>;表内0はbit表示、1はbyte表示を表します。</t>
    <rPh sb="1" eb="3">
      <t>ヒョウナイ</t>
    </rPh>
    <rPh sb="8" eb="10">
      <t>ヒョウジ</t>
    </rPh>
    <rPh sb="17" eb="19">
      <t>ヒョウジ</t>
    </rPh>
    <rPh sb="20" eb="21">
      <t>アラワ</t>
    </rPh>
    <phoneticPr fontId="6"/>
  </si>
  <si>
    <t>;Bank0IO-I1</t>
    <phoneticPr fontId="6"/>
  </si>
  <si>
    <t>;Bank0IO-I2</t>
    <phoneticPr fontId="6"/>
  </si>
  <si>
    <t>;Bank0M-I1</t>
    <phoneticPr fontId="6"/>
  </si>
  <si>
    <t>;Bank0M-I2</t>
    <phoneticPr fontId="6"/>
  </si>
  <si>
    <t>;Bank1IO-I1</t>
    <phoneticPr fontId="6"/>
  </si>
  <si>
    <t>;Bank1M-I1</t>
    <phoneticPr fontId="6"/>
  </si>
  <si>
    <t>;Bank1M-I2</t>
    <phoneticPr fontId="6"/>
  </si>
  <si>
    <t>;Bank2IO-I1</t>
    <phoneticPr fontId="6"/>
  </si>
  <si>
    <t>;Bank2IO-I2</t>
    <phoneticPr fontId="6"/>
  </si>
  <si>
    <t>;Bank2M-I1</t>
    <phoneticPr fontId="6"/>
  </si>
  <si>
    <t>;Bank2M-I2</t>
    <phoneticPr fontId="6"/>
  </si>
  <si>
    <t>;Bank3IO-I1</t>
    <phoneticPr fontId="6"/>
  </si>
  <si>
    <t>;Bank3IO-I2</t>
    <phoneticPr fontId="6"/>
  </si>
  <si>
    <t>;Bank3M-I1</t>
    <phoneticPr fontId="6"/>
  </si>
  <si>
    <t>;Bank3M-I2</t>
    <phoneticPr fontId="6"/>
  </si>
  <si>
    <t>;Bank4IO-l2</t>
    <phoneticPr fontId="6"/>
  </si>
  <si>
    <t>;Bank4M-l1</t>
    <phoneticPr fontId="6"/>
  </si>
  <si>
    <t>;Bank4M-l2</t>
    <phoneticPr fontId="6"/>
  </si>
  <si>
    <t>;bankNo.：bank0～bank4</t>
    <phoneticPr fontId="6"/>
  </si>
  <si>
    <t>;Bank0IO-I1;bankNo.+内容-bit範囲を表します。</t>
    <rPh sb="20" eb="22">
      <t>ナイヨウ</t>
    </rPh>
    <rPh sb="26" eb="28">
      <t>ハンイ</t>
    </rPh>
    <rPh sb="29" eb="30">
      <t>アラワ</t>
    </rPh>
    <phoneticPr fontId="6"/>
  </si>
  <si>
    <t>;bank内容：IO、M</t>
    <rPh sb="5" eb="7">
      <t>ナイヨウ</t>
    </rPh>
    <phoneticPr fontId="6"/>
  </si>
  <si>
    <t>;bit範囲：l1はbit0~7、l2はbit8~F</t>
    <rPh sb="4" eb="6">
      <t>ハンイ</t>
    </rPh>
    <phoneticPr fontId="6"/>
  </si>
  <si>
    <t>;IO履歴</t>
    <phoneticPr fontId="6"/>
  </si>
  <si>
    <t>;選択された時（「全履歴」「IO履歴」「IO変化」）　文字色RGB</t>
    <phoneticPr fontId="6"/>
  </si>
  <si>
    <t>;システム設定の表示するﾕｰｻﾞレベル（1～5）、設定したレベル以上の全てのユーザレベルに表示します。</t>
    <rPh sb="5" eb="7">
      <t>セッテイ</t>
    </rPh>
    <rPh sb="8" eb="10">
      <t>ヒョウジ</t>
    </rPh>
    <rPh sb="25" eb="27">
      <t>セッテイ</t>
    </rPh>
    <rPh sb="32" eb="34">
      <t>イジョウ</t>
    </rPh>
    <rPh sb="35" eb="36">
      <t>スベ</t>
    </rPh>
    <rPh sb="45" eb="47">
      <t>ヒョウジ</t>
    </rPh>
    <phoneticPr fontId="6"/>
  </si>
  <si>
    <t>;システムモードの表示有り無し設定（255：あり、255以外：なし）</t>
    <rPh sb="9" eb="11">
      <t>ヒョウジ</t>
    </rPh>
    <rPh sb="11" eb="12">
      <t>ア</t>
    </rPh>
    <rPh sb="13" eb="14">
      <t>ナ</t>
    </rPh>
    <rPh sb="15" eb="17">
      <t>セッテイ</t>
    </rPh>
    <rPh sb="28" eb="30">
      <t>イガイ</t>
    </rPh>
    <phoneticPr fontId="6"/>
  </si>
  <si>
    <t>;上から1～8</t>
    <rPh sb="1" eb="2">
      <t>ウエ</t>
    </rPh>
    <phoneticPr fontId="6"/>
  </si>
  <si>
    <t>上から9～16</t>
    <rPh sb="0" eb="1">
      <t>ウエ</t>
    </rPh>
    <phoneticPr fontId="6"/>
  </si>
  <si>
    <t>;システムモード1</t>
    <phoneticPr fontId="6"/>
  </si>
  <si>
    <t>;システムモード2</t>
  </si>
  <si>
    <t>;システムモード3</t>
  </si>
  <si>
    <t>;システムモード4</t>
  </si>
  <si>
    <t>;システムモード5</t>
  </si>
  <si>
    <t>;システムモード6</t>
  </si>
  <si>
    <t>;システムモード7</t>
  </si>
  <si>
    <t>;システムモード8</t>
  </si>
  <si>
    <t>;システムモード9</t>
    <phoneticPr fontId="6"/>
  </si>
  <si>
    <t>;システムモード10</t>
  </si>
  <si>
    <t>;システムモード11</t>
  </si>
  <si>
    <t>;システムモード12</t>
  </si>
  <si>
    <t>;システムモード13</t>
  </si>
  <si>
    <t>;システムモード14</t>
  </si>
  <si>
    <t>;システムモード15</t>
  </si>
  <si>
    <t>;システムモード16</t>
  </si>
  <si>
    <t>;mode Index</t>
    <phoneticPr fontId="17" type="noConversion"/>
  </si>
  <si>
    <t>;modeON key</t>
    <phoneticPr fontId="6"/>
  </si>
  <si>
    <t>;modeOFF key</t>
    <phoneticPr fontId="6"/>
  </si>
  <si>
    <t>mode01</t>
    <phoneticPr fontId="17" type="noConversion"/>
  </si>
  <si>
    <t>;正臂</t>
    <phoneticPr fontId="17" type="noConversion"/>
  </si>
  <si>
    <t>;</t>
    <phoneticPr fontId="6"/>
  </si>
  <si>
    <t>;模外待机</t>
    <phoneticPr fontId="17" type="noConversion"/>
  </si>
  <si>
    <r>
      <t>;</t>
    </r>
    <r>
      <rPr>
        <sz val="9"/>
        <color theme="1"/>
        <rFont val="等线"/>
        <family val="2"/>
        <charset val="134"/>
        <scheme val="minor"/>
      </rPr>
      <t>顶针联动</t>
    </r>
    <phoneticPr fontId="17" type="noConversion"/>
  </si>
  <si>
    <r>
      <t>;</t>
    </r>
    <r>
      <rPr>
        <sz val="9"/>
        <color theme="1"/>
        <rFont val="等线"/>
        <family val="2"/>
        <charset val="134"/>
        <scheme val="minor"/>
      </rPr>
      <t>顶针进检</t>
    </r>
    <phoneticPr fontId="17" type="noConversion"/>
  </si>
  <si>
    <r>
      <t>;取出姿</t>
    </r>
    <r>
      <rPr>
        <sz val="9"/>
        <color theme="1"/>
        <rFont val="等线"/>
        <family val="2"/>
        <charset val="134"/>
        <scheme val="minor"/>
      </rPr>
      <t>势</t>
    </r>
    <r>
      <rPr>
        <sz val="9"/>
        <color theme="1"/>
        <rFont val="等线"/>
        <family val="3"/>
        <charset val="128"/>
        <scheme val="minor"/>
      </rPr>
      <t>2</t>
    </r>
    <phoneticPr fontId="6"/>
  </si>
  <si>
    <r>
      <t>;</t>
    </r>
    <r>
      <rPr>
        <sz val="9"/>
        <color theme="1"/>
        <rFont val="Microsoft JhengHei"/>
        <family val="3"/>
        <charset val="134"/>
      </rPr>
      <t>侧姿待机</t>
    </r>
    <phoneticPr fontId="17" type="noConversion"/>
  </si>
  <si>
    <t>;</t>
    <phoneticPr fontId="6"/>
  </si>
  <si>
    <r>
      <t>;固定</t>
    </r>
    <r>
      <rPr>
        <sz val="9"/>
        <color theme="1"/>
        <rFont val="等线"/>
        <family val="2"/>
        <charset val="134"/>
        <scheme val="minor"/>
      </rPr>
      <t>侧</t>
    </r>
    <r>
      <rPr>
        <sz val="9"/>
        <color theme="1"/>
        <rFont val="等线"/>
        <family val="3"/>
        <charset val="128"/>
        <scheme val="minor"/>
      </rPr>
      <t>取出</t>
    </r>
    <phoneticPr fontId="6"/>
  </si>
  <si>
    <t>;</t>
    <phoneticPr fontId="6"/>
  </si>
  <si>
    <t>;副臂U型取</t>
    <phoneticPr fontId="17" type="noConversion"/>
  </si>
  <si>
    <t>;装箱分开方</t>
    <phoneticPr fontId="17" type="noConversion"/>
  </si>
  <si>
    <t>;横出置料</t>
    <phoneticPr fontId="17" type="noConversion"/>
  </si>
  <si>
    <t>;横入置料</t>
    <phoneticPr fontId="17" type="noConversion"/>
  </si>
  <si>
    <t>;中板信号</t>
    <phoneticPr fontId="17" type="noConversion"/>
  </si>
  <si>
    <r>
      <t>;副臂</t>
    </r>
    <r>
      <rPr>
        <sz val="9"/>
        <color theme="1"/>
        <rFont val="等线"/>
        <family val="2"/>
        <charset val="134"/>
        <scheme val="minor"/>
      </rPr>
      <t>动</t>
    </r>
    <r>
      <rPr>
        <sz val="9"/>
        <color theme="1"/>
        <rFont val="等线"/>
        <family val="3"/>
        <charset val="128"/>
        <scheme val="minor"/>
      </rPr>
      <t>模</t>
    </r>
    <phoneticPr fontId="17" type="noConversion"/>
  </si>
  <si>
    <t>;副臂后退放</t>
    <phoneticPr fontId="6"/>
  </si>
  <si>
    <t>;副臂下行放</t>
    <phoneticPr fontId="6"/>
  </si>
  <si>
    <t>;正臂内置料</t>
    <phoneticPr fontId="17" type="noConversion"/>
  </si>
  <si>
    <t>;副臂内置料</t>
    <phoneticPr fontId="17" type="noConversion"/>
  </si>
  <si>
    <t>;吹气</t>
    <phoneticPr fontId="17" type="noConversion"/>
  </si>
  <si>
    <r>
      <t>;</t>
    </r>
    <r>
      <rPr>
        <sz val="9"/>
        <color theme="1"/>
        <rFont val="等线"/>
        <family val="2"/>
        <charset val="134"/>
        <scheme val="minor"/>
      </rPr>
      <t>顶</t>
    </r>
    <r>
      <rPr>
        <sz val="9"/>
        <color theme="1"/>
        <rFont val="等线"/>
        <family val="3"/>
        <charset val="128"/>
        <scheme val="minor"/>
      </rPr>
      <t>退中子</t>
    </r>
    <phoneticPr fontId="17" type="noConversion"/>
  </si>
  <si>
    <r>
      <t>;置物姿</t>
    </r>
    <r>
      <rPr>
        <sz val="9"/>
        <color theme="1"/>
        <rFont val="等线"/>
        <family val="2"/>
        <charset val="134"/>
        <scheme val="minor"/>
      </rPr>
      <t>势</t>
    </r>
    <phoneticPr fontId="17" type="noConversion"/>
  </si>
  <si>
    <r>
      <t>;注塑机</t>
    </r>
    <r>
      <rPr>
        <sz val="9"/>
        <color theme="1"/>
        <rFont val="等线"/>
        <family val="2"/>
        <charset val="134"/>
        <scheme val="minor"/>
      </rPr>
      <t>监</t>
    </r>
    <r>
      <rPr>
        <sz val="9"/>
        <color theme="1"/>
        <rFont val="等线"/>
        <family val="3"/>
        <charset val="128"/>
        <scheme val="minor"/>
      </rPr>
      <t>控</t>
    </r>
    <phoneticPr fontId="17" type="noConversion"/>
  </si>
  <si>
    <r>
      <t>;</t>
    </r>
    <r>
      <rPr>
        <sz val="9"/>
        <color theme="1"/>
        <rFont val="等线"/>
        <family val="2"/>
        <charset val="134"/>
        <scheme val="minor"/>
      </rPr>
      <t>预</t>
    </r>
    <r>
      <rPr>
        <sz val="9"/>
        <color theme="1"/>
        <rFont val="等线"/>
        <family val="3"/>
        <charset val="128"/>
        <scheme val="minor"/>
      </rPr>
      <t>留功能</t>
    </r>
    <phoneticPr fontId="17" type="noConversion"/>
  </si>
  <si>
    <r>
      <t>;</t>
    </r>
    <r>
      <rPr>
        <sz val="9"/>
        <color theme="1"/>
        <rFont val="等线"/>
        <family val="2"/>
        <charset val="134"/>
        <scheme val="minor"/>
      </rPr>
      <t>预</t>
    </r>
    <r>
      <rPr>
        <sz val="9"/>
        <color theme="1"/>
        <rFont val="等线"/>
        <family val="3"/>
        <charset val="128"/>
        <scheme val="minor"/>
      </rPr>
      <t>留功能</t>
    </r>
    <phoneticPr fontId="17" type="noConversion"/>
  </si>
  <si>
    <r>
      <t>;</t>
    </r>
    <r>
      <rPr>
        <sz val="9"/>
        <color theme="1"/>
        <rFont val="等线"/>
        <family val="2"/>
        <charset val="134"/>
        <scheme val="minor"/>
      </rPr>
      <t>预</t>
    </r>
    <r>
      <rPr>
        <sz val="9"/>
        <color theme="1"/>
        <rFont val="等线"/>
        <family val="3"/>
        <charset val="128"/>
        <scheme val="minor"/>
      </rPr>
      <t>留功能</t>
    </r>
    <phoneticPr fontId="17" type="noConversion"/>
  </si>
  <si>
    <r>
      <t>;断</t>
    </r>
    <r>
      <rPr>
        <sz val="9"/>
        <color theme="1"/>
        <rFont val="等线"/>
        <family val="2"/>
        <charset val="134"/>
        <scheme val="minor"/>
      </rPr>
      <t>电</t>
    </r>
    <r>
      <rPr>
        <sz val="9"/>
        <color theme="1"/>
        <rFont val="等线"/>
        <family val="3"/>
        <charset val="128"/>
        <scheme val="minor"/>
      </rPr>
      <t>不吸</t>
    </r>
    <phoneticPr fontId="17" type="noConversion"/>
  </si>
  <si>
    <r>
      <t>;</t>
    </r>
    <r>
      <rPr>
        <sz val="9"/>
        <color theme="1"/>
        <rFont val="等线"/>
        <family val="2"/>
        <charset val="134"/>
        <scheme val="minor"/>
      </rPr>
      <t>标</t>
    </r>
    <r>
      <rPr>
        <sz val="9"/>
        <color theme="1"/>
        <rFont val="等线"/>
        <family val="3"/>
        <charset val="128"/>
        <scheme val="minor"/>
      </rPr>
      <t>准程序</t>
    </r>
    <phoneticPr fontId="17" type="noConversion"/>
  </si>
  <si>
    <t>;抱具1</t>
    <phoneticPr fontId="17" type="noConversion"/>
  </si>
  <si>
    <t>;抱具2</t>
    <phoneticPr fontId="6"/>
  </si>
  <si>
    <t>;抱具3</t>
    <phoneticPr fontId="6"/>
  </si>
  <si>
    <t>;抱具4</t>
    <phoneticPr fontId="6"/>
  </si>
  <si>
    <r>
      <t>;吸</t>
    </r>
    <r>
      <rPr>
        <sz val="9"/>
        <color theme="1"/>
        <rFont val="等线"/>
        <family val="2"/>
        <charset val="134"/>
        <scheme val="minor"/>
      </rPr>
      <t>盘</t>
    </r>
    <r>
      <rPr>
        <sz val="9"/>
        <color theme="1"/>
        <rFont val="等线"/>
        <family val="3"/>
        <charset val="128"/>
        <scheme val="minor"/>
      </rPr>
      <t>1</t>
    </r>
    <phoneticPr fontId="17" type="noConversion"/>
  </si>
  <si>
    <r>
      <t>;吸</t>
    </r>
    <r>
      <rPr>
        <sz val="9"/>
        <color theme="1"/>
        <rFont val="等线"/>
        <family val="2"/>
        <charset val="134"/>
        <scheme val="minor"/>
      </rPr>
      <t>盘</t>
    </r>
    <r>
      <rPr>
        <sz val="9"/>
        <color theme="1"/>
        <rFont val="等线"/>
        <family val="3"/>
        <charset val="128"/>
        <scheme val="minor"/>
      </rPr>
      <t>2</t>
    </r>
    <phoneticPr fontId="6"/>
  </si>
  <si>
    <r>
      <t>;吸</t>
    </r>
    <r>
      <rPr>
        <sz val="9"/>
        <color theme="1"/>
        <rFont val="等线"/>
        <family val="2"/>
        <charset val="134"/>
        <scheme val="minor"/>
      </rPr>
      <t>盘</t>
    </r>
    <r>
      <rPr>
        <sz val="9"/>
        <color theme="1"/>
        <rFont val="等线"/>
        <family val="3"/>
        <charset val="128"/>
        <scheme val="minor"/>
      </rPr>
      <t>3</t>
    </r>
    <phoneticPr fontId="6"/>
  </si>
  <si>
    <r>
      <t>;水口</t>
    </r>
    <r>
      <rPr>
        <sz val="9"/>
        <color theme="1"/>
        <rFont val="等线"/>
        <family val="2"/>
        <charset val="134"/>
        <scheme val="minor"/>
      </rPr>
      <t>夹检测</t>
    </r>
    <phoneticPr fontId="17" type="noConversion"/>
  </si>
  <si>
    <r>
      <t>;抱具2</t>
    </r>
    <r>
      <rPr>
        <sz val="9"/>
        <color theme="1"/>
        <rFont val="等线"/>
        <family val="2"/>
        <charset val="134"/>
        <scheme val="minor"/>
      </rPr>
      <t>检测</t>
    </r>
    <phoneticPr fontId="6"/>
  </si>
  <si>
    <r>
      <t>;抱具3</t>
    </r>
    <r>
      <rPr>
        <sz val="9"/>
        <color theme="1"/>
        <rFont val="等线"/>
        <family val="2"/>
        <charset val="134"/>
        <scheme val="minor"/>
      </rPr>
      <t>检测</t>
    </r>
    <phoneticPr fontId="6"/>
  </si>
  <si>
    <r>
      <t>;抱具4</t>
    </r>
    <r>
      <rPr>
        <sz val="9"/>
        <color theme="1"/>
        <rFont val="等线"/>
        <family val="2"/>
        <charset val="134"/>
        <scheme val="minor"/>
      </rPr>
      <t>检测</t>
    </r>
    <phoneticPr fontId="6"/>
  </si>
  <si>
    <r>
      <t>;吸</t>
    </r>
    <r>
      <rPr>
        <sz val="9"/>
        <color theme="1"/>
        <rFont val="等线"/>
        <family val="2"/>
        <charset val="134"/>
        <scheme val="minor"/>
      </rPr>
      <t>盘</t>
    </r>
    <r>
      <rPr>
        <sz val="9"/>
        <color theme="1"/>
        <rFont val="等线"/>
        <family val="3"/>
        <charset val="128"/>
        <scheme val="minor"/>
      </rPr>
      <t>1</t>
    </r>
    <r>
      <rPr>
        <sz val="9"/>
        <color theme="1"/>
        <rFont val="等线"/>
        <family val="2"/>
        <charset val="134"/>
        <scheme val="minor"/>
      </rPr>
      <t>检测</t>
    </r>
    <phoneticPr fontId="17" type="noConversion"/>
  </si>
  <si>
    <r>
      <t>;吸</t>
    </r>
    <r>
      <rPr>
        <sz val="9"/>
        <color theme="1"/>
        <rFont val="等线"/>
        <family val="2"/>
        <charset val="134"/>
        <scheme val="minor"/>
      </rPr>
      <t>盘</t>
    </r>
    <r>
      <rPr>
        <sz val="9"/>
        <color theme="1"/>
        <rFont val="等线"/>
        <family val="3"/>
        <charset val="128"/>
        <scheme val="minor"/>
      </rPr>
      <t>2</t>
    </r>
    <r>
      <rPr>
        <sz val="9"/>
        <color theme="1"/>
        <rFont val="等线"/>
        <family val="2"/>
        <charset val="134"/>
        <scheme val="minor"/>
      </rPr>
      <t>检测</t>
    </r>
    <phoneticPr fontId="6"/>
  </si>
  <si>
    <r>
      <t>;吸</t>
    </r>
    <r>
      <rPr>
        <sz val="9"/>
        <color theme="1"/>
        <rFont val="等线"/>
        <family val="2"/>
        <charset val="134"/>
        <scheme val="minor"/>
      </rPr>
      <t>盘</t>
    </r>
    <r>
      <rPr>
        <sz val="9"/>
        <color theme="1"/>
        <rFont val="等线"/>
        <family val="3"/>
        <charset val="128"/>
        <scheme val="minor"/>
      </rPr>
      <t>3</t>
    </r>
    <r>
      <rPr>
        <sz val="9"/>
        <color theme="1"/>
        <rFont val="等线"/>
        <family val="2"/>
        <charset val="134"/>
        <scheme val="minor"/>
      </rPr>
      <t>检测</t>
    </r>
    <phoneticPr fontId="6"/>
  </si>
  <si>
    <r>
      <t>;吸</t>
    </r>
    <r>
      <rPr>
        <sz val="9"/>
        <color theme="1"/>
        <rFont val="等线"/>
        <family val="2"/>
        <charset val="134"/>
        <scheme val="minor"/>
      </rPr>
      <t>盘</t>
    </r>
    <r>
      <rPr>
        <sz val="9"/>
        <color theme="1"/>
        <rFont val="等线"/>
        <family val="3"/>
        <charset val="128"/>
        <scheme val="minor"/>
      </rPr>
      <t>4</t>
    </r>
    <r>
      <rPr>
        <sz val="9"/>
        <color theme="1"/>
        <rFont val="等线"/>
        <family val="2"/>
        <charset val="134"/>
        <scheme val="minor"/>
      </rPr>
      <t>检测</t>
    </r>
    <phoneticPr fontId="6"/>
  </si>
  <si>
    <r>
      <t>;</t>
    </r>
    <r>
      <rPr>
        <sz val="9"/>
        <color theme="1"/>
        <rFont val="等线"/>
        <family val="2"/>
        <charset val="134"/>
        <scheme val="minor"/>
      </rPr>
      <t>产</t>
    </r>
    <r>
      <rPr>
        <sz val="9"/>
        <color theme="1"/>
        <rFont val="等线"/>
        <family val="3"/>
        <charset val="128"/>
        <scheme val="minor"/>
      </rPr>
      <t>品掉落</t>
    </r>
    <phoneticPr fontId="17" type="noConversion"/>
  </si>
  <si>
    <t>;</t>
    <phoneticPr fontId="6"/>
  </si>
  <si>
    <t>;正副臂功能启用，1启动，255未启用；</t>
    <phoneticPr fontId="6"/>
  </si>
  <si>
    <r>
      <t>;カウンター</t>
    </r>
    <r>
      <rPr>
        <sz val="11"/>
        <color theme="1"/>
        <rFont val="等线"/>
        <family val="3"/>
        <charset val="128"/>
        <scheme val="minor"/>
      </rPr>
      <t>up</t>
    </r>
    <r>
      <rPr>
        <sz val="11"/>
        <color theme="1"/>
        <rFont val="宋体"/>
        <family val="3"/>
        <charset val="134"/>
      </rPr>
      <t>时</t>
    </r>
    <r>
      <rPr>
        <sz val="11"/>
        <color theme="1"/>
        <rFont val="Microsoft JhengHei"/>
        <family val="2"/>
        <charset val="136"/>
      </rPr>
      <t>（現在</t>
    </r>
    <r>
      <rPr>
        <sz val="11"/>
        <color theme="1"/>
        <rFont val="宋体"/>
        <family val="3"/>
        <charset val="134"/>
      </rPr>
      <t>カウンター値</t>
    </r>
    <r>
      <rPr>
        <sz val="11"/>
        <color theme="1"/>
        <rFont val="Microsoft JhengHei"/>
        <family val="2"/>
        <charset val="136"/>
      </rPr>
      <t>＝設定</t>
    </r>
    <r>
      <rPr>
        <sz val="11"/>
        <color theme="1"/>
        <rFont val="宋体"/>
        <family val="3"/>
        <charset val="134"/>
      </rPr>
      <t>値</t>
    </r>
    <r>
      <rPr>
        <sz val="11"/>
        <color theme="1"/>
        <rFont val="Microsoft JhengHei"/>
        <family val="2"/>
        <charset val="136"/>
      </rPr>
      <t>）</t>
    </r>
    <r>
      <rPr>
        <sz val="11"/>
        <color theme="1"/>
        <rFont val="等线"/>
        <family val="3"/>
        <charset val="128"/>
        <scheme val="minor"/>
      </rPr>
      <t>　　数</t>
    </r>
    <r>
      <rPr>
        <sz val="11"/>
        <color theme="1"/>
        <rFont val="Microsoft JhengHei"/>
        <family val="2"/>
        <charset val="136"/>
      </rPr>
      <t>值</t>
    </r>
    <r>
      <rPr>
        <sz val="11"/>
        <color theme="1"/>
        <rFont val="等线"/>
        <family val="3"/>
        <charset val="128"/>
        <scheme val="minor"/>
      </rPr>
      <t>文字色RGB</t>
    </r>
    <rPh sb="10" eb="12">
      <t>ゲンザイ</t>
    </rPh>
    <rPh sb="17" eb="18">
      <t>チ</t>
    </rPh>
    <rPh sb="19" eb="22">
      <t>セッテイチ</t>
    </rPh>
    <rPh sb="25" eb="26">
      <t>アタイスウチ</t>
    </rPh>
    <phoneticPr fontId="6"/>
  </si>
  <si>
    <r>
      <t>;</t>
    </r>
    <r>
      <rPr>
        <sz val="11"/>
        <color theme="1"/>
        <rFont val="Microsoft JhengHei"/>
        <family val="2"/>
        <charset val="136"/>
      </rPr>
      <t>現在</t>
    </r>
    <r>
      <rPr>
        <sz val="11"/>
        <color theme="1"/>
        <rFont val="宋体"/>
        <family val="3"/>
        <charset val="134"/>
      </rPr>
      <t>値</t>
    </r>
    <r>
      <rPr>
        <sz val="11"/>
        <color theme="1"/>
        <rFont val="Microsoft JhengHei"/>
        <family val="2"/>
        <charset val="136"/>
      </rPr>
      <t>、設定</t>
    </r>
    <r>
      <rPr>
        <sz val="11"/>
        <color theme="1"/>
        <rFont val="宋体"/>
        <family val="3"/>
        <charset val="134"/>
      </rPr>
      <t>値</t>
    </r>
    <r>
      <rPr>
        <sz val="11"/>
        <color theme="1"/>
        <rFont val="Microsoft JhengHei"/>
        <family val="2"/>
        <charset val="136"/>
      </rPr>
      <t>　</t>
    </r>
    <r>
      <rPr>
        <sz val="11"/>
        <color theme="1"/>
        <rFont val="等线"/>
        <family val="3"/>
        <charset val="128"/>
        <scheme val="minor"/>
      </rPr>
      <t>数</t>
    </r>
    <r>
      <rPr>
        <sz val="11"/>
        <color theme="1"/>
        <rFont val="Microsoft JhengHei"/>
        <family val="2"/>
        <charset val="136"/>
      </rPr>
      <t>值</t>
    </r>
    <r>
      <rPr>
        <sz val="11"/>
        <color theme="1"/>
        <rFont val="等线"/>
        <family val="3"/>
        <charset val="128"/>
        <scheme val="minor"/>
      </rPr>
      <t>表示方式</t>
    </r>
    <rPh sb="1" eb="4">
      <t>ゲンザイチ</t>
    </rPh>
    <rPh sb="5" eb="8">
      <t>セッテイチ</t>
    </rPh>
    <phoneticPr fontId="6"/>
  </si>
  <si>
    <t>;计数器地址</t>
    <phoneticPr fontId="6"/>
  </si>
  <si>
    <t>;计时器modbus地址</t>
    <phoneticPr fontId="6"/>
  </si>
  <si>
    <t>min</t>
    <phoneticPr fontId="6"/>
  </si>
  <si>
    <t>max</t>
    <phoneticPr fontId="6"/>
  </si>
  <si>
    <t>0E</t>
  </si>
  <si>
    <t>0C</t>
  </si>
  <si>
    <t>0D</t>
  </si>
  <si>
    <t>2B</t>
  </si>
  <si>
    <t>2C</t>
  </si>
  <si>
    <t>2F</t>
  </si>
  <si>
    <t>3B</t>
  </si>
  <si>
    <t>3C</t>
  </si>
  <si>
    <t>3D</t>
  </si>
  <si>
    <t>6A</t>
  </si>
  <si>
    <t>6B</t>
  </si>
  <si>
    <t>6C</t>
  </si>
  <si>
    <t>6D</t>
  </si>
  <si>
    <t>6E</t>
  </si>
  <si>
    <t>6F</t>
  </si>
  <si>
    <t>-</t>
  </si>
  <si>
    <t>2D</t>
  </si>
  <si>
    <t>2A</t>
  </si>
  <si>
    <t>0F</t>
  </si>
  <si>
    <t>0A</t>
  </si>
  <si>
    <t>0B</t>
  </si>
  <si>
    <t>4A</t>
  </si>
  <si>
    <t>4C</t>
  </si>
  <si>
    <t>4D</t>
  </si>
  <si>
    <t>4E</t>
  </si>
  <si>
    <t>4F</t>
  </si>
  <si>
    <t>4B</t>
  </si>
  <si>
    <t>2E</t>
  </si>
  <si>
    <t>;治具</t>
    <phoneticPr fontId="6"/>
  </si>
  <si>
    <t>12</t>
    <phoneticPr fontId="6"/>
  </si>
  <si>
    <t>104</t>
    <phoneticPr fontId="6"/>
  </si>
  <si>
    <r>
      <t>;通信</t>
    </r>
    <r>
      <rPr>
        <sz val="11"/>
        <color theme="1"/>
        <rFont val="等线"/>
        <family val="3"/>
        <charset val="128"/>
        <scheme val="minor"/>
      </rPr>
      <t>ﾀｲﾏｱｳﾄ</t>
    </r>
    <r>
      <rPr>
        <sz val="11"/>
        <color theme="1"/>
        <rFont val="等线"/>
        <family val="2"/>
        <charset val="128"/>
        <scheme val="minor"/>
      </rPr>
      <t>時間Tms</t>
    </r>
    <rPh sb="1" eb="3">
      <t>ツウシン</t>
    </rPh>
    <rPh sb="9" eb="11">
      <t>ジカン</t>
    </rPh>
    <phoneticPr fontId="6"/>
  </si>
  <si>
    <t>2B</t>
    <phoneticPr fontId="6"/>
  </si>
  <si>
    <t>4B</t>
    <phoneticPr fontId="17" type="noConversion"/>
  </si>
  <si>
    <t>word</t>
    <phoneticPr fontId="6"/>
  </si>
  <si>
    <t>;</t>
    <phoneticPr fontId="6"/>
  </si>
  <si>
    <t>;FTP通信、ファイル書き込み時、タイムアウト時間(10~999,0の場合設定なし）</t>
    <rPh sb="35" eb="37">
      <t>バアイ</t>
    </rPh>
    <rPh sb="37" eb="39">
      <t>セッテイ</t>
    </rPh>
    <phoneticPr fontId="6"/>
  </si>
  <si>
    <t>;</t>
    <phoneticPr fontId="6"/>
  </si>
  <si>
    <t>;</t>
    <phoneticPr fontId="6"/>
  </si>
  <si>
    <t>11</t>
    <phoneticPr fontId="6"/>
  </si>
  <si>
    <t>12</t>
    <phoneticPr fontId="6"/>
  </si>
  <si>
    <t>11</t>
    <phoneticPr fontId="6"/>
  </si>
  <si>
    <t>12</t>
    <phoneticPr fontId="6"/>
  </si>
  <si>
    <t>09</t>
    <phoneticPr fontId="6"/>
  </si>
  <si>
    <t>09</t>
    <phoneticPr fontId="6"/>
  </si>
  <si>
    <t>;PA1-97</t>
  </si>
  <si>
    <t>×1000</t>
  </si>
  <si>
    <t>;PA1-58</t>
  </si>
  <si>
    <t>;PA1-94</t>
  </si>
  <si>
    <t>;PA1-27</t>
  </si>
  <si>
    <t>;PA1-28</t>
  </si>
  <si>
    <t>;段取ファイルを制御コード処理時、タイムアウト時間(10~999,0の場合設定なし）</t>
    <rPh sb="1" eb="2">
      <t>ア</t>
    </rPh>
    <phoneticPr fontId="6"/>
  </si>
  <si>
    <t>;伺服释放功能用户等级开放 大于设定值开放</t>
    <rPh sb="1" eb="2">
      <t>ア</t>
    </rPh>
    <phoneticPr fontId="6"/>
  </si>
  <si>
    <t>104</t>
  </si>
  <si>
    <t>D0</t>
    <phoneticPr fontId="6"/>
  </si>
  <si>
    <t>;カウンター</t>
    <phoneticPr fontId="6"/>
  </si>
  <si>
    <t>；</t>
    <phoneticPr fontId="6"/>
  </si>
  <si>
    <t>***</t>
  </si>
  <si>
    <t>***</t>
    <phoneticPr fontId="6"/>
  </si>
  <si>
    <t>***</t>
    <phoneticPr fontId="6"/>
  </si>
  <si>
    <t>***</t>
    <phoneticPr fontId="6"/>
  </si>
  <si>
    <t>;</t>
    <phoneticPr fontId="6"/>
  </si>
  <si>
    <t>byte</t>
    <phoneticPr fontId="6"/>
  </si>
  <si>
    <t>;HEX</t>
    <phoneticPr fontId="6"/>
  </si>
  <si>
    <t>D0</t>
    <phoneticPr fontId="6"/>
  </si>
  <si>
    <t>;jog功能启用，1启动，255未启用；四个挡位显示设置</t>
    <phoneticPr fontId="6"/>
  </si>
  <si>
    <t>;Bank1IO-I2</t>
    <phoneticPr fontId="6"/>
  </si>
  <si>
    <t>;Bank4IO-l1</t>
    <phoneticPr fontId="6"/>
  </si>
  <si>
    <t>;Bank4M-l2</t>
    <phoneticPr fontId="6"/>
  </si>
  <si>
    <t>C0</t>
    <phoneticPr fontId="6"/>
  </si>
  <si>
    <t>PenSet_5Yuil_Ver1.5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</si>
</sst>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_ "/>
    <numFmt numFmtId="177" formatCode="0.00_ "/>
  </numFmts>
  <fonts count="70">
    <font>
      <sz val="11"/>
      <color theme="1"/>
      <name val="等线"/>
      <family val="2"/>
      <charset val="128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6"/>
      <name val="等线"/>
      <family val="2"/>
      <charset val="128"/>
      <scheme val="minor"/>
    </font>
    <font>
      <sz val="6"/>
      <name val="ＭＳ Ｐゴシック"/>
      <family val="3"/>
      <charset val="128"/>
    </font>
    <font>
      <b/>
      <sz val="11"/>
      <color rgb="FFFF0000"/>
      <name val="等线"/>
      <family val="3"/>
      <charset val="128"/>
      <scheme val="minor"/>
    </font>
    <font>
      <sz val="11"/>
      <name val="等线"/>
      <family val="3"/>
      <charset val="128"/>
      <scheme val="minor"/>
    </font>
    <font>
      <sz val="11"/>
      <name val="等线"/>
      <family val="2"/>
      <charset val="128"/>
      <scheme val="minor"/>
    </font>
    <font>
      <sz val="11"/>
      <color theme="1"/>
      <name val="MS UI Gothic"/>
      <family val="3"/>
      <charset val="128"/>
    </font>
    <font>
      <sz val="11"/>
      <color theme="1"/>
      <name val="Microsoft JhengHei"/>
      <family val="3"/>
      <charset val="134"/>
    </font>
    <font>
      <sz val="11"/>
      <color theme="1"/>
      <name val="Microsoft YaHei"/>
      <family val="3"/>
      <charset val="134"/>
    </font>
    <font>
      <sz val="11"/>
      <color theme="1"/>
      <name val="Microsoft YaHei"/>
      <family val="2"/>
      <charset val="134"/>
    </font>
    <font>
      <sz val="11"/>
      <color theme="1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等线"/>
      <family val="3"/>
      <charset val="128"/>
      <scheme val="minor"/>
    </font>
    <font>
      <sz val="9"/>
      <color theme="1"/>
      <name val="等线"/>
      <family val="3"/>
      <charset val="128"/>
      <scheme val="minor"/>
    </font>
    <font>
      <sz val="9"/>
      <color theme="1"/>
      <name val="等线"/>
      <family val="2"/>
      <charset val="134"/>
      <scheme val="minor"/>
    </font>
    <font>
      <sz val="8"/>
      <color theme="1"/>
      <name val="等线"/>
      <family val="3"/>
      <charset val="128"/>
      <scheme val="minor"/>
    </font>
    <font>
      <sz val="11"/>
      <color theme="1"/>
      <name val="等线"/>
      <family val="2"/>
      <scheme val="minor"/>
    </font>
    <font>
      <sz val="11"/>
      <color theme="1"/>
      <name val="微软雅黑"/>
      <family val="2"/>
    </font>
    <font>
      <sz val="11"/>
      <color theme="1"/>
      <name val="ＭＳ Ｐゴシック"/>
      <family val="2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1"/>
      <color theme="1"/>
      <name val="Microsoft JhengHei"/>
      <family val="2"/>
      <charset val="136"/>
    </font>
    <font>
      <sz val="11"/>
      <color theme="1"/>
      <name val="Tahoma"/>
      <family val="3"/>
      <charset val="1"/>
    </font>
    <font>
      <sz val="9"/>
      <color theme="1"/>
      <name val="Microsoft JhengHei"/>
      <family val="3"/>
      <charset val="134"/>
    </font>
    <font>
      <sz val="10"/>
      <color theme="1"/>
      <name val="等线"/>
      <family val="3"/>
      <charset val="128"/>
      <scheme val="minor"/>
    </font>
    <font>
      <sz val="10.5"/>
      <color rgb="FF000000"/>
      <name val="Calibri"/>
      <family val="2"/>
    </font>
    <font>
      <sz val="11"/>
      <name val="Microsoft JhengHei"/>
      <family val="2"/>
      <charset val="136"/>
    </font>
    <font>
      <sz val="11"/>
      <color indexed="17"/>
      <name val="等线"/>
      <family val="3"/>
      <charset val="128"/>
      <scheme val="minor"/>
    </font>
    <font>
      <sz val="11"/>
      <color rgb="FF000000"/>
      <name val="Microsoft JhengHei"/>
      <family val="2"/>
      <charset val="134"/>
    </font>
    <font>
      <sz val="11"/>
      <color rgb="FF000000"/>
      <name val="游ゴシック"/>
      <family val="3"/>
      <charset val="128"/>
    </font>
    <font>
      <b/>
      <sz val="11"/>
      <color rgb="FFFF0000"/>
      <name val="游ゴシック"/>
      <family val="3"/>
      <charset val="128"/>
    </font>
    <font>
      <sz val="11"/>
      <name val="游ゴシック"/>
      <family val="3"/>
      <charset val="128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等线"/>
      <family val="3"/>
      <charset val="128"/>
      <scheme val="minor"/>
    </font>
    <font>
      <sz val="11"/>
      <color rgb="FF000000"/>
      <name val="等线"/>
      <family val="2"/>
      <charset val="136"/>
      <scheme val="minor"/>
    </font>
    <font>
      <sz val="11"/>
      <name val="Microsoft JhengHei"/>
      <family val="3"/>
      <charset val="134"/>
    </font>
    <font>
      <sz val="11"/>
      <color theme="1"/>
      <name val="Microsoft JhengHei"/>
      <family val="2"/>
      <charset val="134"/>
    </font>
    <font>
      <sz val="10"/>
      <name val="等线"/>
      <family val="3"/>
      <charset val="128"/>
      <scheme val="minor"/>
    </font>
    <font>
      <sz val="6"/>
      <name val="ＭＳ Ｐゴシック"/>
      <family val="2"/>
      <charset val="128"/>
    </font>
    <font>
      <sz val="11"/>
      <color theme="1"/>
      <name val="等线"/>
      <family val="3"/>
      <charset val="134"/>
      <scheme val="minor"/>
    </font>
    <font>
      <sz val="8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28"/>
      <scheme val="minor"/>
    </font>
    <font>
      <sz val="11"/>
      <color theme="1"/>
      <name val="等线"/>
      <family val="2"/>
      <charset val="128"/>
      <scheme val="minor"/>
    </font>
    <font>
      <sz val="12"/>
      <name val="宋体"/>
      <family val="3"/>
      <charset val="134"/>
    </font>
    <font>
      <sz val="11"/>
      <color indexed="17"/>
      <name val="ＭＳ Ｐゴシック"/>
      <family val="3"/>
      <charset val="128"/>
    </font>
    <font>
      <sz val="11"/>
      <name val="ＭＳ Ｐゴシック"/>
      <family val="2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i/>
      <sz val="11"/>
      <color indexed="23"/>
      <name val="ＭＳ Ｐゴシック"/>
      <family val="3"/>
      <charset val="128"/>
    </font>
    <font>
      <sz val="11"/>
      <color indexed="8"/>
      <name val="맑은 고딕"/>
      <family val="2"/>
      <charset val="129"/>
    </font>
    <font>
      <u/>
      <sz val="11"/>
      <color theme="10"/>
      <name val="等线"/>
      <family val="3"/>
      <charset val="128"/>
      <scheme val="minor"/>
    </font>
    <font>
      <sz val="11"/>
      <color theme="1"/>
      <name val="游ゴシック"/>
      <family val="3"/>
      <charset val="128"/>
    </font>
    <font>
      <sz val="8"/>
      <color theme="1"/>
      <name val="等线"/>
      <family val="2"/>
      <charset val="128"/>
      <scheme val="minor"/>
    </font>
    <font>
      <sz val="11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</font>
  </fonts>
  <fills count="2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A7E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3">
    <xf numFmtId="0" fontId="0" fillId="0" borderId="0">
      <alignment vertical="center"/>
    </xf>
    <xf numFmtId="0" fontId="23" fillId="0" borderId="0"/>
    <xf numFmtId="0" fontId="15" fillId="0" borderId="0">
      <alignment vertical="center"/>
    </xf>
    <xf numFmtId="0" fontId="4" fillId="0" borderId="0"/>
    <xf numFmtId="0" fontId="53" fillId="0" borderId="0"/>
    <xf numFmtId="0" fontId="27" fillId="0" borderId="0">
      <alignment vertical="center"/>
    </xf>
    <xf numFmtId="0" fontId="55" fillId="0" borderId="0">
      <alignment vertical="center"/>
    </xf>
    <xf numFmtId="0" fontId="52" fillId="0" borderId="0">
      <alignment vertical="center"/>
    </xf>
    <xf numFmtId="0" fontId="27" fillId="0" borderId="0"/>
    <xf numFmtId="0" fontId="56" fillId="7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6" fillId="25" borderId="33" applyNumberFormat="0" applyFon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53" fillId="0" borderId="0"/>
    <xf numFmtId="0" fontId="27" fillId="0" borderId="0"/>
    <xf numFmtId="0" fontId="27" fillId="0" borderId="0"/>
    <xf numFmtId="0" fontId="62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>
      <alignment vertical="center"/>
    </xf>
    <xf numFmtId="0" fontId="54" fillId="9" borderId="0" applyNumberFormat="0" applyBorder="0" applyAlignment="0" applyProtection="0">
      <alignment vertical="center"/>
    </xf>
    <xf numFmtId="0" fontId="63" fillId="0" borderId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</cellStyleXfs>
  <cellXfs count="2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>
      <alignment vertical="center"/>
    </xf>
    <xf numFmtId="0" fontId="0" fillId="2" borderId="0" xfId="0" quotePrefix="1" applyFill="1">
      <alignment vertical="center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Border="1" applyAlignment="1">
      <alignment horizontal="right" vertical="center"/>
    </xf>
    <xf numFmtId="0" fontId="8" fillId="3" borderId="0" xfId="0" applyFont="1" applyFill="1" applyBorder="1" applyAlignment="1">
      <alignment horizontal="left" vertical="center"/>
    </xf>
    <xf numFmtId="0" fontId="8" fillId="3" borderId="0" xfId="0" applyFont="1" applyFill="1">
      <alignment vertical="center"/>
    </xf>
    <xf numFmtId="0" fontId="0" fillId="0" borderId="0" xfId="0" applyFill="1" applyBorder="1" applyAlignment="1">
      <alignment horizontal="left" vertical="center"/>
    </xf>
    <xf numFmtId="0" fontId="8" fillId="0" borderId="0" xfId="0" applyFont="1" applyFill="1">
      <alignment vertical="center"/>
    </xf>
    <xf numFmtId="0" fontId="9" fillId="0" borderId="0" xfId="0" applyFont="1" applyFill="1">
      <alignment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0" fillId="3" borderId="0" xfId="0" applyFill="1" applyAlignment="1">
      <alignment horizontal="righ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3" fillId="0" borderId="7" xfId="0" applyFont="1" applyBorder="1">
      <alignment vertical="center"/>
    </xf>
    <xf numFmtId="49" fontId="15" fillId="0" borderId="1" xfId="0" applyNumberFormat="1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/>
    </xf>
    <xf numFmtId="0" fontId="16" fillId="0" borderId="0" xfId="0" applyFont="1" applyAlignment="1"/>
    <xf numFmtId="0" fontId="19" fillId="0" borderId="0" xfId="0" applyFont="1">
      <alignment vertical="center"/>
    </xf>
    <xf numFmtId="0" fontId="19" fillId="0" borderId="0" xfId="0" applyFont="1" applyAlignment="1"/>
    <xf numFmtId="0" fontId="19" fillId="3" borderId="0" xfId="0" applyFont="1" applyFill="1">
      <alignment vertical="center"/>
    </xf>
    <xf numFmtId="0" fontId="22" fillId="0" borderId="0" xfId="0" applyFont="1" applyAlignment="1">
      <alignment horizontal="left" vertical="center"/>
    </xf>
    <xf numFmtId="0" fontId="20" fillId="0" borderId="0" xfId="0" applyFont="1">
      <alignment vertical="center"/>
    </xf>
    <xf numFmtId="0" fontId="20" fillId="0" borderId="0" xfId="0" applyFont="1" applyAlignment="1">
      <alignment vertical="center" wrapText="1"/>
    </xf>
    <xf numFmtId="0" fontId="19" fillId="0" borderId="0" xfId="0" applyFont="1" applyFill="1">
      <alignment vertical="center"/>
    </xf>
    <xf numFmtId="0" fontId="19" fillId="0" borderId="1" xfId="0" applyFont="1" applyBorder="1" applyAlignment="1">
      <alignment horizontal="center" vertical="center"/>
    </xf>
    <xf numFmtId="0" fontId="20" fillId="4" borderId="9" xfId="1" applyFont="1" applyFill="1" applyBorder="1"/>
    <xf numFmtId="0" fontId="20" fillId="4" borderId="10" xfId="1" applyFont="1" applyFill="1" applyBorder="1"/>
    <xf numFmtId="0" fontId="20" fillId="4" borderId="1" xfId="1" applyFont="1" applyFill="1" applyBorder="1"/>
    <xf numFmtId="0" fontId="20" fillId="4" borderId="1" xfId="1" applyFont="1" applyFill="1" applyBorder="1" applyAlignment="1">
      <alignment horizontal="center" vertical="center"/>
    </xf>
    <xf numFmtId="0" fontId="11" fillId="0" borderId="0" xfId="0" applyFont="1" applyBorder="1">
      <alignment vertical="center"/>
    </xf>
    <xf numFmtId="0" fontId="11" fillId="0" borderId="7" xfId="0" applyFont="1" applyBorder="1">
      <alignment vertical="center"/>
    </xf>
    <xf numFmtId="0" fontId="9" fillId="0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9" fillId="0" borderId="0" xfId="0" applyFont="1" applyBorder="1" applyAlignment="1">
      <alignment horizontal="center" vertical="center"/>
    </xf>
    <xf numFmtId="49" fontId="16" fillId="0" borderId="9" xfId="0" applyNumberFormat="1" applyFont="1" applyFill="1" applyBorder="1" applyAlignment="1">
      <alignment horizontal="center"/>
    </xf>
    <xf numFmtId="49" fontId="24" fillId="0" borderId="9" xfId="0" applyNumberFormat="1" applyFont="1" applyFill="1" applyBorder="1" applyAlignment="1">
      <alignment horizontal="center"/>
    </xf>
    <xf numFmtId="49" fontId="24" fillId="0" borderId="0" xfId="0" applyNumberFormat="1" applyFont="1" applyFill="1" applyBorder="1" applyAlignment="1">
      <alignment horizontal="left"/>
    </xf>
    <xf numFmtId="0" fontId="26" fillId="3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3" borderId="0" xfId="0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49" fontId="26" fillId="0" borderId="1" xfId="0" applyNumberFormat="1" applyFont="1" applyFill="1" applyBorder="1" applyAlignment="1">
      <alignment horizontal="center" vertical="center"/>
    </xf>
    <xf numFmtId="0" fontId="26" fillId="0" borderId="8" xfId="0" applyFont="1" applyFill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49" fontId="26" fillId="0" borderId="1" xfId="0" applyNumberFormat="1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8" fillId="4" borderId="10" xfId="1" applyFont="1" applyFill="1" applyBorder="1" applyAlignment="1">
      <alignment horizontal="center"/>
    </xf>
    <xf numFmtId="0" fontId="28" fillId="4" borderId="1" xfId="1" applyFont="1" applyFill="1" applyBorder="1" applyAlignment="1">
      <alignment horizontal="center"/>
    </xf>
    <xf numFmtId="0" fontId="28" fillId="4" borderId="1" xfId="1" applyFont="1" applyFill="1" applyBorder="1" applyAlignment="1">
      <alignment horizontal="center" vertical="center"/>
    </xf>
    <xf numFmtId="49" fontId="26" fillId="0" borderId="0" xfId="0" applyNumberFormat="1" applyFont="1" applyFill="1" applyBorder="1" applyAlignment="1">
      <alignment horizontal="center" vertical="center"/>
    </xf>
    <xf numFmtId="49" fontId="14" fillId="0" borderId="0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18" fillId="4" borderId="1" xfId="0" applyFont="1" applyFill="1" applyBorder="1">
      <alignment vertical="center"/>
    </xf>
    <xf numFmtId="0" fontId="0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quotePrefix="1" applyFo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19" fillId="0" borderId="0" xfId="0" applyFont="1" applyFill="1" applyBorder="1">
      <alignment vertical="center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9" fillId="0" borderId="0" xfId="0" applyFont="1" applyFill="1" applyBorder="1">
      <alignment vertical="center"/>
    </xf>
    <xf numFmtId="0" fontId="35" fillId="0" borderId="0" xfId="0" applyFont="1" applyFill="1" applyBorder="1">
      <alignment vertical="center"/>
    </xf>
    <xf numFmtId="176" fontId="9" fillId="0" borderId="1" xfId="0" applyNumberFormat="1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37" fillId="0" borderId="0" xfId="0" applyFont="1" applyFill="1" applyBorder="1" applyAlignment="1">
      <alignment vertical="center" wrapText="1"/>
    </xf>
    <xf numFmtId="0" fontId="37" fillId="0" borderId="0" xfId="0" applyFont="1" applyFill="1" applyBorder="1" applyAlignment="1">
      <alignment vertical="center"/>
    </xf>
    <xf numFmtId="0" fontId="37" fillId="0" borderId="1" xfId="0" applyFont="1" applyFill="1" applyBorder="1" applyAlignment="1">
      <alignment vertical="center"/>
    </xf>
    <xf numFmtId="0" fontId="37" fillId="0" borderId="10" xfId="0" applyFont="1" applyFill="1" applyBorder="1" applyAlignment="1">
      <alignment vertical="center"/>
    </xf>
    <xf numFmtId="0" fontId="37" fillId="0" borderId="2" xfId="0" applyFont="1" applyFill="1" applyBorder="1" applyAlignment="1">
      <alignment vertical="center"/>
    </xf>
    <xf numFmtId="0" fontId="37" fillId="0" borderId="11" xfId="0" applyFont="1" applyFill="1" applyBorder="1" applyAlignment="1">
      <alignment vertical="center"/>
    </xf>
    <xf numFmtId="0" fontId="38" fillId="0" borderId="0" xfId="0" applyFont="1" applyFill="1" applyBorder="1" applyAlignment="1">
      <alignment vertical="center"/>
    </xf>
    <xf numFmtId="0" fontId="39" fillId="0" borderId="0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37" fillId="0" borderId="1" xfId="0" applyFont="1" applyFill="1" applyBorder="1" applyAlignment="1">
      <alignment vertical="center" wrapText="1"/>
    </xf>
    <xf numFmtId="0" fontId="37" fillId="0" borderId="10" xfId="0" applyFont="1" applyFill="1" applyBorder="1" applyAlignment="1">
      <alignment vertical="center" wrapText="1"/>
    </xf>
    <xf numFmtId="0" fontId="37" fillId="0" borderId="2" xfId="0" applyFont="1" applyFill="1" applyBorder="1" applyAlignment="1">
      <alignment vertical="center" wrapText="1"/>
    </xf>
    <xf numFmtId="0" fontId="37" fillId="0" borderId="11" xfId="0" applyFont="1" applyFill="1" applyBorder="1" applyAlignment="1">
      <alignment vertical="center" wrapText="1"/>
    </xf>
    <xf numFmtId="0" fontId="38" fillId="0" borderId="0" xfId="0" applyFont="1" applyFill="1" applyBorder="1" applyAlignment="1">
      <alignment vertical="center" wrapText="1"/>
    </xf>
    <xf numFmtId="0" fontId="39" fillId="0" borderId="0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40" fillId="0" borderId="0" xfId="0" applyFont="1" applyFill="1" applyBorder="1" applyAlignment="1">
      <alignment vertical="center"/>
    </xf>
    <xf numFmtId="0" fontId="39" fillId="0" borderId="0" xfId="0" applyFont="1">
      <alignment vertical="center"/>
    </xf>
    <xf numFmtId="0" fontId="9" fillId="0" borderId="0" xfId="0" applyFont="1">
      <alignment vertical="center"/>
    </xf>
    <xf numFmtId="0" fontId="42" fillId="0" borderId="0" xfId="0" applyFont="1">
      <alignment vertical="center"/>
    </xf>
    <xf numFmtId="0" fontId="37" fillId="0" borderId="0" xfId="0" applyFont="1">
      <alignment vertical="center"/>
    </xf>
    <xf numFmtId="0" fontId="19" fillId="0" borderId="0" xfId="0" applyFont="1" applyAlignment="1">
      <alignment horizontal="left" vertical="center"/>
    </xf>
    <xf numFmtId="0" fontId="0" fillId="0" borderId="0" xfId="0" applyFont="1" applyFill="1">
      <alignment vertical="center"/>
    </xf>
    <xf numFmtId="0" fontId="20" fillId="0" borderId="1" xfId="0" applyFont="1" applyBorder="1">
      <alignment vertical="center"/>
    </xf>
    <xf numFmtId="0" fontId="0" fillId="0" borderId="12" xfId="0" applyBorder="1">
      <alignment vertical="center"/>
    </xf>
    <xf numFmtId="0" fontId="20" fillId="4" borderId="2" xfId="1" applyFont="1" applyFill="1" applyBorder="1"/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45" fillId="0" borderId="9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0" fillId="0" borderId="10" xfId="0" applyBorder="1">
      <alignment vertical="center"/>
    </xf>
    <xf numFmtId="0" fontId="19" fillId="0" borderId="0" xfId="0" applyFont="1" applyBorder="1">
      <alignment vertical="center"/>
    </xf>
    <xf numFmtId="0" fontId="0" fillId="0" borderId="0" xfId="0" applyFill="1" applyBorder="1">
      <alignment vertical="center"/>
    </xf>
    <xf numFmtId="0" fontId="19" fillId="0" borderId="0" xfId="0" applyFont="1" applyBorder="1" applyAlignment="1">
      <alignment horizontal="left" vertical="center"/>
    </xf>
    <xf numFmtId="177" fontId="1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25" fillId="0" borderId="1" xfId="0" applyNumberFormat="1" applyFont="1" applyFill="1" applyBorder="1" applyAlignment="1">
      <alignment horizontal="center"/>
    </xf>
    <xf numFmtId="49" fontId="16" fillId="0" borderId="1" xfId="0" applyNumberFormat="1" applyFont="1" applyFill="1" applyBorder="1" applyAlignment="1">
      <alignment horizontal="center"/>
    </xf>
    <xf numFmtId="0" fontId="0" fillId="0" borderId="0" xfId="0" applyBorder="1">
      <alignment vertical="center"/>
    </xf>
    <xf numFmtId="49" fontId="25" fillId="0" borderId="1" xfId="0" applyNumberFormat="1" applyFont="1" applyFill="1" applyBorder="1" applyAlignment="1">
      <alignment horizontal="center" vertical="center"/>
    </xf>
    <xf numFmtId="0" fontId="46" fillId="4" borderId="1" xfId="0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horizontal="center" vertical="center"/>
    </xf>
    <xf numFmtId="0" fontId="0" fillId="0" borderId="0" xfId="0" applyAlignment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6" borderId="0" xfId="0" applyFill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18" xfId="0" applyFill="1" applyBorder="1">
      <alignment vertical="center"/>
    </xf>
    <xf numFmtId="0" fontId="0" fillId="0" borderId="28" xfId="0" applyBorder="1">
      <alignment vertical="center"/>
    </xf>
    <xf numFmtId="0" fontId="0" fillId="0" borderId="19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0" fontId="49" fillId="0" borderId="0" xfId="2" applyFont="1" applyAlignment="1">
      <alignment horizontal="right"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13" xfId="0" applyBorder="1">
      <alignment vertical="center"/>
    </xf>
    <xf numFmtId="0" fontId="0" fillId="0" borderId="8" xfId="0" applyBorder="1">
      <alignment vertical="center"/>
    </xf>
    <xf numFmtId="0" fontId="0" fillId="0" borderId="0" xfId="0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0" borderId="18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0" fontId="19" fillId="0" borderId="0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51" fillId="0" borderId="0" xfId="0" applyFont="1" applyFill="1">
      <alignment vertical="center"/>
    </xf>
    <xf numFmtId="0" fontId="65" fillId="0" borderId="0" xfId="0" applyFont="1" applyFill="1">
      <alignment vertical="center"/>
    </xf>
    <xf numFmtId="0" fontId="65" fillId="0" borderId="0" xfId="3" applyFont="1" applyFill="1" applyBorder="1"/>
    <xf numFmtId="0" fontId="65" fillId="0" borderId="0" xfId="0" applyFont="1">
      <alignment vertical="center"/>
    </xf>
    <xf numFmtId="0" fontId="37" fillId="0" borderId="18" xfId="3" applyFont="1" applyFill="1" applyBorder="1" applyAlignment="1">
      <alignment vertical="center"/>
    </xf>
    <xf numFmtId="0" fontId="37" fillId="0" borderId="20" xfId="3" applyFont="1" applyFill="1" applyBorder="1" applyAlignment="1">
      <alignment vertical="center"/>
    </xf>
    <xf numFmtId="0" fontId="37" fillId="0" borderId="22" xfId="3" applyFont="1" applyFill="1" applyBorder="1" applyAlignment="1">
      <alignment vertical="center"/>
    </xf>
    <xf numFmtId="0" fontId="65" fillId="3" borderId="0" xfId="0" applyFont="1" applyFill="1">
      <alignment vertical="center"/>
    </xf>
    <xf numFmtId="0" fontId="65" fillId="3" borderId="0" xfId="0" applyFont="1" applyFill="1" applyAlignment="1">
      <alignment horizontal="center" vertical="center"/>
    </xf>
    <xf numFmtId="0" fontId="66" fillId="0" borderId="0" xfId="0" applyFont="1">
      <alignment vertical="center"/>
    </xf>
    <xf numFmtId="0" fontId="67" fillId="4" borderId="1" xfId="0" applyFont="1" applyFill="1" applyBorder="1" applyAlignment="1">
      <alignment horizontal="center"/>
    </xf>
    <xf numFmtId="0" fontId="18" fillId="0" borderId="0" xfId="0" applyFont="1" applyFill="1" applyBorder="1">
      <alignment vertical="center"/>
    </xf>
    <xf numFmtId="0" fontId="68" fillId="4" borderId="1" xfId="0" applyFont="1" applyFill="1" applyBorder="1">
      <alignment vertical="center"/>
    </xf>
    <xf numFmtId="0" fontId="68" fillId="0" borderId="0" xfId="0" applyFont="1" applyFill="1" applyBorder="1">
      <alignment vertical="center"/>
    </xf>
    <xf numFmtId="49" fontId="0" fillId="0" borderId="0" xfId="0" applyNumberFormat="1" applyFill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right" vertical="center"/>
    </xf>
    <xf numFmtId="0" fontId="16" fillId="0" borderId="1" xfId="2" applyFont="1" applyFill="1" applyBorder="1" applyAlignment="1">
      <alignment horizontal="center" vertical="center"/>
    </xf>
    <xf numFmtId="0" fontId="0" fillId="26" borderId="1" xfId="0" applyFill="1" applyBorder="1" applyAlignment="1">
      <alignment horizontal="center"/>
    </xf>
    <xf numFmtId="0" fontId="26" fillId="0" borderId="0" xfId="0" applyFont="1" applyAlignment="1">
      <alignment horizontal="left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2" fillId="3" borderId="0" xfId="0" applyFont="1" applyFill="1">
      <alignment vertical="center"/>
    </xf>
    <xf numFmtId="0" fontId="0" fillId="0" borderId="17" xfId="0" applyFill="1" applyBorder="1">
      <alignment vertical="center"/>
    </xf>
    <xf numFmtId="0" fontId="0" fillId="0" borderId="19" xfId="0" applyFill="1" applyBorder="1">
      <alignment vertical="center"/>
    </xf>
    <xf numFmtId="0" fontId="0" fillId="0" borderId="21" xfId="0" applyFill="1" applyBorder="1">
      <alignment vertical="center"/>
    </xf>
    <xf numFmtId="0" fontId="0" fillId="0" borderId="20" xfId="0" applyFill="1" applyBorder="1">
      <alignment vertical="center"/>
    </xf>
    <xf numFmtId="0" fontId="0" fillId="0" borderId="15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22" xfId="0" applyFill="1" applyBorder="1">
      <alignment vertical="center"/>
    </xf>
    <xf numFmtId="0" fontId="0" fillId="0" borderId="32" xfId="0" applyFill="1" applyBorder="1">
      <alignment vertical="center"/>
    </xf>
    <xf numFmtId="0" fontId="0" fillId="0" borderId="31" xfId="0" applyFill="1" applyBorder="1">
      <alignment vertical="center"/>
    </xf>
    <xf numFmtId="0" fontId="0" fillId="0" borderId="17" xfId="0" applyFill="1" applyBorder="1" applyAlignment="1">
      <alignment horizontal="right" vertical="center"/>
    </xf>
    <xf numFmtId="0" fontId="0" fillId="0" borderId="15" xfId="0" applyFill="1" applyBorder="1" applyAlignment="1">
      <alignment horizontal="right" vertical="center"/>
    </xf>
    <xf numFmtId="0" fontId="0" fillId="0" borderId="18" xfId="0" applyFill="1" applyBorder="1" applyAlignment="1">
      <alignment horizontal="right" vertical="center"/>
    </xf>
    <xf numFmtId="0" fontId="0" fillId="0" borderId="19" xfId="0" applyFill="1" applyBorder="1" applyAlignment="1">
      <alignment horizontal="right" vertical="center"/>
    </xf>
    <xf numFmtId="0" fontId="0" fillId="0" borderId="14" xfId="0" applyFill="1" applyBorder="1" applyAlignment="1">
      <alignment horizontal="right" vertical="center"/>
    </xf>
    <xf numFmtId="0" fontId="0" fillId="0" borderId="22" xfId="0" applyFill="1" applyBorder="1" applyAlignment="1">
      <alignment horizontal="right" vertical="center"/>
    </xf>
    <xf numFmtId="0" fontId="0" fillId="0" borderId="9" xfId="0" applyFill="1" applyBorder="1">
      <alignment vertical="center"/>
    </xf>
    <xf numFmtId="0" fontId="0" fillId="0" borderId="20" xfId="0" applyFill="1" applyBorder="1" applyAlignment="1">
      <alignment horizontal="right" vertical="center"/>
    </xf>
    <xf numFmtId="0" fontId="0" fillId="0" borderId="21" xfId="0" applyFill="1" applyBorder="1" applyAlignment="1">
      <alignment horizontal="right" vertical="center"/>
    </xf>
    <xf numFmtId="0" fontId="20" fillId="0" borderId="1" xfId="1" applyFont="1" applyFill="1" applyBorder="1" applyAlignment="1">
      <alignment horizontal="center" vertical="center"/>
    </xf>
    <xf numFmtId="0" fontId="11" fillId="0" borderId="0" xfId="0" applyFont="1" applyFill="1" applyBorder="1">
      <alignment vertical="center"/>
    </xf>
    <xf numFmtId="0" fontId="18" fillId="4" borderId="1" xfId="1" applyFont="1" applyFill="1" applyBorder="1" applyAlignment="1">
      <alignment horizontal="center" vertical="top"/>
    </xf>
    <xf numFmtId="0" fontId="18" fillId="0" borderId="1" xfId="1" applyFont="1" applyFill="1" applyBorder="1" applyAlignment="1">
      <alignment horizontal="center" vertical="top"/>
    </xf>
  </cellXfs>
  <cellStyles count="63">
    <cellStyle name="20% - アクセント 1 2" xfId="9"/>
    <cellStyle name="20% - アクセント 2 2" xfId="10"/>
    <cellStyle name="20% - アクセント 3 2" xfId="11"/>
    <cellStyle name="20% - アクセント 4 2" xfId="12"/>
    <cellStyle name="20% - アクセント 5 2" xfId="13"/>
    <cellStyle name="20% - アクセント 6 2" xfId="14"/>
    <cellStyle name="20% - 强调文字颜色 1" xfId="15"/>
    <cellStyle name="20% - 强调文字颜色 2" xfId="16"/>
    <cellStyle name="20% - 强调文字颜色 3" xfId="17"/>
    <cellStyle name="20% - 强调文字颜色 4" xfId="18"/>
    <cellStyle name="20% - 强调文字颜色 5" xfId="19"/>
    <cellStyle name="20% - 强调文字颜色 6" xfId="20"/>
    <cellStyle name="40% - アクセント 1 2" xfId="21"/>
    <cellStyle name="40% - アクセント 2 2" xfId="22"/>
    <cellStyle name="40% - アクセント 3 2" xfId="23"/>
    <cellStyle name="40% - アクセント 4 2" xfId="24"/>
    <cellStyle name="40% - アクセント 5 2" xfId="25"/>
    <cellStyle name="40% - アクセント 6 2" xfId="26"/>
    <cellStyle name="40% - 强调文字颜色 1" xfId="27"/>
    <cellStyle name="40% - 强调文字颜色 2" xfId="28"/>
    <cellStyle name="40% - 强调文字颜色 3" xfId="29"/>
    <cellStyle name="40% - 强调文字颜色 4" xfId="30"/>
    <cellStyle name="40% - 强调文字颜色 5" xfId="31"/>
    <cellStyle name="40% - 强调文字颜色 6" xfId="32"/>
    <cellStyle name="60% - 强调文字颜色 1" xfId="33"/>
    <cellStyle name="60% - 强调文字颜色 2" xfId="34"/>
    <cellStyle name="60% - 强调文字颜色 3" xfId="35"/>
    <cellStyle name="60% - 强调文字颜色 4" xfId="36"/>
    <cellStyle name="60% - 强调文字颜色 5" xfId="37"/>
    <cellStyle name="60% - 强调文字颜色 6" xfId="38"/>
    <cellStyle name="ハイパーリンク 2" xfId="39"/>
    <cellStyle name="メモ 2" xfId="40"/>
    <cellStyle name="標準 10" xfId="8"/>
    <cellStyle name="標準 2" xfId="1"/>
    <cellStyle name="標準 2 2" xfId="53"/>
    <cellStyle name="標準 3" xfId="54"/>
    <cellStyle name="標準 4" xfId="3"/>
    <cellStyle name="差_1200画面SEQ" xfId="45"/>
    <cellStyle name="差_課題項目" xfId="46"/>
    <cellStyle name="常规" xfId="0" builtinId="0"/>
    <cellStyle name="常规 2" xfId="2"/>
    <cellStyle name="常规 2 2" xfId="4"/>
    <cellStyle name="常规 2 2 2" xfId="48"/>
    <cellStyle name="常规 2 3" xfId="47"/>
    <cellStyle name="常规 2 4" xfId="5"/>
    <cellStyle name="常规 3" xfId="6"/>
    <cellStyle name="常规 3 2" xfId="49"/>
    <cellStyle name="常规 4" xfId="7"/>
    <cellStyle name="常规 4 2" xfId="50"/>
    <cellStyle name="常规 5" xfId="51"/>
    <cellStyle name="好 2" xfId="42"/>
    <cellStyle name="好_1200画面SEQ" xfId="43"/>
    <cellStyle name="好_課題項目" xfId="44"/>
    <cellStyle name="解释性文本 2" xfId="41"/>
    <cellStyle name="良い 2" xfId="55"/>
    <cellStyle name="强调文字颜色 1" xfId="57"/>
    <cellStyle name="强调文字颜色 2" xfId="58"/>
    <cellStyle name="强调文字颜色 3" xfId="59"/>
    <cellStyle name="强调文字颜色 4" xfId="60"/>
    <cellStyle name="强调文字颜色 5" xfId="61"/>
    <cellStyle name="强调文字颜色 6" xfId="62"/>
    <cellStyle name="説明文 2" xfId="52"/>
    <cellStyle name="표준 3" xfId="5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683558</xdr:colOff>
      <xdr:row>56</xdr:row>
      <xdr:rowOff>0</xdr:rowOff>
    </xdr:from>
    <xdr:to>
      <xdr:col>13</xdr:col>
      <xdr:colOff>612580</xdr:colOff>
      <xdr:row>72</xdr:row>
      <xdr:rowOff>163207</xdr:rowOff>
    </xdr:to>
    <xdr:sp macro="" textlink="">
      <xdr:nvSpPr>
        <xdr:cNvPr id="15" name="テキスト ボックス 14">
          <a:extLst>
            <a:ext uri="{FF2B5EF4-FFF2-40B4-BE49-F238E27FC236}">
              <a16:creationId xmlns="" xmlns:a16="http://schemas.microsoft.com/office/drawing/2014/main" id="{9FAA4966-3CC1-43D0-8ABE-21B58BBDDD4B}"/>
            </a:ext>
          </a:extLst>
        </xdr:cNvPr>
        <xdr:cNvSpPr txBox="1"/>
      </xdr:nvSpPr>
      <xdr:spPr>
        <a:xfrm>
          <a:off x="6947646" y="6353735"/>
          <a:ext cx="2663258" cy="39283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bit3-0</a:t>
          </a:r>
          <a:r>
            <a:rPr kumimoji="1" lang="ja-JP" altLang="en-US" sz="1100"/>
            <a:t>　：　小数部桁数</a:t>
          </a:r>
          <a:endParaRPr kumimoji="1" lang="en-US" altLang="ja-JP" sz="1100"/>
        </a:p>
        <a:p>
          <a:r>
            <a:rPr kumimoji="1" lang="en-US" altLang="ja-JP" sz="1100"/>
            <a:t>bit7-4</a:t>
          </a:r>
          <a:r>
            <a:rPr kumimoji="1" lang="ja-JP" altLang="en-US" sz="1100"/>
            <a:t>　：　整数部桁数</a:t>
          </a:r>
          <a:endParaRPr kumimoji="1" lang="en-US" altLang="ja-JP" sz="1100"/>
        </a:p>
        <a:p>
          <a:r>
            <a:rPr kumimoji="1" lang="en-US" altLang="ja-JP" sz="1100"/>
            <a:t>bit15-8</a:t>
          </a:r>
          <a:r>
            <a:rPr kumimoji="1" lang="ja-JP" altLang="en-US" sz="1100"/>
            <a:t>　：　単位メッセージ</a:t>
          </a:r>
          <a:r>
            <a:rPr kumimoji="1" lang="en-US" altLang="ja-JP" sz="1100"/>
            <a:t>No</a:t>
          </a:r>
          <a:r>
            <a:rPr kumimoji="1" lang="ja-JP" altLang="en-US" sz="1100"/>
            <a:t>．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０：単位なし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１：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２：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３：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４：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５：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６：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７：回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８：個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９：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１０：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１１：</a:t>
          </a:r>
        </a:p>
        <a:p>
          <a:endParaRPr lang="ja-JP" altLang="ja-JP">
            <a:effectLst/>
          </a:endParaRPr>
        </a:p>
        <a:p>
          <a:endParaRPr kumimoji="1" lang="en-US" altLang="ja-JP" sz="1100"/>
        </a:p>
      </xdr:txBody>
    </xdr:sp>
    <xdr:clientData/>
  </xdr:twoCellAnchor>
  <xdr:twoCellAnchor>
    <xdr:from>
      <xdr:col>10</xdr:col>
      <xdr:colOff>0</xdr:colOff>
      <xdr:row>262</xdr:row>
      <xdr:rowOff>0</xdr:rowOff>
    </xdr:from>
    <xdr:to>
      <xdr:col>13</xdr:col>
      <xdr:colOff>612581</xdr:colOff>
      <xdr:row>284</xdr:row>
      <xdr:rowOff>163208</xdr:rowOff>
    </xdr:to>
    <xdr:sp macro="" textlink="">
      <xdr:nvSpPr>
        <xdr:cNvPr id="16" name="テキスト ボックス 15">
          <a:extLst>
            <a:ext uri="{FF2B5EF4-FFF2-40B4-BE49-F238E27FC236}">
              <a16:creationId xmlns="" xmlns:a16="http://schemas.microsoft.com/office/drawing/2014/main" id="{B4B3BD7A-F4C2-4F0E-83B4-06E27E6AC5DB}"/>
            </a:ext>
          </a:extLst>
        </xdr:cNvPr>
        <xdr:cNvSpPr txBox="1"/>
      </xdr:nvSpPr>
      <xdr:spPr>
        <a:xfrm>
          <a:off x="6947647" y="40240324"/>
          <a:ext cx="2663258" cy="39283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bit3-0</a:t>
          </a:r>
          <a:r>
            <a:rPr kumimoji="1" lang="ja-JP" altLang="en-US" sz="1100"/>
            <a:t>　：　小数部桁数</a:t>
          </a:r>
          <a:endParaRPr kumimoji="1" lang="en-US" altLang="ja-JP" sz="1100"/>
        </a:p>
        <a:p>
          <a:r>
            <a:rPr kumimoji="1" lang="en-US" altLang="ja-JP" sz="1100"/>
            <a:t>bit7-4</a:t>
          </a:r>
          <a:r>
            <a:rPr kumimoji="1" lang="ja-JP" altLang="en-US" sz="1100"/>
            <a:t>　：　整数部桁数</a:t>
          </a:r>
          <a:endParaRPr kumimoji="1" lang="en-US" altLang="ja-JP" sz="1100"/>
        </a:p>
        <a:p>
          <a:r>
            <a:rPr kumimoji="1" lang="en-US" altLang="ja-JP" sz="1100"/>
            <a:t>bit15-8</a:t>
          </a:r>
          <a:r>
            <a:rPr kumimoji="1" lang="ja-JP" altLang="en-US" sz="1100"/>
            <a:t>　：　単位メッセージ</a:t>
          </a:r>
          <a:r>
            <a:rPr kumimoji="1" lang="en-US" altLang="ja-JP" sz="1100"/>
            <a:t>No</a:t>
          </a:r>
          <a:r>
            <a:rPr kumimoji="1" lang="ja-JP" altLang="en-US" sz="1100"/>
            <a:t>．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０：単位なし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１：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２：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３：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４：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５：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６：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７：回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８：個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９：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１０：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１１：</a:t>
          </a:r>
        </a:p>
        <a:p>
          <a:endParaRPr lang="ja-JP" altLang="ja-JP">
            <a:effectLst/>
          </a:endParaRPr>
        </a:p>
        <a:p>
          <a:endParaRPr kumimoji="1" lang="en-US" altLang="ja-JP" sz="1100"/>
        </a:p>
      </xdr:txBody>
    </xdr:sp>
    <xdr:clientData/>
  </xdr:twoCellAnchor>
  <xdr:twoCellAnchor>
    <xdr:from>
      <xdr:col>10</xdr:col>
      <xdr:colOff>0</xdr:colOff>
      <xdr:row>289</xdr:row>
      <xdr:rowOff>0</xdr:rowOff>
    </xdr:from>
    <xdr:to>
      <xdr:col>13</xdr:col>
      <xdr:colOff>612581</xdr:colOff>
      <xdr:row>306</xdr:row>
      <xdr:rowOff>163208</xdr:rowOff>
    </xdr:to>
    <xdr:sp macro="" textlink="">
      <xdr:nvSpPr>
        <xdr:cNvPr id="17" name="テキスト ボックス 16">
          <a:extLst>
            <a:ext uri="{FF2B5EF4-FFF2-40B4-BE49-F238E27FC236}">
              <a16:creationId xmlns="" xmlns:a16="http://schemas.microsoft.com/office/drawing/2014/main" id="{A7E50C55-A8B7-4774-92DE-0F97245A33DE}"/>
            </a:ext>
          </a:extLst>
        </xdr:cNvPr>
        <xdr:cNvSpPr txBox="1"/>
      </xdr:nvSpPr>
      <xdr:spPr>
        <a:xfrm>
          <a:off x="6947647" y="45182118"/>
          <a:ext cx="2663258" cy="39283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bit3-0</a:t>
          </a:r>
          <a:r>
            <a:rPr kumimoji="1" lang="ja-JP" altLang="en-US" sz="1100"/>
            <a:t>　：　小数部桁数</a:t>
          </a:r>
          <a:endParaRPr kumimoji="1" lang="en-US" altLang="ja-JP" sz="1100"/>
        </a:p>
        <a:p>
          <a:r>
            <a:rPr kumimoji="1" lang="en-US" altLang="ja-JP" sz="1100"/>
            <a:t>bit7-4</a:t>
          </a:r>
          <a:r>
            <a:rPr kumimoji="1" lang="ja-JP" altLang="en-US" sz="1100"/>
            <a:t>　：　整数部桁数</a:t>
          </a:r>
          <a:endParaRPr kumimoji="1" lang="en-US" altLang="ja-JP" sz="1100"/>
        </a:p>
        <a:p>
          <a:r>
            <a:rPr kumimoji="1" lang="en-US" altLang="ja-JP" sz="1100"/>
            <a:t>bit15-8</a:t>
          </a:r>
          <a:r>
            <a:rPr kumimoji="1" lang="ja-JP" altLang="en-US" sz="1100"/>
            <a:t>　：　単位メッセージ</a:t>
          </a:r>
          <a:r>
            <a:rPr kumimoji="1" lang="en-US" altLang="ja-JP" sz="1100"/>
            <a:t>No</a:t>
          </a:r>
          <a:r>
            <a:rPr kumimoji="1" lang="ja-JP" altLang="en-US" sz="1100"/>
            <a:t>．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０：単位なし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１：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２：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３：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４：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５：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６：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７：回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８：個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９：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１０：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１１：</a:t>
          </a:r>
        </a:p>
        <a:p>
          <a:endParaRPr lang="ja-JP" altLang="ja-JP">
            <a:effectLst/>
          </a:endParaRPr>
        </a:p>
        <a:p>
          <a:endParaRPr kumimoji="1" lang="en-US" altLang="ja-JP" sz="1100"/>
        </a:p>
      </xdr:txBody>
    </xdr:sp>
    <xdr:clientData/>
  </xdr:twoCellAnchor>
  <xdr:twoCellAnchor>
    <xdr:from>
      <xdr:col>12</xdr:col>
      <xdr:colOff>6723</xdr:colOff>
      <xdr:row>327</xdr:row>
      <xdr:rowOff>233645</xdr:rowOff>
    </xdr:from>
    <xdr:to>
      <xdr:col>15</xdr:col>
      <xdr:colOff>347382</xdr:colOff>
      <xdr:row>341</xdr:row>
      <xdr:rowOff>141196</xdr:rowOff>
    </xdr:to>
    <xdr:sp macro="" textlink="">
      <xdr:nvSpPr>
        <xdr:cNvPr id="5" name="テキスト ボックス 4">
          <a:extLst>
            <a:ext uri="{FF2B5EF4-FFF2-40B4-BE49-F238E27FC236}">
              <a16:creationId xmlns="" xmlns:a16="http://schemas.microsoft.com/office/drawing/2014/main" id="{942908F8-58F0-4CD4-9AF2-5190CDD2C04F}"/>
            </a:ext>
          </a:extLst>
        </xdr:cNvPr>
        <xdr:cNvSpPr txBox="1"/>
      </xdr:nvSpPr>
      <xdr:spPr>
        <a:xfrm>
          <a:off x="8321488" y="53181439"/>
          <a:ext cx="2391335" cy="32020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bit3-0</a:t>
          </a:r>
          <a:r>
            <a:rPr kumimoji="1" lang="ja-JP" altLang="en-US" sz="1100"/>
            <a:t>　：　小数部桁数</a:t>
          </a:r>
          <a:endParaRPr kumimoji="1" lang="en-US" altLang="ja-JP" sz="1100"/>
        </a:p>
        <a:p>
          <a:r>
            <a:rPr kumimoji="1" lang="en-US" altLang="ja-JP" sz="1100"/>
            <a:t>bit7-4</a:t>
          </a:r>
          <a:r>
            <a:rPr kumimoji="1" lang="ja-JP" altLang="en-US" sz="1100"/>
            <a:t>　：　整数部桁数</a:t>
          </a:r>
          <a:endParaRPr kumimoji="1" lang="en-US" altLang="ja-JP" sz="1100"/>
        </a:p>
        <a:p>
          <a:r>
            <a:rPr kumimoji="1" lang="en-US" altLang="ja-JP" sz="1100"/>
            <a:t>bit15-8</a:t>
          </a:r>
          <a:r>
            <a:rPr kumimoji="1" lang="ja-JP" altLang="en-US" sz="1100"/>
            <a:t>　：　単位メッセージ</a:t>
          </a:r>
          <a:r>
            <a:rPr kumimoji="1" lang="en-US" altLang="ja-JP" sz="1100"/>
            <a:t>No</a:t>
          </a:r>
          <a:r>
            <a:rPr kumimoji="1" lang="ja-JP" altLang="en-US" sz="1100"/>
            <a:t>．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０：単位なし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１：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２：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３：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４：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５：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６：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７：回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８：個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９：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endParaRPr lang="ja-JP" altLang="ja-JP">
            <a:effectLst/>
          </a:endParaRPr>
        </a:p>
        <a:p>
          <a:endParaRPr kumimoji="1" lang="en-US" altLang="ja-JP" sz="1100"/>
        </a:p>
      </xdr:txBody>
    </xdr:sp>
    <xdr:clientData/>
  </xdr:twoCellAnchor>
  <xdr:twoCellAnchor>
    <xdr:from>
      <xdr:col>11</xdr:col>
      <xdr:colOff>627530</xdr:colOff>
      <xdr:row>343</xdr:row>
      <xdr:rowOff>224117</xdr:rowOff>
    </xdr:from>
    <xdr:to>
      <xdr:col>15</xdr:col>
      <xdr:colOff>284630</xdr:colOff>
      <xdr:row>357</xdr:row>
      <xdr:rowOff>131668</xdr:rowOff>
    </xdr:to>
    <xdr:sp macro="" textlink="">
      <xdr:nvSpPr>
        <xdr:cNvPr id="6" name="テキスト ボックス 5">
          <a:extLst>
            <a:ext uri="{FF2B5EF4-FFF2-40B4-BE49-F238E27FC236}">
              <a16:creationId xmlns="" xmlns:a16="http://schemas.microsoft.com/office/drawing/2014/main" id="{1C2A7B6B-26AF-409A-B86C-30D4D1021258}"/>
            </a:ext>
          </a:extLst>
        </xdr:cNvPr>
        <xdr:cNvSpPr txBox="1"/>
      </xdr:nvSpPr>
      <xdr:spPr>
        <a:xfrm>
          <a:off x="8258736" y="72233117"/>
          <a:ext cx="2391335" cy="3202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bit3-0</a:t>
          </a:r>
          <a:r>
            <a:rPr kumimoji="1" lang="ja-JP" altLang="en-US" sz="1100"/>
            <a:t>　：　小数部桁数</a:t>
          </a:r>
          <a:endParaRPr kumimoji="1" lang="en-US" altLang="ja-JP" sz="1100"/>
        </a:p>
        <a:p>
          <a:r>
            <a:rPr kumimoji="1" lang="en-US" altLang="ja-JP" sz="1100"/>
            <a:t>bit7-4</a:t>
          </a:r>
          <a:r>
            <a:rPr kumimoji="1" lang="ja-JP" altLang="en-US" sz="1100"/>
            <a:t>　：　整数部桁数</a:t>
          </a:r>
          <a:endParaRPr kumimoji="1" lang="en-US" altLang="ja-JP" sz="1100"/>
        </a:p>
        <a:p>
          <a:r>
            <a:rPr kumimoji="1" lang="en-US" altLang="ja-JP" sz="1100"/>
            <a:t>bit15-8</a:t>
          </a:r>
          <a:r>
            <a:rPr kumimoji="1" lang="ja-JP" altLang="en-US" sz="1100"/>
            <a:t>　：　単位メッセージ</a:t>
          </a:r>
          <a:r>
            <a:rPr kumimoji="1" lang="en-US" altLang="ja-JP" sz="1100"/>
            <a:t>No</a:t>
          </a:r>
          <a:r>
            <a:rPr kumimoji="1" lang="ja-JP" altLang="en-US" sz="1100"/>
            <a:t>．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０：単位なし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１：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２：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３：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４：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５：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６：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７：回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８：個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９：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endParaRPr lang="ja-JP" altLang="ja-JP">
            <a:effectLst/>
          </a:endParaRPr>
        </a:p>
        <a:p>
          <a:endParaRPr kumimoji="1" lang="en-US" altLang="ja-JP" sz="1100"/>
        </a:p>
      </xdr:txBody>
    </xdr:sp>
    <xdr:clientData/>
  </xdr:twoCellAnchor>
  <xdr:twoCellAnchor>
    <xdr:from>
      <xdr:col>8</xdr:col>
      <xdr:colOff>661146</xdr:colOff>
      <xdr:row>992</xdr:row>
      <xdr:rowOff>89649</xdr:rowOff>
    </xdr:from>
    <xdr:to>
      <xdr:col>12</xdr:col>
      <xdr:colOff>318245</xdr:colOff>
      <xdr:row>1005</xdr:row>
      <xdr:rowOff>0</xdr:rowOff>
    </xdr:to>
    <xdr:sp macro="" textlink="">
      <xdr:nvSpPr>
        <xdr:cNvPr id="7" name="テキスト ボックス 6">
          <a:extLst>
            <a:ext uri="{FF2B5EF4-FFF2-40B4-BE49-F238E27FC236}">
              <a16:creationId xmlns="" xmlns:a16="http://schemas.microsoft.com/office/drawing/2014/main" id="{8F047FC3-0953-479C-97A2-693EED8DCD1E}"/>
            </a:ext>
          </a:extLst>
        </xdr:cNvPr>
        <xdr:cNvSpPr txBox="1"/>
      </xdr:nvSpPr>
      <xdr:spPr>
        <a:xfrm>
          <a:off x="6241675" y="102926031"/>
          <a:ext cx="2391335" cy="34402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bit3-0</a:t>
          </a:r>
          <a:r>
            <a:rPr kumimoji="1" lang="ja-JP" altLang="en-US" sz="1100"/>
            <a:t>　：　小数部桁数</a:t>
          </a:r>
          <a:endParaRPr kumimoji="1" lang="en-US" altLang="ja-JP" sz="1100"/>
        </a:p>
        <a:p>
          <a:r>
            <a:rPr kumimoji="1" lang="en-US" altLang="ja-JP" sz="1100"/>
            <a:t>bit7-4</a:t>
          </a:r>
          <a:r>
            <a:rPr kumimoji="1" lang="ja-JP" altLang="en-US" sz="1100"/>
            <a:t>　：　整数部桁数</a:t>
          </a:r>
          <a:endParaRPr kumimoji="1" lang="en-US" altLang="ja-JP" sz="1100"/>
        </a:p>
        <a:p>
          <a:r>
            <a:rPr kumimoji="1" lang="en-US" altLang="ja-JP" sz="1100"/>
            <a:t>bit15-8</a:t>
          </a:r>
          <a:r>
            <a:rPr kumimoji="1" lang="ja-JP" altLang="en-US" sz="1100"/>
            <a:t>　：　単位メッセージ</a:t>
          </a:r>
          <a:r>
            <a:rPr kumimoji="1" lang="en-US" altLang="ja-JP" sz="1100"/>
            <a:t>No</a:t>
          </a:r>
          <a:r>
            <a:rPr kumimoji="1" lang="ja-JP" altLang="en-US" sz="1100"/>
            <a:t>．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０：単位なし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１：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２：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３：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４：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５：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６：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７：回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８：個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９：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endParaRPr lang="ja-JP" altLang="ja-JP">
            <a:effectLst/>
          </a:endParaRPr>
        </a:p>
        <a:p>
          <a:endParaRPr kumimoji="1" lang="en-US" altLang="ja-JP" sz="1100"/>
        </a:p>
      </xdr:txBody>
    </xdr:sp>
    <xdr:clientData/>
  </xdr:twoCellAnchor>
  <xdr:twoCellAnchor>
    <xdr:from>
      <xdr:col>9</xdr:col>
      <xdr:colOff>268941</xdr:colOff>
      <xdr:row>2113</xdr:row>
      <xdr:rowOff>67236</xdr:rowOff>
    </xdr:from>
    <xdr:to>
      <xdr:col>12</xdr:col>
      <xdr:colOff>609599</xdr:colOff>
      <xdr:row>2129</xdr:row>
      <xdr:rowOff>200026</xdr:rowOff>
    </xdr:to>
    <xdr:sp macro="" textlink="">
      <xdr:nvSpPr>
        <xdr:cNvPr id="8" name="テキスト ボックス 7">
          <a:extLst>
            <a:ext uri="{FF2B5EF4-FFF2-40B4-BE49-F238E27FC236}">
              <a16:creationId xmlns="" xmlns:a16="http://schemas.microsoft.com/office/drawing/2014/main" id="{46082F8D-2CF6-4A39-9B74-B067FD91FA34}"/>
            </a:ext>
          </a:extLst>
        </xdr:cNvPr>
        <xdr:cNvSpPr txBox="1"/>
      </xdr:nvSpPr>
      <xdr:spPr>
        <a:xfrm>
          <a:off x="6612591" y="497748486"/>
          <a:ext cx="2398058" cy="39427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bit3-0</a:t>
          </a:r>
          <a:r>
            <a:rPr kumimoji="1" lang="ja-JP" altLang="en-US" sz="1100"/>
            <a:t>　：　小数部桁数</a:t>
          </a:r>
          <a:endParaRPr kumimoji="1" lang="en-US" altLang="ja-JP" sz="1100"/>
        </a:p>
        <a:p>
          <a:r>
            <a:rPr kumimoji="1" lang="en-US" altLang="ja-JP" sz="1100"/>
            <a:t>bit7-4</a:t>
          </a:r>
          <a:r>
            <a:rPr kumimoji="1" lang="ja-JP" altLang="en-US" sz="1100"/>
            <a:t>　：　整数部桁数</a:t>
          </a:r>
          <a:endParaRPr kumimoji="1" lang="en-US" altLang="ja-JP" sz="1100"/>
        </a:p>
        <a:p>
          <a:r>
            <a:rPr kumimoji="1" lang="en-US" altLang="ja-JP" sz="1100"/>
            <a:t>bit15-8</a:t>
          </a:r>
          <a:r>
            <a:rPr kumimoji="1" lang="ja-JP" altLang="en-US" sz="1100"/>
            <a:t>　：　単位メッセージ</a:t>
          </a:r>
          <a:r>
            <a:rPr kumimoji="1" lang="en-US" altLang="ja-JP" sz="1100"/>
            <a:t>No</a:t>
          </a:r>
          <a:r>
            <a:rPr kumimoji="1" lang="ja-JP" altLang="en-US" sz="1100"/>
            <a:t>．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０：単位なし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１：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２：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３：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４：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５：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６：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７：回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８：個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９：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endParaRPr lang="ja-JP" altLang="ja-JP">
            <a:effectLst/>
          </a:endParaRPr>
        </a:p>
        <a:p>
          <a:endParaRPr kumimoji="1" lang="en-US" altLang="ja-JP" sz="1100"/>
        </a:p>
      </xdr:txBody>
    </xdr:sp>
    <xdr:clientData/>
  </xdr:twoCellAnchor>
  <xdr:twoCellAnchor>
    <xdr:from>
      <xdr:col>18</xdr:col>
      <xdr:colOff>2802</xdr:colOff>
      <xdr:row>1222</xdr:row>
      <xdr:rowOff>6162</xdr:rowOff>
    </xdr:from>
    <xdr:to>
      <xdr:col>21</xdr:col>
      <xdr:colOff>587909</xdr:colOff>
      <xdr:row>1235</xdr:row>
      <xdr:rowOff>196663</xdr:rowOff>
    </xdr:to>
    <xdr:sp macro="" textlink="">
      <xdr:nvSpPr>
        <xdr:cNvPr id="9" name="テキスト ボックス 4">
          <a:extLst>
            <a:ext uri="{FF2B5EF4-FFF2-40B4-BE49-F238E27FC236}">
              <a16:creationId xmlns="" xmlns:a16="http://schemas.microsoft.com/office/drawing/2014/main" id="{17553FB1-5F65-406D-B8F4-B96E68CC7EF0}"/>
            </a:ext>
          </a:extLst>
        </xdr:cNvPr>
        <xdr:cNvSpPr txBox="1"/>
      </xdr:nvSpPr>
      <xdr:spPr>
        <a:xfrm>
          <a:off x="12518652" y="285518037"/>
          <a:ext cx="2642507" cy="32861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/>
            <a:t>bit7-0</a:t>
          </a:r>
          <a:r>
            <a:rPr kumimoji="1" lang="ja-JP" altLang="en-US" sz="1050"/>
            <a:t>　：</a:t>
          </a:r>
          <a:r>
            <a:rPr kumimoji="1" lang="zh-CN" altLang="en-US" sz="1050"/>
            <a:t>说明</a:t>
          </a:r>
          <a:endParaRPr kumimoji="1" lang="en-US" altLang="zh-CN" sz="1050"/>
        </a:p>
        <a:p>
          <a:pPr algn="l"/>
          <a:r>
            <a:rPr kumimoji="1" lang="ja-JP" altLang="ja-JP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０：</a:t>
          </a:r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轴</a:t>
          </a:r>
          <a:r>
            <a:rPr kumimoji="1" lang="en-US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  <a:endParaRPr lang="ja-JP" altLang="ja-JP" sz="1050">
            <a:effectLst/>
          </a:endParaRPr>
        </a:p>
        <a:p>
          <a:pPr algn="l"/>
          <a:r>
            <a:rPr kumimoji="1" lang="ja-JP" altLang="ja-JP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１：</a:t>
          </a:r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轴</a:t>
          </a:r>
          <a:r>
            <a:rPr kumimoji="1" lang="en-US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  <a:endParaRPr lang="ja-JP" altLang="ja-JP" sz="1050">
            <a:effectLst/>
          </a:endParaRPr>
        </a:p>
        <a:p>
          <a:pPr algn="l"/>
          <a:r>
            <a:rPr kumimoji="1" lang="ja-JP" altLang="ja-JP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２：</a:t>
          </a:r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轴</a:t>
          </a:r>
          <a:r>
            <a:rPr kumimoji="1" lang="en-US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endParaRPr lang="ja-JP" altLang="ja-JP" sz="1050">
            <a:effectLst/>
          </a:endParaRPr>
        </a:p>
        <a:p>
          <a:pPr algn="l"/>
          <a:r>
            <a:rPr kumimoji="1" lang="ja-JP" altLang="ja-JP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３：</a:t>
          </a:r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轴</a:t>
          </a:r>
          <a:r>
            <a:rPr kumimoji="1" lang="en-US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endParaRPr lang="ja-JP" altLang="ja-JP" sz="1050">
            <a:effectLst/>
          </a:endParaRPr>
        </a:p>
        <a:p>
          <a:pPr algn="l"/>
          <a:r>
            <a:rPr kumimoji="1" lang="ja-JP" altLang="ja-JP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４：</a:t>
          </a:r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轴</a:t>
          </a:r>
          <a:r>
            <a:rPr kumimoji="1" lang="en-US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endParaRPr lang="ja-JP" altLang="ja-JP" sz="1050">
            <a:effectLst/>
          </a:endParaRPr>
        </a:p>
        <a:p>
          <a:pPr algn="l"/>
          <a:r>
            <a:rPr kumimoji="1" lang="ja-JP" altLang="ja-JP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５：</a:t>
          </a:r>
          <a:r>
            <a:rPr kumimoji="1" lang="zh-CN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轴</a:t>
          </a:r>
          <a:r>
            <a:rPr kumimoji="1" lang="en-US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endParaRPr lang="ja-JP" altLang="ja-JP" sz="1050">
            <a:effectLst/>
          </a:endParaRPr>
        </a:p>
        <a:p>
          <a:pPr algn="l"/>
          <a:r>
            <a:rPr kumimoji="1" lang="ja-JP" altLang="ja-JP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６：</a:t>
          </a:r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轴</a:t>
          </a:r>
          <a:r>
            <a:rPr kumimoji="1" lang="en-US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endParaRPr lang="ja-JP" altLang="ja-JP" sz="1050">
            <a:effectLst/>
          </a:endParaRPr>
        </a:p>
        <a:p>
          <a:pPr algn="l"/>
          <a:r>
            <a:rPr kumimoji="1" lang="ja-JP" altLang="ja-JP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７：</a:t>
          </a:r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轴</a:t>
          </a:r>
          <a:r>
            <a:rPr kumimoji="1" lang="en-US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  <a:p>
          <a:pPr algn="l"/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如：</a:t>
          </a:r>
          <a:r>
            <a:rPr kumimoji="1" lang="en-US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表示</a:t>
          </a:r>
          <a:r>
            <a:rPr kumimoji="1" lang="en-US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0101 0000</a:t>
          </a:r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endParaRPr kumimoji="1" lang="en-US" altLang="zh-CN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模式</a:t>
          </a:r>
          <a:r>
            <a:rPr kumimoji="1" lang="en-US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</a:t>
          </a:r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时：表示轴</a:t>
          </a:r>
          <a:r>
            <a:rPr kumimoji="1" lang="en-US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、轴</a:t>
          </a:r>
          <a:r>
            <a:rPr kumimoji="1" lang="en-US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可以被设定，</a:t>
          </a:r>
          <a:endParaRPr kumimoji="1" lang="en-US" altLang="zh-CN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模式</a:t>
          </a:r>
          <a:r>
            <a:rPr kumimoji="1" lang="en-US" altLang="zh-CN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OFF</a:t>
          </a:r>
          <a:r>
            <a:rPr kumimoji="1" lang="zh-CN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时：</a:t>
          </a:r>
          <a:r>
            <a:rPr kumimoji="1" lang="zh-C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表示轴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zh-C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、轴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kumimoji="1"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不</a:t>
          </a:r>
          <a:r>
            <a:rPr kumimoji="1" lang="zh-C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可以被设定</a:t>
          </a:r>
          <a:endParaRPr kumimoji="1"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zh-C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轴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zh-C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，轴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kumimoji="1" lang="zh-C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，轴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kumimoji="1" lang="zh-C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，轴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kumimoji="1" lang="zh-C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，轴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kumimoji="1" lang="zh-C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，轴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kumimoji="1" lang="zh-C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是跟模式没关系</a:t>
          </a:r>
          <a:endParaRPr lang="ja-JP" altLang="ja-JP" sz="1050">
            <a:effectLst/>
          </a:endParaRPr>
        </a:p>
        <a:p>
          <a:pPr algn="l"/>
          <a:endParaRPr kumimoji="1" lang="en-US" altLang="zh-CN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358588</xdr:colOff>
      <xdr:row>2896</xdr:row>
      <xdr:rowOff>22412</xdr:rowOff>
    </xdr:from>
    <xdr:to>
      <xdr:col>18</xdr:col>
      <xdr:colOff>15688</xdr:colOff>
      <xdr:row>2909</xdr:row>
      <xdr:rowOff>228601</xdr:rowOff>
    </xdr:to>
    <xdr:sp macro="" textlink="">
      <xdr:nvSpPr>
        <xdr:cNvPr id="10" name="テキスト ボックス 9">
          <a:extLst>
            <a:ext uri="{FF2B5EF4-FFF2-40B4-BE49-F238E27FC236}">
              <a16:creationId xmlns="" xmlns:a16="http://schemas.microsoft.com/office/drawing/2014/main" id="{A2DAC88D-8850-4FA8-AFA4-7BDE13D3102A}"/>
            </a:ext>
          </a:extLst>
        </xdr:cNvPr>
        <xdr:cNvSpPr txBox="1"/>
      </xdr:nvSpPr>
      <xdr:spPr>
        <a:xfrm>
          <a:off x="10131238" y="520801787"/>
          <a:ext cx="2400300" cy="33018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bit3-0</a:t>
          </a:r>
          <a:r>
            <a:rPr kumimoji="1" lang="ja-JP" altLang="en-US" sz="1100"/>
            <a:t>　：　小数部桁数</a:t>
          </a:r>
          <a:endParaRPr kumimoji="1" lang="en-US" altLang="ja-JP" sz="1100"/>
        </a:p>
        <a:p>
          <a:r>
            <a:rPr kumimoji="1" lang="en-US" altLang="ja-JP" sz="1100"/>
            <a:t>bit7-4</a:t>
          </a:r>
          <a:r>
            <a:rPr kumimoji="1" lang="ja-JP" altLang="en-US" sz="1100"/>
            <a:t>　：　整数部桁数</a:t>
          </a:r>
          <a:endParaRPr kumimoji="1" lang="en-US" altLang="ja-JP" sz="1100"/>
        </a:p>
        <a:p>
          <a:r>
            <a:rPr kumimoji="1" lang="en-US" altLang="ja-JP" sz="1100"/>
            <a:t>bit15-8</a:t>
          </a:r>
          <a:r>
            <a:rPr kumimoji="1" lang="ja-JP" altLang="en-US" sz="1100"/>
            <a:t>　：　単位メッセージ</a:t>
          </a:r>
          <a:r>
            <a:rPr kumimoji="1" lang="en-US" altLang="ja-JP" sz="1100"/>
            <a:t>No</a:t>
          </a:r>
          <a:r>
            <a:rPr kumimoji="1" lang="ja-JP" altLang="en-US" sz="1100"/>
            <a:t>．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０：単位なし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１：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２：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３：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４：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５：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６：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７：回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８：個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９：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endParaRPr lang="ja-JP" altLang="ja-JP">
            <a:effectLst/>
          </a:endParaRPr>
        </a:p>
        <a:p>
          <a:endParaRPr kumimoji="1" lang="en-US" altLang="ja-JP" sz="1100"/>
        </a:p>
      </xdr:txBody>
    </xdr:sp>
    <xdr:clientData/>
  </xdr:twoCellAnchor>
  <xdr:twoCellAnchor>
    <xdr:from>
      <xdr:col>10</xdr:col>
      <xdr:colOff>235323</xdr:colOff>
      <xdr:row>2176</xdr:row>
      <xdr:rowOff>33616</xdr:rowOff>
    </xdr:from>
    <xdr:to>
      <xdr:col>13</xdr:col>
      <xdr:colOff>575981</xdr:colOff>
      <xdr:row>2194</xdr:row>
      <xdr:rowOff>190499</xdr:rowOff>
    </xdr:to>
    <xdr:sp macro="" textlink="">
      <xdr:nvSpPr>
        <xdr:cNvPr id="11" name="テキスト ボックス 7">
          <a:extLst>
            <a:ext uri="{FF2B5EF4-FFF2-40B4-BE49-F238E27FC236}">
              <a16:creationId xmlns="" xmlns:a16="http://schemas.microsoft.com/office/drawing/2014/main" id="{0285F6FF-09CA-44E6-A05B-C0C85915ED2B}"/>
            </a:ext>
          </a:extLst>
        </xdr:cNvPr>
        <xdr:cNvSpPr txBox="1"/>
      </xdr:nvSpPr>
      <xdr:spPr>
        <a:xfrm>
          <a:off x="7207623" y="462138991"/>
          <a:ext cx="2398058" cy="35858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bit3-0</a:t>
          </a:r>
          <a:r>
            <a:rPr kumimoji="1" lang="ja-JP" altLang="en-US" sz="1100"/>
            <a:t>　：　小数部桁数</a:t>
          </a:r>
          <a:endParaRPr kumimoji="1" lang="en-US" altLang="ja-JP" sz="1100"/>
        </a:p>
        <a:p>
          <a:r>
            <a:rPr kumimoji="1" lang="en-US" altLang="ja-JP" sz="1100"/>
            <a:t>bit7-4</a:t>
          </a:r>
          <a:r>
            <a:rPr kumimoji="1" lang="ja-JP" altLang="en-US" sz="1100"/>
            <a:t>　：　整数部桁数</a:t>
          </a:r>
          <a:endParaRPr kumimoji="1" lang="en-US" altLang="ja-JP" sz="1100"/>
        </a:p>
        <a:p>
          <a:r>
            <a:rPr kumimoji="1" lang="en-US" altLang="ja-JP" sz="1100"/>
            <a:t>bit15-8</a:t>
          </a:r>
          <a:r>
            <a:rPr kumimoji="1" lang="ja-JP" altLang="en-US" sz="1100"/>
            <a:t>　：　単位メッセージ</a:t>
          </a:r>
          <a:r>
            <a:rPr kumimoji="1" lang="en-US" altLang="ja-JP" sz="1100"/>
            <a:t>No</a:t>
          </a:r>
          <a:r>
            <a:rPr kumimoji="1" lang="ja-JP" altLang="en-US" sz="1100"/>
            <a:t>．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０：単位なし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１：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２：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３：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４：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５：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６：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７：回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８：個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９：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endParaRPr lang="ja-JP" altLang="ja-JP">
            <a:effectLst/>
          </a:endParaRPr>
        </a:p>
        <a:p>
          <a:endParaRPr kumimoji="1" lang="en-US" altLang="ja-JP" sz="1100"/>
        </a:p>
      </xdr:txBody>
    </xdr:sp>
    <xdr:clientData/>
  </xdr:twoCellAnchor>
  <xdr:twoCellAnchor editAs="oneCell">
    <xdr:from>
      <xdr:col>12</xdr:col>
      <xdr:colOff>0</xdr:colOff>
      <xdr:row>3680</xdr:row>
      <xdr:rowOff>0</xdr:rowOff>
    </xdr:from>
    <xdr:to>
      <xdr:col>15</xdr:col>
      <xdr:colOff>342900</xdr:colOff>
      <xdr:row>3696</xdr:row>
      <xdr:rowOff>111124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9E0FC7EE-D0FF-46C0-B591-4F14EC7FB5E5}"/>
            </a:ext>
            <a:ext uri="{147F2762-F138-4A5C-976F-8EAC2B608ADB}">
              <a16:predDERef xmlns="" xmlns:a16="http://schemas.microsoft.com/office/drawing/2014/main" pred="{0285F6FF-09CA-44E6-A05B-C0C85915E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3900" y="428634525"/>
          <a:ext cx="2400300" cy="391477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3044</xdr:row>
      <xdr:rowOff>0</xdr:rowOff>
    </xdr:from>
    <xdr:to>
      <xdr:col>15</xdr:col>
      <xdr:colOff>342900</xdr:colOff>
      <xdr:row>3060</xdr:row>
      <xdr:rowOff>111124</xdr:rowOff>
    </xdr:to>
    <xdr:pic>
      <xdr:nvPicPr>
        <xdr:cNvPr id="13" name="図 12">
          <a:extLst>
            <a:ext uri="{FF2B5EF4-FFF2-40B4-BE49-F238E27FC236}">
              <a16:creationId xmlns="" xmlns:a16="http://schemas.microsoft.com/office/drawing/2014/main" id="{AF9C2D7E-7518-4734-B6A5-7496CAAEBBA4}"/>
            </a:ext>
            <a:ext uri="{147F2762-F138-4A5C-976F-8EAC2B608ADB}">
              <a16:predDERef xmlns="" xmlns:a16="http://schemas.microsoft.com/office/drawing/2014/main" pred="{0285F6FF-09CA-44E6-A05B-C0C85915E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3900" y="540305625"/>
          <a:ext cx="2400300" cy="3914775"/>
        </a:xfrm>
        <a:prstGeom prst="rect">
          <a:avLst/>
        </a:prstGeom>
      </xdr:spPr>
    </xdr:pic>
    <xdr:clientData/>
  </xdr:twoCellAnchor>
  <xdr:twoCellAnchor editAs="oneCell">
    <xdr:from>
      <xdr:col>17</xdr:col>
      <xdr:colOff>685799</xdr:colOff>
      <xdr:row>3168</xdr:row>
      <xdr:rowOff>0</xdr:rowOff>
    </xdr:from>
    <xdr:to>
      <xdr:col>21</xdr:col>
      <xdr:colOff>460154</xdr:colOff>
      <xdr:row>3185</xdr:row>
      <xdr:rowOff>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73F2295-869C-484B-8159-A408819D3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15849" y="634126875"/>
          <a:ext cx="2517555" cy="4000500"/>
        </a:xfrm>
        <a:prstGeom prst="rect">
          <a:avLst/>
        </a:prstGeom>
      </xdr:spPr>
    </xdr:pic>
    <xdr:clientData/>
  </xdr:twoCellAnchor>
  <xdr:twoCellAnchor editAs="oneCell">
    <xdr:from>
      <xdr:col>13</xdr:col>
      <xdr:colOff>638175</xdr:colOff>
      <xdr:row>2356</xdr:row>
      <xdr:rowOff>57150</xdr:rowOff>
    </xdr:from>
    <xdr:to>
      <xdr:col>17</xdr:col>
      <xdr:colOff>415705</xdr:colOff>
      <xdr:row>2373</xdr:row>
      <xdr:rowOff>15875</xdr:rowOff>
    </xdr:to>
    <xdr:pic>
      <xdr:nvPicPr>
        <xdr:cNvPr id="18" name="図 17">
          <a:extLst>
            <a:ext uri="{FF2B5EF4-FFF2-40B4-BE49-F238E27FC236}">
              <a16:creationId xmlns="" xmlns:a16="http://schemas.microsoft.com/office/drawing/2014/main" id="{8487E878-6AB5-4721-947F-FAC8988BF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25025" y="552745275"/>
          <a:ext cx="2517555" cy="4000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3698</xdr:row>
      <xdr:rowOff>0</xdr:rowOff>
    </xdr:from>
    <xdr:to>
      <xdr:col>15</xdr:col>
      <xdr:colOff>342900</xdr:colOff>
      <xdr:row>3714</xdr:row>
      <xdr:rowOff>111124</xdr:rowOff>
    </xdr:to>
    <xdr:pic>
      <xdr:nvPicPr>
        <xdr:cNvPr id="19" name="図 18">
          <a:extLst>
            <a:ext uri="{FF2B5EF4-FFF2-40B4-BE49-F238E27FC236}">
              <a16:creationId xmlns="" xmlns:a16="http://schemas.microsoft.com/office/drawing/2014/main" id="{ADFE49ED-CA9F-4A36-B89E-F29174FDA66B}"/>
            </a:ext>
            <a:ext uri="{147F2762-F138-4A5C-976F-8EAC2B608ADB}">
              <a16:predDERef xmlns="" xmlns:a16="http://schemas.microsoft.com/office/drawing/2014/main" pred="{0285F6FF-09CA-44E6-A05B-C0C85915E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01050" y="763666875"/>
          <a:ext cx="2400300" cy="392112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3723</xdr:row>
      <xdr:rowOff>0</xdr:rowOff>
    </xdr:from>
    <xdr:to>
      <xdr:col>15</xdr:col>
      <xdr:colOff>342900</xdr:colOff>
      <xdr:row>3739</xdr:row>
      <xdr:rowOff>111126</xdr:rowOff>
    </xdr:to>
    <xdr:pic>
      <xdr:nvPicPr>
        <xdr:cNvPr id="20" name="図 19">
          <a:extLst>
            <a:ext uri="{FF2B5EF4-FFF2-40B4-BE49-F238E27FC236}">
              <a16:creationId xmlns="" xmlns:a16="http://schemas.microsoft.com/office/drawing/2014/main" id="{EAA57F06-B9E8-455B-BBDD-EE8F65473EAA}"/>
            </a:ext>
            <a:ext uri="{147F2762-F138-4A5C-976F-8EAC2B608ADB}">
              <a16:predDERef xmlns="" xmlns:a16="http://schemas.microsoft.com/office/drawing/2014/main" pred="{0285F6FF-09CA-44E6-A05B-C0C85915E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1531" y="876990563"/>
          <a:ext cx="2414588" cy="3921125"/>
        </a:xfrm>
        <a:prstGeom prst="rect">
          <a:avLst/>
        </a:prstGeom>
      </xdr:spPr>
    </xdr:pic>
    <xdr:clientData/>
  </xdr:twoCellAnchor>
  <xdr:twoCellAnchor>
    <xdr:from>
      <xdr:col>18</xdr:col>
      <xdr:colOff>605118</xdr:colOff>
      <xdr:row>1128</xdr:row>
      <xdr:rowOff>89647</xdr:rowOff>
    </xdr:from>
    <xdr:to>
      <xdr:col>22</xdr:col>
      <xdr:colOff>262217</xdr:colOff>
      <xdr:row>1149</xdr:row>
      <xdr:rowOff>168089</xdr:rowOff>
    </xdr:to>
    <xdr:sp macro="" textlink="">
      <xdr:nvSpPr>
        <xdr:cNvPr id="21" name="テキスト ボックス 6">
          <a:extLst>
            <a:ext uri="{FF2B5EF4-FFF2-40B4-BE49-F238E27FC236}">
              <a16:creationId xmlns="" xmlns:a16="http://schemas.microsoft.com/office/drawing/2014/main" id="{8F047FC3-0953-479C-97A2-693EED8DCD1E}"/>
            </a:ext>
          </a:extLst>
        </xdr:cNvPr>
        <xdr:cNvSpPr txBox="1"/>
      </xdr:nvSpPr>
      <xdr:spPr>
        <a:xfrm>
          <a:off x="13088471" y="211096412"/>
          <a:ext cx="2391334" cy="38436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255</a:t>
          </a:r>
          <a:r>
            <a:rPr kumimoji="1" lang="zh-CN" altLang="en-US" sz="1100"/>
            <a:t>：不可操作，只显示</a:t>
          </a:r>
          <a:r>
            <a:rPr kumimoji="1" lang="en-US" altLang="zh-CN" sz="1100"/>
            <a:t>data</a:t>
          </a:r>
          <a:r>
            <a:rPr kumimoji="1" lang="zh-CN" altLang="en-US" sz="1100"/>
            <a:t>值</a:t>
          </a:r>
          <a:endParaRPr kumimoji="1" lang="en-US" altLang="ja-JP" sz="1100"/>
        </a:p>
        <a:p>
          <a:r>
            <a:rPr kumimoji="1" lang="en-US" altLang="ja-JP" sz="1100"/>
            <a:t>bit3-0</a:t>
          </a:r>
          <a:r>
            <a:rPr kumimoji="1" lang="ja-JP" altLang="en-US" sz="1100"/>
            <a:t>　：　小数部桁数</a:t>
          </a:r>
          <a:endParaRPr kumimoji="1" lang="en-US" altLang="ja-JP" sz="1100"/>
        </a:p>
        <a:p>
          <a:r>
            <a:rPr kumimoji="1" lang="en-US" altLang="ja-JP" sz="1100"/>
            <a:t>bit7-4</a:t>
          </a:r>
          <a:r>
            <a:rPr kumimoji="1" lang="ja-JP" altLang="en-US" sz="1100"/>
            <a:t>　：　整数部桁数</a:t>
          </a:r>
          <a:endParaRPr kumimoji="1" lang="en-US" altLang="ja-JP" sz="1100"/>
        </a:p>
        <a:p>
          <a:r>
            <a:rPr kumimoji="1" lang="en-US" altLang="ja-JP" sz="1100"/>
            <a:t>bit15-8</a:t>
          </a:r>
          <a:r>
            <a:rPr kumimoji="1" lang="ja-JP" altLang="en-US" sz="1100"/>
            <a:t>　：　単位メッセージ</a:t>
          </a:r>
          <a:r>
            <a:rPr kumimoji="1" lang="en-US" altLang="ja-JP" sz="1100"/>
            <a:t>No</a:t>
          </a:r>
          <a:r>
            <a:rPr kumimoji="1" lang="ja-JP" altLang="en-US" sz="1100"/>
            <a:t>．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０：単位なし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１：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２：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３：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４：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rad/min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５：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６：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７：回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８：個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９：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endParaRPr lang="ja-JP" altLang="ja-JP">
            <a:effectLst/>
          </a:endParaRPr>
        </a:p>
        <a:p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895"/>
  <sheetViews>
    <sheetView tabSelected="1" zoomScale="85" zoomScaleNormal="85" workbookViewId="0">
      <selection activeCell="G17" sqref="G17"/>
    </sheetView>
  </sheetViews>
  <sheetFormatPr defaultRowHeight="14.25"/>
  <cols>
    <col min="1" max="1" width="10.625" bestFit="1" customWidth="1"/>
    <col min="2" max="2" width="9.125" style="55" bestFit="1" customWidth="1"/>
    <col min="3" max="3" width="9.5" customWidth="1"/>
    <col min="4" max="4" width="9" customWidth="1"/>
  </cols>
  <sheetData>
    <row r="1" spans="1:17">
      <c r="A1" s="11" t="s">
        <v>0</v>
      </c>
      <c r="B1" s="54">
        <v>1</v>
      </c>
      <c r="C1" s="4" t="s">
        <v>1662</v>
      </c>
      <c r="D1" s="5"/>
      <c r="E1" s="5"/>
      <c r="F1" s="12" t="s">
        <v>1</v>
      </c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7">
      <c r="A2" s="1" t="s">
        <v>2</v>
      </c>
      <c r="B2" s="55" t="s">
        <v>3</v>
      </c>
      <c r="C2" s="1"/>
      <c r="D2" s="2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7">
      <c r="A3" s="6">
        <v>255</v>
      </c>
      <c r="B3" s="56">
        <v>255</v>
      </c>
      <c r="C3" s="6">
        <v>255</v>
      </c>
      <c r="D3" t="s">
        <v>5</v>
      </c>
      <c r="I3" s="1"/>
      <c r="J3" s="1"/>
      <c r="K3" s="1"/>
      <c r="L3" s="1"/>
      <c r="M3" s="1"/>
      <c r="N3" s="1"/>
      <c r="O3" s="1"/>
      <c r="P3" s="1"/>
    </row>
    <row r="4" spans="1:17">
      <c r="A4" s="6">
        <v>255</v>
      </c>
      <c r="B4" s="56">
        <v>255</v>
      </c>
      <c r="C4" s="6">
        <v>255</v>
      </c>
      <c r="D4" s="2" t="s">
        <v>6</v>
      </c>
      <c r="I4" s="1"/>
      <c r="J4" s="83"/>
      <c r="K4" s="1"/>
      <c r="L4" s="1"/>
      <c r="M4" s="1"/>
      <c r="N4" s="1"/>
      <c r="O4" s="1"/>
      <c r="P4" s="1"/>
    </row>
    <row r="5" spans="1:17">
      <c r="A5" s="6">
        <v>255</v>
      </c>
      <c r="B5" s="56">
        <v>255</v>
      </c>
      <c r="C5" s="6">
        <v>255</v>
      </c>
      <c r="D5" s="2" t="s">
        <v>7</v>
      </c>
      <c r="I5" s="1"/>
      <c r="J5" s="1"/>
      <c r="K5" s="1"/>
      <c r="L5" s="1"/>
      <c r="M5" s="1"/>
      <c r="N5" s="1"/>
      <c r="O5" s="1"/>
      <c r="P5" s="1"/>
    </row>
    <row r="6" spans="1:17">
      <c r="A6" s="18">
        <v>255</v>
      </c>
      <c r="B6" s="57">
        <v>255</v>
      </c>
      <c r="C6" s="18">
        <v>255</v>
      </c>
      <c r="D6" s="2" t="s">
        <v>8</v>
      </c>
      <c r="F6" s="1"/>
      <c r="G6" s="1"/>
      <c r="H6" s="1"/>
      <c r="I6" s="1"/>
      <c r="J6" s="1"/>
      <c r="K6" s="1"/>
      <c r="L6" s="21"/>
      <c r="M6" s="1"/>
      <c r="N6" s="1"/>
      <c r="O6" s="1"/>
      <c r="P6" s="1"/>
    </row>
    <row r="7" spans="1:17">
      <c r="A7" s="18">
        <v>255</v>
      </c>
      <c r="B7" s="57">
        <v>255</v>
      </c>
      <c r="C7" s="18">
        <v>255</v>
      </c>
      <c r="D7" s="2" t="s">
        <v>9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7">
      <c r="A8" s="19">
        <v>255</v>
      </c>
      <c r="B8" s="58">
        <v>255</v>
      </c>
      <c r="C8" s="19">
        <v>255</v>
      </c>
      <c r="D8" s="2" t="s">
        <v>10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7">
      <c r="A9" s="20">
        <v>0</v>
      </c>
      <c r="B9" s="59">
        <v>0</v>
      </c>
      <c r="C9" s="20">
        <v>0</v>
      </c>
      <c r="D9" s="2" t="s">
        <v>11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7">
      <c r="A10" s="9">
        <v>0</v>
      </c>
      <c r="B10" s="60">
        <v>0</v>
      </c>
      <c r="C10" s="9">
        <v>0</v>
      </c>
      <c r="D10" s="2" t="s">
        <v>11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7">
      <c r="A11" s="8">
        <v>1</v>
      </c>
      <c r="B11" s="61">
        <v>2</v>
      </c>
      <c r="C11" s="8">
        <v>0</v>
      </c>
      <c r="D11" s="8">
        <v>3</v>
      </c>
      <c r="E11" s="8">
        <v>4</v>
      </c>
      <c r="F11" s="8">
        <v>5</v>
      </c>
      <c r="G11" s="8">
        <v>255</v>
      </c>
      <c r="H11" s="8">
        <v>255</v>
      </c>
      <c r="I11" s="8">
        <v>255</v>
      </c>
      <c r="J11" s="8">
        <v>255</v>
      </c>
      <c r="K11" s="8">
        <v>255</v>
      </c>
      <c r="L11" s="8">
        <v>255</v>
      </c>
      <c r="M11" s="8">
        <v>255</v>
      </c>
      <c r="N11" s="8">
        <v>255</v>
      </c>
      <c r="O11" s="8">
        <v>255</v>
      </c>
      <c r="P11" s="8">
        <v>255</v>
      </c>
      <c r="Q11" t="s">
        <v>12</v>
      </c>
    </row>
    <row r="12" spans="1:17">
      <c r="A12" s="1" t="s">
        <v>2</v>
      </c>
      <c r="B12" s="55" t="s">
        <v>3</v>
      </c>
      <c r="C12" s="1"/>
      <c r="D12" s="2" t="s">
        <v>13</v>
      </c>
    </row>
    <row r="13" spans="1:17">
      <c r="A13" s="6">
        <v>0</v>
      </c>
      <c r="B13" s="56">
        <v>0</v>
      </c>
      <c r="C13" s="6">
        <v>0</v>
      </c>
      <c r="D13" s="2" t="s">
        <v>6</v>
      </c>
    </row>
    <row r="14" spans="1:17">
      <c r="A14" s="6">
        <v>0</v>
      </c>
      <c r="B14" s="56">
        <v>0</v>
      </c>
      <c r="C14" s="6">
        <v>0</v>
      </c>
      <c r="D14" s="2" t="s">
        <v>14</v>
      </c>
    </row>
    <row r="15" spans="1:17">
      <c r="A15" s="6">
        <v>0</v>
      </c>
      <c r="B15" s="2" t="s">
        <v>3</v>
      </c>
      <c r="C15" s="1"/>
      <c r="D15" s="2" t="s">
        <v>11</v>
      </c>
    </row>
    <row r="16" spans="1:17">
      <c r="A16" s="6">
        <v>0</v>
      </c>
      <c r="B16" s="2" t="s">
        <v>3</v>
      </c>
      <c r="C16" s="1"/>
      <c r="D16" s="2" t="s">
        <v>11</v>
      </c>
    </row>
    <row r="17" spans="1:16">
      <c r="A17" t="s">
        <v>3</v>
      </c>
      <c r="C17" s="1"/>
      <c r="D17" s="2"/>
    </row>
    <row r="18" spans="1:16" ht="18.75">
      <c r="A18" s="95" t="s">
        <v>15</v>
      </c>
      <c r="B18" s="95" t="s">
        <v>16</v>
      </c>
      <c r="C18" s="95" t="s">
        <v>17</v>
      </c>
      <c r="D18" s="95" t="s">
        <v>18</v>
      </c>
      <c r="E18" s="95" t="s">
        <v>19</v>
      </c>
      <c r="F18" s="95" t="s">
        <v>20</v>
      </c>
      <c r="G18" s="95" t="s">
        <v>21</v>
      </c>
      <c r="H18" s="95" t="s">
        <v>22</v>
      </c>
      <c r="I18" s="1"/>
      <c r="J18" s="1"/>
      <c r="L18" t="s">
        <v>1218</v>
      </c>
      <c r="M18" s="1"/>
      <c r="N18" s="1"/>
      <c r="O18" s="1"/>
      <c r="P18" s="1"/>
    </row>
    <row r="19" spans="1:16">
      <c r="A19" s="6">
        <v>1</v>
      </c>
      <c r="B19" s="6">
        <v>2</v>
      </c>
      <c r="C19" s="6">
        <v>4</v>
      </c>
      <c r="D19" s="6">
        <v>3</v>
      </c>
      <c r="E19" s="6">
        <v>5</v>
      </c>
      <c r="F19" s="6">
        <v>0</v>
      </c>
      <c r="G19" s="6">
        <v>0</v>
      </c>
      <c r="H19" s="6">
        <v>0</v>
      </c>
      <c r="I19" s="2" t="s">
        <v>23</v>
      </c>
      <c r="J19" s="1"/>
      <c r="L19" t="s">
        <v>1219</v>
      </c>
      <c r="M19" s="1"/>
      <c r="N19" s="1"/>
      <c r="O19" s="1"/>
      <c r="P19" s="1"/>
    </row>
    <row r="20" spans="1:16">
      <c r="A20" s="6">
        <v>4</v>
      </c>
      <c r="B20" s="55" t="s">
        <v>3</v>
      </c>
      <c r="G20" s="1"/>
      <c r="H20" s="1"/>
      <c r="I20" s="2" t="s">
        <v>24</v>
      </c>
      <c r="J20" s="1"/>
      <c r="K20" s="1"/>
      <c r="L20" s="1"/>
      <c r="M20" s="1"/>
      <c r="N20" s="1"/>
      <c r="O20" s="1"/>
      <c r="P20" s="1"/>
    </row>
    <row r="21" spans="1:16">
      <c r="A21" s="6">
        <v>450</v>
      </c>
      <c r="B21" s="55" t="s">
        <v>3</v>
      </c>
      <c r="E21" s="2"/>
      <c r="G21" s="1"/>
      <c r="H21" s="1"/>
      <c r="I21" s="2" t="s">
        <v>1623</v>
      </c>
      <c r="J21" s="1"/>
      <c r="K21" s="1"/>
      <c r="L21" s="1"/>
      <c r="M21" s="1"/>
      <c r="N21" s="1"/>
      <c r="O21" s="1"/>
      <c r="P21" s="1"/>
    </row>
    <row r="22" spans="1:16">
      <c r="A22" s="6">
        <v>6</v>
      </c>
      <c r="B22" s="55" t="s">
        <v>3</v>
      </c>
      <c r="D22" s="1"/>
      <c r="E22" s="2"/>
      <c r="G22" s="1"/>
      <c r="H22" s="1"/>
      <c r="I22" s="2" t="s">
        <v>1431</v>
      </c>
      <c r="J22" s="1"/>
      <c r="K22" s="1"/>
      <c r="L22" s="1"/>
      <c r="M22" s="1"/>
      <c r="N22" s="1"/>
      <c r="O22" s="1"/>
      <c r="P22" s="1"/>
    </row>
    <row r="23" spans="1:16">
      <c r="A23" s="6">
        <v>0</v>
      </c>
      <c r="B23" s="55" t="s">
        <v>3</v>
      </c>
      <c r="C23" s="1"/>
      <c r="D23" s="1"/>
      <c r="E23" s="2"/>
      <c r="G23" s="1"/>
      <c r="H23" s="1"/>
      <c r="I23" s="2" t="s">
        <v>11</v>
      </c>
      <c r="J23" s="1"/>
      <c r="K23" s="1"/>
      <c r="L23" s="1"/>
      <c r="M23" s="1"/>
      <c r="N23" s="1"/>
      <c r="O23" s="1"/>
      <c r="P23" s="1"/>
    </row>
    <row r="24" spans="1:16">
      <c r="A24" s="6">
        <v>0</v>
      </c>
      <c r="B24" s="55" t="s">
        <v>3</v>
      </c>
      <c r="C24" s="1"/>
      <c r="D24" s="1"/>
      <c r="E24" s="2"/>
      <c r="G24" s="1"/>
      <c r="H24" s="1"/>
      <c r="I24" s="2" t="s">
        <v>11</v>
      </c>
      <c r="J24" s="1"/>
      <c r="K24" s="1"/>
      <c r="L24" s="1"/>
      <c r="M24" s="1"/>
      <c r="N24" s="1"/>
      <c r="O24" s="1"/>
      <c r="P24" s="1"/>
    </row>
    <row r="25" spans="1:16">
      <c r="A25" s="6">
        <v>0</v>
      </c>
      <c r="B25" s="55" t="s">
        <v>3</v>
      </c>
      <c r="C25" s="1"/>
      <c r="D25" s="1"/>
      <c r="E25" s="2"/>
      <c r="G25" s="1"/>
      <c r="H25" s="1"/>
      <c r="I25" s="2" t="s">
        <v>11</v>
      </c>
      <c r="J25" s="1"/>
      <c r="K25" s="1"/>
      <c r="L25" s="1"/>
      <c r="M25" s="1"/>
      <c r="N25" s="1"/>
      <c r="O25" s="1"/>
      <c r="P25" s="1"/>
    </row>
    <row r="26" spans="1:16">
      <c r="A26" s="6">
        <v>255</v>
      </c>
      <c r="B26" s="56">
        <v>1</v>
      </c>
      <c r="C26" s="6">
        <v>1</v>
      </c>
      <c r="D26" s="6">
        <v>1</v>
      </c>
      <c r="E26" s="6">
        <v>1</v>
      </c>
      <c r="F26" s="55" t="s">
        <v>3</v>
      </c>
      <c r="G26" s="1"/>
      <c r="H26" s="1"/>
      <c r="I26" s="2" t="s">
        <v>1657</v>
      </c>
      <c r="J26" s="1"/>
      <c r="K26" s="1"/>
      <c r="L26" s="1"/>
      <c r="M26" s="1"/>
      <c r="N26" s="1"/>
      <c r="O26" s="1"/>
      <c r="P26" s="1"/>
    </row>
    <row r="27" spans="1:16">
      <c r="A27" s="6">
        <v>255</v>
      </c>
      <c r="B27" s="55" t="s">
        <v>1584</v>
      </c>
      <c r="C27" s="1"/>
      <c r="D27" s="1"/>
      <c r="E27" s="2"/>
      <c r="G27" s="1"/>
      <c r="H27" s="1"/>
      <c r="I27" s="2" t="s">
        <v>1585</v>
      </c>
      <c r="J27" s="1"/>
      <c r="K27" s="1"/>
      <c r="L27" s="1"/>
      <c r="M27" s="1"/>
      <c r="N27" s="1"/>
      <c r="O27" s="1"/>
      <c r="P27" s="1"/>
    </row>
    <row r="28" spans="1:16">
      <c r="A28" s="6" t="s">
        <v>1626</v>
      </c>
      <c r="B28" s="200" t="s">
        <v>1627</v>
      </c>
      <c r="C28" s="1"/>
      <c r="D28" s="1"/>
      <c r="E28" s="2"/>
      <c r="G28" s="1"/>
      <c r="H28" s="1"/>
      <c r="I28" s="2"/>
      <c r="J28" s="1"/>
      <c r="K28" s="1"/>
      <c r="L28" s="1"/>
      <c r="M28" s="1"/>
      <c r="N28" s="1"/>
      <c r="O28" s="1"/>
      <c r="P28" s="1"/>
    </row>
    <row r="29" spans="1:16">
      <c r="A29" s="6">
        <v>180</v>
      </c>
      <c r="B29" s="200" t="s">
        <v>1627</v>
      </c>
      <c r="C29" s="1"/>
      <c r="D29" s="1"/>
      <c r="E29" s="2"/>
      <c r="G29" s="1"/>
      <c r="H29" s="1"/>
      <c r="I29" t="s">
        <v>1628</v>
      </c>
      <c r="J29" s="1"/>
      <c r="K29" s="1"/>
      <c r="L29" s="1"/>
      <c r="M29" s="1"/>
      <c r="N29" s="1"/>
      <c r="O29" s="1"/>
      <c r="P29" s="1"/>
    </row>
    <row r="30" spans="1:16">
      <c r="A30" s="6">
        <v>30</v>
      </c>
      <c r="B30" s="200" t="s">
        <v>989</v>
      </c>
      <c r="C30" s="1"/>
      <c r="D30" s="1"/>
      <c r="E30" s="2"/>
      <c r="G30" s="1"/>
      <c r="H30" s="1"/>
      <c r="I30" s="2" t="s">
        <v>1643</v>
      </c>
      <c r="J30" s="1"/>
      <c r="K30" s="1"/>
      <c r="L30" s="1"/>
      <c r="M30" s="1"/>
      <c r="N30" s="1"/>
      <c r="O30" s="1"/>
      <c r="P30" s="1"/>
    </row>
    <row r="31" spans="1:16">
      <c r="A31" s="6">
        <v>0</v>
      </c>
      <c r="B31" s="200" t="s">
        <v>1627</v>
      </c>
      <c r="C31" s="1"/>
      <c r="D31" s="1"/>
      <c r="E31" s="2"/>
      <c r="G31" s="1"/>
      <c r="H31" s="1"/>
      <c r="I31" s="2" t="s">
        <v>1644</v>
      </c>
      <c r="J31" s="1"/>
      <c r="K31" s="1"/>
      <c r="L31" s="1"/>
      <c r="M31" s="1"/>
      <c r="N31" s="1"/>
      <c r="O31" s="1"/>
      <c r="P31" s="1"/>
    </row>
    <row r="32" spans="1:16">
      <c r="A32" s="6">
        <v>0</v>
      </c>
      <c r="B32" s="200" t="s">
        <v>989</v>
      </c>
      <c r="C32" s="1"/>
      <c r="D32" s="1"/>
      <c r="E32" s="2"/>
      <c r="G32" s="1"/>
      <c r="H32" s="1"/>
      <c r="I32" s="2" t="s">
        <v>11</v>
      </c>
      <c r="J32" s="1"/>
      <c r="K32" s="1"/>
      <c r="L32" s="1"/>
      <c r="M32" s="1"/>
      <c r="N32" s="1"/>
      <c r="O32" s="1"/>
      <c r="P32" s="1"/>
    </row>
    <row r="33" spans="1:16">
      <c r="A33" s="6">
        <v>0</v>
      </c>
      <c r="B33" s="200" t="s">
        <v>1629</v>
      </c>
      <c r="C33" s="1"/>
      <c r="D33" s="1"/>
      <c r="E33" s="2"/>
      <c r="G33" s="1"/>
      <c r="H33" s="1"/>
      <c r="I33" s="2" t="s">
        <v>11</v>
      </c>
      <c r="J33" s="1"/>
      <c r="K33" s="1"/>
      <c r="L33" s="1"/>
      <c r="M33" s="1"/>
      <c r="N33" s="1"/>
      <c r="O33" s="1"/>
      <c r="P33" s="1"/>
    </row>
    <row r="34" spans="1:16">
      <c r="A34" s="6">
        <v>0</v>
      </c>
      <c r="B34" s="200" t="s">
        <v>1629</v>
      </c>
      <c r="C34" s="1"/>
      <c r="D34" s="1"/>
      <c r="E34" s="2"/>
      <c r="G34" s="1"/>
      <c r="H34" s="1"/>
      <c r="I34" s="2" t="s">
        <v>11</v>
      </c>
      <c r="J34" s="1"/>
      <c r="K34" s="1"/>
      <c r="L34" s="1"/>
      <c r="M34" s="1"/>
      <c r="N34" s="1"/>
      <c r="O34" s="1"/>
      <c r="P34" s="1"/>
    </row>
    <row r="35" spans="1:16">
      <c r="A35" s="6">
        <v>0</v>
      </c>
      <c r="B35" s="200" t="s">
        <v>1630</v>
      </c>
      <c r="C35" s="1"/>
      <c r="D35" s="1"/>
      <c r="E35" s="2"/>
      <c r="G35" s="1"/>
      <c r="H35" s="1"/>
      <c r="I35" s="2" t="s">
        <v>11</v>
      </c>
      <c r="J35" s="1"/>
      <c r="K35" s="1"/>
      <c r="L35" s="1"/>
      <c r="M35" s="1"/>
      <c r="N35" s="1"/>
      <c r="O35" s="1"/>
      <c r="P35" s="1"/>
    </row>
    <row r="36" spans="1:16">
      <c r="A36" s="6">
        <v>0</v>
      </c>
      <c r="B36" s="200" t="s">
        <v>1630</v>
      </c>
      <c r="C36" s="1"/>
      <c r="D36" s="1"/>
      <c r="E36" s="2"/>
      <c r="G36" s="1"/>
      <c r="H36" s="1"/>
      <c r="I36" s="2" t="s">
        <v>11</v>
      </c>
      <c r="J36" s="1"/>
      <c r="K36" s="1"/>
      <c r="L36" s="1"/>
      <c r="M36" s="1"/>
      <c r="N36" s="1"/>
      <c r="O36" s="1"/>
      <c r="P36" s="1"/>
    </row>
    <row r="37" spans="1:16" s="3" customFormat="1">
      <c r="A37" s="11" t="s">
        <v>0</v>
      </c>
      <c r="B37" s="62">
        <f>B1+1</f>
        <v>2</v>
      </c>
      <c r="C37" s="13" t="s">
        <v>25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spans="1:16" s="3" customFormat="1">
      <c r="A38" t="s">
        <v>26</v>
      </c>
      <c r="B38" s="2" t="s">
        <v>3</v>
      </c>
      <c r="C38"/>
      <c r="D38"/>
      <c r="E38"/>
      <c r="F38"/>
      <c r="G38"/>
      <c r="H38"/>
      <c r="I38"/>
    </row>
    <row r="39" spans="1:16" s="3" customFormat="1">
      <c r="A39" s="6">
        <v>0</v>
      </c>
      <c r="B39" s="6">
        <v>0</v>
      </c>
      <c r="C39" s="6">
        <v>0</v>
      </c>
      <c r="D39" s="2" t="s">
        <v>3</v>
      </c>
      <c r="E39" s="2"/>
      <c r="F39"/>
      <c r="G39" t="s">
        <v>27</v>
      </c>
      <c r="H39" s="1"/>
      <c r="I39" s="2"/>
    </row>
    <row r="40" spans="1:16" s="3" customFormat="1">
      <c r="A40" s="6">
        <v>0</v>
      </c>
      <c r="B40" s="6">
        <v>0</v>
      </c>
      <c r="C40" s="6">
        <v>0</v>
      </c>
      <c r="D40" s="2" t="s">
        <v>3</v>
      </c>
      <c r="E40" s="2"/>
      <c r="F40"/>
      <c r="G40" t="s">
        <v>28</v>
      </c>
      <c r="H40" s="1"/>
      <c r="I40" s="2"/>
    </row>
    <row r="41" spans="1:16" s="3" customFormat="1">
      <c r="A41" s="6">
        <v>0</v>
      </c>
      <c r="B41" s="2" t="s">
        <v>3</v>
      </c>
      <c r="C41" s="1"/>
      <c r="D41" s="1"/>
      <c r="E41" s="2"/>
      <c r="F41"/>
      <c r="G41" s="2" t="s">
        <v>11</v>
      </c>
      <c r="H41" s="1"/>
      <c r="I41" s="2"/>
    </row>
    <row r="42" spans="1:16" s="3" customFormat="1">
      <c r="A42" s="6">
        <v>0</v>
      </c>
      <c r="B42" s="2" t="s">
        <v>3</v>
      </c>
      <c r="C42" s="1"/>
      <c r="D42" s="1"/>
      <c r="E42" s="2"/>
      <c r="F42"/>
      <c r="G42" s="2" t="s">
        <v>11</v>
      </c>
      <c r="H42" s="1"/>
      <c r="I42"/>
    </row>
    <row r="43" spans="1:16" s="3" customFormat="1">
      <c r="A43" s="11" t="s">
        <v>0</v>
      </c>
      <c r="B43" s="62">
        <f>B37+1</f>
        <v>3</v>
      </c>
      <c r="C43" s="13" t="s">
        <v>29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1:16" s="3" customFormat="1">
      <c r="A44" t="s">
        <v>26</v>
      </c>
      <c r="B44" s="2" t="s">
        <v>3</v>
      </c>
      <c r="C44"/>
      <c r="D44"/>
      <c r="E44"/>
      <c r="F44"/>
      <c r="G44"/>
      <c r="H44"/>
      <c r="I44"/>
    </row>
    <row r="45" spans="1:16" s="3" customFormat="1">
      <c r="A45" s="6">
        <v>0</v>
      </c>
      <c r="B45" s="6">
        <v>0</v>
      </c>
      <c r="C45" s="6">
        <v>0</v>
      </c>
      <c r="D45" s="2" t="s">
        <v>3</v>
      </c>
      <c r="E45"/>
      <c r="F45"/>
      <c r="G45" s="2" t="s">
        <v>11</v>
      </c>
      <c r="H45"/>
      <c r="I45"/>
    </row>
    <row r="46" spans="1:16" s="3" customFormat="1">
      <c r="A46" s="6">
        <v>0</v>
      </c>
      <c r="B46" s="6">
        <v>0</v>
      </c>
      <c r="C46" s="6">
        <v>0</v>
      </c>
      <c r="D46" s="2" t="s">
        <v>3</v>
      </c>
      <c r="E46"/>
      <c r="F46"/>
      <c r="G46" s="2" t="s">
        <v>11</v>
      </c>
      <c r="H46"/>
      <c r="I46"/>
    </row>
    <row r="47" spans="1:16" s="3" customFormat="1">
      <c r="A47" s="6">
        <v>0</v>
      </c>
      <c r="B47" s="2" t="s">
        <v>3</v>
      </c>
      <c r="C47"/>
      <c r="D47"/>
      <c r="E47" s="2"/>
      <c r="F47"/>
      <c r="G47" s="2" t="s">
        <v>11</v>
      </c>
      <c r="H47" s="1"/>
      <c r="I47" s="2"/>
    </row>
    <row r="48" spans="1:16" s="3" customFormat="1">
      <c r="A48" s="6">
        <v>0</v>
      </c>
      <c r="B48" s="2" t="s">
        <v>3</v>
      </c>
      <c r="C48" s="1"/>
      <c r="D48" s="1"/>
      <c r="E48" s="2"/>
      <c r="F48"/>
      <c r="G48" s="2" t="s">
        <v>11</v>
      </c>
      <c r="H48" s="1"/>
      <c r="I48"/>
    </row>
    <row r="49" spans="1:16" s="3" customFormat="1">
      <c r="A49" s="11" t="s">
        <v>0</v>
      </c>
      <c r="B49" s="62">
        <f>B43+1</f>
        <v>4</v>
      </c>
      <c r="C49" s="13" t="s">
        <v>30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1:16" s="3" customFormat="1">
      <c r="A50" t="s">
        <v>26</v>
      </c>
      <c r="B50" s="2" t="s">
        <v>3</v>
      </c>
      <c r="C50"/>
      <c r="D50"/>
      <c r="E50"/>
      <c r="F50"/>
      <c r="G50"/>
      <c r="H50"/>
      <c r="I50"/>
    </row>
    <row r="51" spans="1:16" s="3" customFormat="1">
      <c r="A51" s="6">
        <v>0</v>
      </c>
      <c r="B51" s="6">
        <v>0</v>
      </c>
      <c r="C51" s="6">
        <v>0</v>
      </c>
      <c r="D51" s="2" t="s">
        <v>3</v>
      </c>
      <c r="E51" s="2"/>
      <c r="F51"/>
      <c r="G51" s="2" t="s">
        <v>11</v>
      </c>
      <c r="H51" s="1"/>
      <c r="I51" s="2"/>
    </row>
    <row r="52" spans="1:16" s="3" customFormat="1">
      <c r="A52" s="6">
        <v>0</v>
      </c>
      <c r="B52" s="6">
        <v>0</v>
      </c>
      <c r="C52" s="6">
        <v>0</v>
      </c>
      <c r="D52" s="2" t="s">
        <v>3</v>
      </c>
      <c r="E52" s="2"/>
      <c r="F52"/>
      <c r="G52" s="2" t="s">
        <v>11</v>
      </c>
      <c r="H52" s="1"/>
      <c r="I52" s="2"/>
    </row>
    <row r="53" spans="1:16" s="3" customFormat="1">
      <c r="A53" s="6">
        <v>0</v>
      </c>
      <c r="B53" s="2" t="s">
        <v>3</v>
      </c>
      <c r="C53" s="1"/>
      <c r="D53" s="1"/>
      <c r="E53" s="2"/>
      <c r="F53"/>
      <c r="G53" s="2" t="s">
        <v>11</v>
      </c>
      <c r="H53" s="1"/>
      <c r="I53" s="2"/>
    </row>
    <row r="54" spans="1:16" s="3" customFormat="1">
      <c r="A54" s="6">
        <v>0</v>
      </c>
      <c r="B54" s="2" t="s">
        <v>3</v>
      </c>
      <c r="C54" s="1"/>
      <c r="D54" s="1"/>
      <c r="E54" s="2"/>
      <c r="F54"/>
      <c r="G54" s="2" t="s">
        <v>11</v>
      </c>
      <c r="H54" s="1"/>
      <c r="I54"/>
    </row>
    <row r="55" spans="1:16" s="3" customFormat="1">
      <c r="A55" s="11" t="s">
        <v>0</v>
      </c>
      <c r="B55" s="62">
        <f>B49+1</f>
        <v>5</v>
      </c>
      <c r="C55" s="13" t="s">
        <v>31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spans="1:16" s="3" customFormat="1">
      <c r="A56" t="s">
        <v>26</v>
      </c>
      <c r="B56" s="63" t="s">
        <v>3</v>
      </c>
      <c r="C56"/>
      <c r="D56"/>
      <c r="E56"/>
      <c r="F56"/>
      <c r="G56"/>
      <c r="H56"/>
      <c r="I56"/>
    </row>
    <row r="57" spans="1:16" s="3" customFormat="1">
      <c r="A57" s="23">
        <v>0</v>
      </c>
      <c r="B57" s="56">
        <v>0</v>
      </c>
      <c r="C57" s="23">
        <v>0</v>
      </c>
      <c r="D57" t="s">
        <v>32</v>
      </c>
      <c r="E57"/>
      <c r="F57"/>
      <c r="G57" t="s">
        <v>33</v>
      </c>
      <c r="H57"/>
      <c r="I57"/>
    </row>
    <row r="58" spans="1:16" s="3" customFormat="1">
      <c r="A58" s="23">
        <v>0</v>
      </c>
      <c r="B58" s="56">
        <v>0</v>
      </c>
      <c r="C58" s="23">
        <v>0</v>
      </c>
      <c r="D58" t="s">
        <v>32</v>
      </c>
      <c r="E58"/>
      <c r="F58"/>
      <c r="G58" t="s">
        <v>34</v>
      </c>
      <c r="H58"/>
      <c r="I58"/>
    </row>
    <row r="59" spans="1:16" s="3" customFormat="1">
      <c r="A59" s="23">
        <v>0</v>
      </c>
      <c r="B59" s="56">
        <v>0</v>
      </c>
      <c r="C59" s="23">
        <v>0</v>
      </c>
      <c r="D59" t="s">
        <v>32</v>
      </c>
      <c r="E59"/>
      <c r="F59"/>
      <c r="G59" t="s">
        <v>35</v>
      </c>
      <c r="H59"/>
      <c r="I59"/>
    </row>
    <row r="60" spans="1:16" s="3" customFormat="1">
      <c r="A60" s="23">
        <v>0</v>
      </c>
      <c r="B60" s="56">
        <v>0</v>
      </c>
      <c r="C60" s="23">
        <v>0</v>
      </c>
      <c r="D60" t="s">
        <v>32</v>
      </c>
      <c r="E60"/>
      <c r="F60"/>
      <c r="G60" t="s">
        <v>36</v>
      </c>
      <c r="H60"/>
      <c r="I60"/>
    </row>
    <row r="61" spans="1:16" s="3" customFormat="1">
      <c r="A61" s="23">
        <v>0</v>
      </c>
      <c r="B61" s="56">
        <v>0</v>
      </c>
      <c r="C61" s="23">
        <v>0</v>
      </c>
      <c r="D61" t="s">
        <v>32</v>
      </c>
      <c r="E61"/>
      <c r="F61"/>
      <c r="G61" t="s">
        <v>37</v>
      </c>
      <c r="H61"/>
      <c r="I61"/>
    </row>
    <row r="62" spans="1:16" s="3" customFormat="1">
      <c r="A62" s="24">
        <v>0</v>
      </c>
      <c r="B62" s="55" t="s">
        <v>32</v>
      </c>
      <c r="C62"/>
      <c r="D62"/>
      <c r="E62"/>
      <c r="F62"/>
      <c r="G62" t="s">
        <v>11</v>
      </c>
      <c r="H62"/>
      <c r="I62"/>
    </row>
    <row r="63" spans="1:16" s="3" customFormat="1">
      <c r="A63" t="s">
        <v>32</v>
      </c>
      <c r="B63" s="64"/>
      <c r="C63"/>
      <c r="D63"/>
      <c r="E63"/>
      <c r="F63"/>
      <c r="G63"/>
      <c r="H63"/>
      <c r="I63"/>
    </row>
    <row r="64" spans="1:16" s="3" customFormat="1">
      <c r="A64" t="s">
        <v>38</v>
      </c>
      <c r="B64" s="63" t="s">
        <v>3</v>
      </c>
      <c r="C64"/>
      <c r="D64"/>
      <c r="E64"/>
      <c r="F64"/>
      <c r="G64"/>
      <c r="H64"/>
      <c r="I64"/>
    </row>
    <row r="65" spans="1:16" s="3" customFormat="1">
      <c r="A65" t="s">
        <v>39</v>
      </c>
      <c r="B65" s="55"/>
      <c r="C65"/>
      <c r="D65"/>
      <c r="E65"/>
      <c r="F65"/>
      <c r="G65"/>
      <c r="H65"/>
      <c r="I65"/>
    </row>
    <row r="66" spans="1:16" s="3" customFormat="1">
      <c r="A66" s="6">
        <f>HEX2DEC(42)</f>
        <v>66</v>
      </c>
      <c r="B66" s="56">
        <f>HEX2DEC(40)</f>
        <v>64</v>
      </c>
      <c r="C66" s="6">
        <f>HEX2DEC(530)</f>
        <v>1328</v>
      </c>
      <c r="D66" s="6">
        <f>HEX2DEC(530)</f>
        <v>1328</v>
      </c>
      <c r="E66" s="6">
        <v>0</v>
      </c>
      <c r="F66" s="6">
        <v>0</v>
      </c>
      <c r="G66" s="6">
        <v>0</v>
      </c>
      <c r="H66" s="6">
        <v>0</v>
      </c>
      <c r="I66" t="s">
        <v>40</v>
      </c>
    </row>
    <row r="67" spans="1:16" s="3" customFormat="1">
      <c r="A67" s="6">
        <f t="shared" ref="A67:A73" si="0">HEX2DEC(42)</f>
        <v>66</v>
      </c>
      <c r="B67" s="56">
        <f t="shared" ref="B67:B73" si="1">HEX2DEC(40)</f>
        <v>64</v>
      </c>
      <c r="C67" s="6">
        <f t="shared" ref="C67:D73" si="2">HEX2DEC(530)</f>
        <v>1328</v>
      </c>
      <c r="D67" s="6">
        <f t="shared" si="2"/>
        <v>1328</v>
      </c>
      <c r="E67" s="6">
        <v>0</v>
      </c>
      <c r="F67" s="6">
        <v>0</v>
      </c>
      <c r="G67" s="6">
        <v>0</v>
      </c>
      <c r="H67" s="6">
        <v>0</v>
      </c>
      <c r="I67" t="s">
        <v>41</v>
      </c>
    </row>
    <row r="68" spans="1:16" s="3" customFormat="1">
      <c r="A68" s="6">
        <f t="shared" si="0"/>
        <v>66</v>
      </c>
      <c r="B68" s="56">
        <f t="shared" si="1"/>
        <v>64</v>
      </c>
      <c r="C68" s="6">
        <f t="shared" si="2"/>
        <v>1328</v>
      </c>
      <c r="D68" s="6">
        <f t="shared" si="2"/>
        <v>1328</v>
      </c>
      <c r="E68" s="6">
        <v>0</v>
      </c>
      <c r="F68" s="6">
        <v>0</v>
      </c>
      <c r="G68" s="6">
        <v>0</v>
      </c>
      <c r="H68" s="6">
        <v>0</v>
      </c>
      <c r="I68" t="s">
        <v>42</v>
      </c>
    </row>
    <row r="69" spans="1:16" s="3" customFormat="1">
      <c r="A69" s="6">
        <f t="shared" si="0"/>
        <v>66</v>
      </c>
      <c r="B69" s="56">
        <f t="shared" si="1"/>
        <v>64</v>
      </c>
      <c r="C69" s="6">
        <f t="shared" si="2"/>
        <v>1328</v>
      </c>
      <c r="D69" s="6">
        <f t="shared" si="2"/>
        <v>1328</v>
      </c>
      <c r="E69" s="6">
        <v>0</v>
      </c>
      <c r="F69" s="6">
        <v>0</v>
      </c>
      <c r="G69" s="6">
        <v>0</v>
      </c>
      <c r="H69" s="6">
        <v>0</v>
      </c>
      <c r="I69" t="s">
        <v>43</v>
      </c>
    </row>
    <row r="70" spans="1:16" s="3" customFormat="1">
      <c r="A70" s="6">
        <f t="shared" si="0"/>
        <v>66</v>
      </c>
      <c r="B70" s="56">
        <f t="shared" si="1"/>
        <v>64</v>
      </c>
      <c r="C70" s="6">
        <f t="shared" si="2"/>
        <v>1328</v>
      </c>
      <c r="D70" s="6">
        <f t="shared" si="2"/>
        <v>1328</v>
      </c>
      <c r="E70" s="6">
        <v>0</v>
      </c>
      <c r="F70" s="6">
        <v>0</v>
      </c>
      <c r="G70" s="6">
        <v>0</v>
      </c>
      <c r="H70" s="6">
        <v>0</v>
      </c>
      <c r="I70" t="s">
        <v>44</v>
      </c>
    </row>
    <row r="71" spans="1:16" s="3" customFormat="1">
      <c r="A71" s="6">
        <f t="shared" si="0"/>
        <v>66</v>
      </c>
      <c r="B71" s="56">
        <f t="shared" si="1"/>
        <v>64</v>
      </c>
      <c r="C71" s="6">
        <f t="shared" si="2"/>
        <v>1328</v>
      </c>
      <c r="D71" s="6">
        <f t="shared" si="2"/>
        <v>1328</v>
      </c>
      <c r="E71" s="6">
        <v>0</v>
      </c>
      <c r="F71" s="6">
        <v>0</v>
      </c>
      <c r="G71" s="6">
        <v>0</v>
      </c>
      <c r="H71" s="6">
        <v>0</v>
      </c>
      <c r="I71" t="s">
        <v>45</v>
      </c>
    </row>
    <row r="72" spans="1:16" s="3" customFormat="1">
      <c r="A72" s="6">
        <f t="shared" si="0"/>
        <v>66</v>
      </c>
      <c r="B72" s="56">
        <f t="shared" si="1"/>
        <v>64</v>
      </c>
      <c r="C72" s="6">
        <f t="shared" si="2"/>
        <v>1328</v>
      </c>
      <c r="D72" s="6">
        <f t="shared" si="2"/>
        <v>1328</v>
      </c>
      <c r="E72" s="6">
        <v>0</v>
      </c>
      <c r="F72" s="6">
        <v>0</v>
      </c>
      <c r="G72" s="6">
        <v>0</v>
      </c>
      <c r="H72" s="6">
        <v>0</v>
      </c>
      <c r="I72" t="s">
        <v>46</v>
      </c>
    </row>
    <row r="73" spans="1:16" s="3" customFormat="1">
      <c r="A73" s="6">
        <f t="shared" si="0"/>
        <v>66</v>
      </c>
      <c r="B73" s="56">
        <f t="shared" si="1"/>
        <v>64</v>
      </c>
      <c r="C73" s="6">
        <f t="shared" si="2"/>
        <v>1328</v>
      </c>
      <c r="D73" s="6">
        <f t="shared" si="2"/>
        <v>1328</v>
      </c>
      <c r="E73" s="6">
        <v>0</v>
      </c>
      <c r="F73" s="6">
        <v>0</v>
      </c>
      <c r="G73" s="6">
        <v>0</v>
      </c>
      <c r="H73" s="6">
        <v>0</v>
      </c>
      <c r="I73" t="s">
        <v>1038</v>
      </c>
    </row>
    <row r="74" spans="1:16" s="3" customFormat="1">
      <c r="A74" s="22" t="s">
        <v>3</v>
      </c>
      <c r="B74" s="65"/>
      <c r="C74" s="15"/>
      <c r="E74" s="3" t="s">
        <v>923</v>
      </c>
      <c r="F74" s="3" t="s">
        <v>923</v>
      </c>
      <c r="G74" s="3" t="s">
        <v>923</v>
      </c>
      <c r="H74" s="3" t="s">
        <v>923</v>
      </c>
    </row>
    <row r="75" spans="1:16" s="3" customFormat="1">
      <c r="A75" s="22" t="s">
        <v>3</v>
      </c>
      <c r="B75" s="65"/>
      <c r="C75" s="15"/>
    </row>
    <row r="76" spans="1:16" s="3" customFormat="1">
      <c r="A76" s="11" t="s">
        <v>0</v>
      </c>
      <c r="B76" s="62">
        <f>B55+1</f>
        <v>6</v>
      </c>
      <c r="C76" s="13" t="s">
        <v>48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</row>
    <row r="77" spans="1:16" s="3" customFormat="1">
      <c r="A77" t="s">
        <v>49</v>
      </c>
      <c r="B77" s="55"/>
      <c r="C77"/>
      <c r="D77"/>
      <c r="E77"/>
      <c r="F77"/>
      <c r="G77"/>
      <c r="H77"/>
      <c r="I77" t="s">
        <v>50</v>
      </c>
      <c r="J77"/>
      <c r="K77"/>
      <c r="L77"/>
    </row>
    <row r="78" spans="1:16" s="3" customFormat="1">
      <c r="A78" t="s">
        <v>26</v>
      </c>
      <c r="B78" s="55" t="s">
        <v>32</v>
      </c>
      <c r="C78"/>
      <c r="D78"/>
      <c r="E78"/>
      <c r="F78"/>
      <c r="G78"/>
      <c r="H78"/>
      <c r="I78"/>
      <c r="J78"/>
      <c r="K78"/>
      <c r="L78"/>
    </row>
    <row r="79" spans="1:16" s="3" customFormat="1">
      <c r="A79" s="6">
        <v>0</v>
      </c>
      <c r="B79" s="56">
        <v>0</v>
      </c>
      <c r="C79" s="6">
        <v>0</v>
      </c>
      <c r="D79" t="s">
        <v>32</v>
      </c>
      <c r="E79"/>
      <c r="F79" t="s">
        <v>51</v>
      </c>
      <c r="G79"/>
      <c r="H79"/>
      <c r="I79"/>
      <c r="J79"/>
      <c r="K79"/>
      <c r="L79"/>
    </row>
    <row r="80" spans="1:16" s="3" customFormat="1">
      <c r="A80" s="6">
        <v>0</v>
      </c>
      <c r="B80" s="56">
        <v>0</v>
      </c>
      <c r="C80" s="6">
        <v>0</v>
      </c>
      <c r="D80" t="s">
        <v>32</v>
      </c>
      <c r="E80"/>
      <c r="F80" t="s">
        <v>52</v>
      </c>
      <c r="G80"/>
      <c r="H80"/>
      <c r="I80"/>
      <c r="J80"/>
      <c r="K80"/>
      <c r="L80"/>
    </row>
    <row r="81" spans="1:12" s="3" customFormat="1">
      <c r="A81" s="6">
        <v>0</v>
      </c>
      <c r="B81" s="56">
        <v>0</v>
      </c>
      <c r="C81" s="6">
        <v>0</v>
      </c>
      <c r="D81" t="s">
        <v>32</v>
      </c>
      <c r="E81"/>
      <c r="F81" t="s">
        <v>53</v>
      </c>
      <c r="G81"/>
      <c r="H81"/>
      <c r="I81"/>
      <c r="J81"/>
      <c r="K81"/>
      <c r="L81"/>
    </row>
    <row r="82" spans="1:12" s="3" customFormat="1">
      <c r="A82" s="6">
        <v>0</v>
      </c>
      <c r="B82" s="56">
        <v>0</v>
      </c>
      <c r="C82" s="6">
        <v>0</v>
      </c>
      <c r="D82" t="s">
        <v>32</v>
      </c>
      <c r="E82"/>
      <c r="F82" t="s">
        <v>54</v>
      </c>
      <c r="G82"/>
      <c r="H82"/>
      <c r="I82"/>
      <c r="J82"/>
      <c r="K82"/>
      <c r="L82"/>
    </row>
    <row r="83" spans="1:12" s="3" customFormat="1">
      <c r="A83" s="6">
        <v>5</v>
      </c>
      <c r="B83" s="55" t="s">
        <v>32</v>
      </c>
      <c r="C83" s="1"/>
      <c r="D83"/>
      <c r="E83"/>
      <c r="F83" t="s">
        <v>55</v>
      </c>
      <c r="G83"/>
      <c r="H83"/>
      <c r="I83"/>
      <c r="J83"/>
      <c r="K83"/>
      <c r="L83"/>
    </row>
    <row r="84" spans="1:12" s="3" customFormat="1">
      <c r="A84" s="6">
        <v>6</v>
      </c>
      <c r="B84" s="55" t="s">
        <v>32</v>
      </c>
      <c r="C84" s="1"/>
      <c r="D84"/>
      <c r="E84"/>
      <c r="F84" t="s">
        <v>1453</v>
      </c>
      <c r="G84"/>
      <c r="H84"/>
      <c r="I84"/>
      <c r="J84"/>
      <c r="K84"/>
      <c r="L84"/>
    </row>
    <row r="85" spans="1:12" s="3" customFormat="1">
      <c r="A85" s="6">
        <v>0</v>
      </c>
      <c r="B85" s="55" t="s">
        <v>32</v>
      </c>
      <c r="C85" s="1"/>
      <c r="D85"/>
      <c r="E85"/>
      <c r="F85"/>
      <c r="G85"/>
      <c r="H85"/>
      <c r="I85"/>
      <c r="J85"/>
      <c r="K85"/>
      <c r="L85"/>
    </row>
    <row r="86" spans="1:12" s="3" customFormat="1">
      <c r="A86" s="6">
        <v>0</v>
      </c>
      <c r="B86" s="55" t="s">
        <v>32</v>
      </c>
      <c r="C86" s="1"/>
      <c r="D86"/>
      <c r="E86"/>
      <c r="F86"/>
      <c r="G86"/>
      <c r="H86"/>
      <c r="I86"/>
      <c r="J86"/>
      <c r="K86"/>
      <c r="L86"/>
    </row>
    <row r="87" spans="1:12" s="3" customFormat="1">
      <c r="A87" s="3" t="s">
        <v>38</v>
      </c>
      <c r="B87" s="64" t="s">
        <v>32</v>
      </c>
      <c r="C87"/>
      <c r="D87"/>
      <c r="E87"/>
      <c r="F87"/>
      <c r="G87"/>
      <c r="H87"/>
      <c r="I87"/>
      <c r="J87"/>
      <c r="K87"/>
      <c r="L87"/>
    </row>
    <row r="88" spans="1:12" s="3" customFormat="1" ht="16.5">
      <c r="A88" s="132">
        <v>4</v>
      </c>
      <c r="B88" s="132">
        <v>11</v>
      </c>
      <c r="C88" t="s">
        <v>58</v>
      </c>
      <c r="D88"/>
      <c r="E88"/>
      <c r="F88" t="s">
        <v>59</v>
      </c>
      <c r="G88"/>
      <c r="H88"/>
      <c r="I88"/>
      <c r="J88"/>
      <c r="K88"/>
      <c r="L88"/>
    </row>
    <row r="89" spans="1:12" s="3" customFormat="1" ht="16.5">
      <c r="A89" s="132">
        <v>3</v>
      </c>
      <c r="B89" s="132">
        <v>10</v>
      </c>
      <c r="C89" t="s">
        <v>32</v>
      </c>
      <c r="D89"/>
      <c r="E89"/>
      <c r="F89" t="s">
        <v>62</v>
      </c>
      <c r="G89"/>
      <c r="H89"/>
      <c r="I89"/>
      <c r="J89"/>
      <c r="K89"/>
      <c r="L89"/>
    </row>
    <row r="90" spans="1:12" s="3" customFormat="1" ht="16.5">
      <c r="A90" s="132">
        <v>9</v>
      </c>
      <c r="B90" s="132">
        <v>20</v>
      </c>
      <c r="C90" t="s">
        <v>32</v>
      </c>
      <c r="D90"/>
      <c r="E90"/>
      <c r="F90" t="s">
        <v>65</v>
      </c>
      <c r="G90"/>
      <c r="H90"/>
      <c r="I90"/>
      <c r="J90"/>
      <c r="K90"/>
      <c r="L90"/>
    </row>
    <row r="91" spans="1:12" s="3" customFormat="1" ht="16.5">
      <c r="A91" s="132">
        <v>5</v>
      </c>
      <c r="B91" s="132">
        <v>21</v>
      </c>
      <c r="C91" t="s">
        <v>32</v>
      </c>
      <c r="D91"/>
      <c r="E91"/>
      <c r="F91" t="s">
        <v>68</v>
      </c>
      <c r="G91"/>
      <c r="H91"/>
      <c r="I91"/>
      <c r="J91"/>
      <c r="K91"/>
      <c r="L91"/>
    </row>
    <row r="92" spans="1:12" s="3" customFormat="1" ht="16.5">
      <c r="A92" s="132">
        <v>17</v>
      </c>
      <c r="B92" s="196"/>
      <c r="C92" t="s">
        <v>32</v>
      </c>
      <c r="D92"/>
      <c r="E92"/>
      <c r="F92"/>
      <c r="G92"/>
      <c r="H92"/>
      <c r="I92"/>
      <c r="J92"/>
      <c r="K92"/>
      <c r="L92"/>
    </row>
    <row r="93" spans="1:12" s="3" customFormat="1" ht="16.5">
      <c r="A93" s="132">
        <v>22</v>
      </c>
      <c r="B93" s="196"/>
      <c r="C93" t="s">
        <v>73</v>
      </c>
      <c r="D93"/>
      <c r="E93"/>
      <c r="F93"/>
      <c r="G93"/>
      <c r="H93"/>
      <c r="I93"/>
      <c r="J93"/>
      <c r="K93"/>
      <c r="L93"/>
    </row>
    <row r="94" spans="1:12" s="3" customFormat="1" ht="16.5">
      <c r="A94" s="132">
        <v>23</v>
      </c>
      <c r="B94" s="196"/>
      <c r="C94" t="s">
        <v>32</v>
      </c>
      <c r="D94"/>
      <c r="E94"/>
      <c r="F94"/>
      <c r="G94"/>
      <c r="H94"/>
      <c r="I94"/>
      <c r="J94"/>
      <c r="K94"/>
      <c r="L94"/>
    </row>
    <row r="95" spans="1:12" s="3" customFormat="1" ht="16.5">
      <c r="A95" s="132">
        <v>16</v>
      </c>
      <c r="B95" s="196"/>
      <c r="C95" t="s">
        <v>32</v>
      </c>
      <c r="D95"/>
      <c r="E95"/>
      <c r="F95"/>
      <c r="G95"/>
      <c r="H95"/>
      <c r="I95"/>
      <c r="J95"/>
      <c r="K95"/>
      <c r="L95"/>
    </row>
    <row r="96" spans="1:12" s="3" customFormat="1" ht="16.5">
      <c r="A96" s="132">
        <v>2</v>
      </c>
      <c r="B96" s="198"/>
      <c r="C96" t="s">
        <v>32</v>
      </c>
      <c r="D96"/>
      <c r="E96"/>
      <c r="F96"/>
      <c r="G96"/>
      <c r="H96"/>
      <c r="I96"/>
      <c r="J96"/>
      <c r="K96"/>
      <c r="L96"/>
    </row>
    <row r="97" spans="1:12" s="3" customFormat="1" ht="16.5">
      <c r="A97" s="132"/>
      <c r="B97" s="196"/>
      <c r="C97" t="s">
        <v>32</v>
      </c>
      <c r="D97"/>
      <c r="E97"/>
      <c r="F97"/>
      <c r="G97"/>
      <c r="H97"/>
      <c r="I97"/>
      <c r="J97"/>
      <c r="K97"/>
      <c r="L97"/>
    </row>
    <row r="98" spans="1:12" s="3" customFormat="1" ht="16.5">
      <c r="A98" s="132">
        <v>1</v>
      </c>
      <c r="B98" s="132">
        <v>0</v>
      </c>
      <c r="C98" t="s">
        <v>84</v>
      </c>
      <c r="D98"/>
      <c r="E98"/>
      <c r="F98"/>
      <c r="G98"/>
      <c r="H98"/>
      <c r="I98"/>
      <c r="J98"/>
      <c r="K98"/>
      <c r="L98"/>
    </row>
    <row r="99" spans="1:12" s="3" customFormat="1" ht="16.5">
      <c r="A99" s="132">
        <v>19</v>
      </c>
      <c r="B99" s="132">
        <v>14</v>
      </c>
      <c r="C99" t="s">
        <v>32</v>
      </c>
      <c r="D99"/>
      <c r="E99"/>
      <c r="F99"/>
      <c r="G99"/>
      <c r="H99"/>
      <c r="I99"/>
      <c r="J99"/>
      <c r="K99"/>
      <c r="L99"/>
    </row>
    <row r="100" spans="1:12" s="3" customFormat="1" ht="16.5">
      <c r="A100" s="132">
        <v>8</v>
      </c>
      <c r="B100" s="132">
        <v>13</v>
      </c>
      <c r="C100" t="s">
        <v>32</v>
      </c>
      <c r="D100"/>
      <c r="E100"/>
      <c r="F100"/>
      <c r="G100"/>
      <c r="H100"/>
      <c r="I100"/>
      <c r="J100"/>
      <c r="K100"/>
      <c r="L100"/>
    </row>
    <row r="101" spans="1:12" s="3" customFormat="1" ht="16.5">
      <c r="A101" s="132">
        <v>18</v>
      </c>
      <c r="B101" s="132">
        <v>12</v>
      </c>
      <c r="C101" t="s">
        <v>32</v>
      </c>
      <c r="D101"/>
      <c r="E101"/>
      <c r="F101"/>
      <c r="G101"/>
      <c r="H101"/>
      <c r="I101"/>
      <c r="J101"/>
      <c r="K101"/>
      <c r="L101"/>
    </row>
    <row r="102" spans="1:12" s="3" customFormat="1" ht="16.5">
      <c r="A102" s="132">
        <v>15</v>
      </c>
      <c r="B102" s="198"/>
      <c r="C102" t="s">
        <v>32</v>
      </c>
      <c r="D102"/>
      <c r="E102"/>
      <c r="F102"/>
      <c r="G102"/>
      <c r="H102"/>
      <c r="I102"/>
      <c r="J102"/>
      <c r="K102"/>
      <c r="L102"/>
    </row>
    <row r="103" spans="1:12" s="3" customFormat="1" ht="16.5">
      <c r="A103" s="132">
        <v>71</v>
      </c>
      <c r="B103" s="132">
        <v>68</v>
      </c>
      <c r="C103" t="s">
        <v>95</v>
      </c>
      <c r="D103"/>
      <c r="E103"/>
      <c r="F103"/>
      <c r="G103"/>
      <c r="H103"/>
      <c r="I103"/>
      <c r="J103"/>
      <c r="K103"/>
      <c r="L103"/>
    </row>
    <row r="104" spans="1:12" s="3" customFormat="1" ht="16.5">
      <c r="A104" s="132">
        <v>69</v>
      </c>
      <c r="B104" s="132">
        <v>75</v>
      </c>
      <c r="C104" t="s">
        <v>32</v>
      </c>
      <c r="D104"/>
      <c r="E104"/>
      <c r="F104"/>
      <c r="G104"/>
      <c r="H104"/>
      <c r="I104"/>
      <c r="J104"/>
      <c r="K104"/>
      <c r="L104"/>
    </row>
    <row r="105" spans="1:12" s="3" customFormat="1" ht="16.5">
      <c r="A105" s="132">
        <v>70</v>
      </c>
      <c r="B105" s="132">
        <v>74</v>
      </c>
      <c r="C105" t="s">
        <v>32</v>
      </c>
      <c r="D105"/>
      <c r="E105"/>
      <c r="F105"/>
      <c r="G105"/>
      <c r="H105"/>
      <c r="I105"/>
      <c r="J105"/>
      <c r="K105"/>
      <c r="L105"/>
    </row>
    <row r="106" spans="1:12" s="3" customFormat="1" ht="16.5">
      <c r="A106" s="132">
        <v>79</v>
      </c>
      <c r="B106" s="132">
        <v>73</v>
      </c>
      <c r="C106" t="s">
        <v>32</v>
      </c>
      <c r="D106"/>
      <c r="E106"/>
      <c r="F106"/>
      <c r="G106"/>
      <c r="H106"/>
      <c r="I106"/>
      <c r="J106"/>
      <c r="K106"/>
      <c r="L106"/>
    </row>
    <row r="107" spans="1:12" s="3" customFormat="1" ht="16.5">
      <c r="A107" s="132">
        <v>67</v>
      </c>
      <c r="B107" s="132">
        <v>72</v>
      </c>
      <c r="C107" t="s">
        <v>32</v>
      </c>
      <c r="D107"/>
      <c r="E107"/>
      <c r="F107"/>
      <c r="G107"/>
      <c r="H107"/>
      <c r="I107"/>
      <c r="J107"/>
      <c r="K107"/>
      <c r="L107"/>
    </row>
    <row r="108" spans="1:12" s="3" customFormat="1" ht="16.5">
      <c r="A108" s="132">
        <v>64</v>
      </c>
      <c r="B108" s="132">
        <v>77</v>
      </c>
      <c r="C108" t="s">
        <v>106</v>
      </c>
      <c r="D108"/>
      <c r="E108"/>
      <c r="F108"/>
      <c r="G108"/>
      <c r="H108"/>
      <c r="I108"/>
      <c r="J108"/>
      <c r="K108"/>
      <c r="L108"/>
    </row>
    <row r="109" spans="1:12" s="3" customFormat="1" ht="16.5">
      <c r="A109" s="132">
        <v>66</v>
      </c>
      <c r="B109" s="132">
        <v>76</v>
      </c>
      <c r="C109" t="s">
        <v>32</v>
      </c>
      <c r="D109"/>
      <c r="E109"/>
      <c r="F109"/>
      <c r="G109"/>
      <c r="H109"/>
      <c r="I109"/>
      <c r="J109"/>
      <c r="K109"/>
      <c r="L109"/>
    </row>
    <row r="110" spans="1:12" s="3" customFormat="1" ht="16.5">
      <c r="A110" s="132">
        <v>65</v>
      </c>
      <c r="B110" s="196"/>
      <c r="C110" t="s">
        <v>32</v>
      </c>
      <c r="D110"/>
      <c r="E110"/>
      <c r="F110"/>
      <c r="G110"/>
      <c r="H110"/>
      <c r="I110"/>
      <c r="J110"/>
      <c r="K110"/>
      <c r="L110"/>
    </row>
    <row r="111" spans="1:12" s="3" customFormat="1" ht="16.5">
      <c r="A111" s="132">
        <v>78</v>
      </c>
      <c r="B111" s="196"/>
      <c r="C111" t="s">
        <v>32</v>
      </c>
      <c r="D111"/>
      <c r="E111"/>
      <c r="F111"/>
      <c r="G111"/>
      <c r="H111"/>
      <c r="I111"/>
      <c r="J111"/>
      <c r="K111"/>
      <c r="L111"/>
    </row>
    <row r="112" spans="1:12" s="3" customFormat="1" ht="16.5">
      <c r="A112" s="32"/>
      <c r="B112" s="66"/>
      <c r="C112" t="s">
        <v>32</v>
      </c>
      <c r="D112"/>
      <c r="E112"/>
      <c r="F112"/>
      <c r="G112"/>
      <c r="H112"/>
      <c r="I112"/>
      <c r="J112"/>
      <c r="K112"/>
      <c r="L112"/>
    </row>
    <row r="113" spans="1:12" s="3" customFormat="1" ht="16.5">
      <c r="A113" s="32"/>
      <c r="B113" s="66"/>
      <c r="C113" t="s">
        <v>117</v>
      </c>
      <c r="D113"/>
      <c r="E113"/>
      <c r="F113"/>
      <c r="G113"/>
      <c r="H113"/>
      <c r="I113"/>
      <c r="J113"/>
      <c r="K113"/>
      <c r="L113"/>
    </row>
    <row r="114" spans="1:12" s="3" customFormat="1" ht="16.5">
      <c r="A114" s="32"/>
      <c r="B114" s="66"/>
      <c r="C114" t="s">
        <v>32</v>
      </c>
      <c r="D114"/>
      <c r="E114"/>
      <c r="F114"/>
      <c r="G114"/>
      <c r="H114"/>
      <c r="I114"/>
      <c r="J114"/>
      <c r="K114"/>
      <c r="L114"/>
    </row>
    <row r="115" spans="1:12" s="3" customFormat="1" ht="16.5">
      <c r="A115" s="32"/>
      <c r="B115" s="66"/>
      <c r="C115" t="s">
        <v>32</v>
      </c>
      <c r="D115"/>
      <c r="E115"/>
      <c r="F115"/>
      <c r="G115"/>
      <c r="H115"/>
      <c r="I115"/>
      <c r="J115"/>
      <c r="K115"/>
      <c r="L115"/>
    </row>
    <row r="116" spans="1:12" s="3" customFormat="1" ht="16.5">
      <c r="A116" s="32"/>
      <c r="B116" s="66"/>
      <c r="C116" t="s">
        <v>32</v>
      </c>
      <c r="D116"/>
      <c r="E116"/>
      <c r="F116"/>
      <c r="G116"/>
      <c r="H116"/>
      <c r="I116"/>
      <c r="J116"/>
      <c r="K116"/>
      <c r="L116"/>
    </row>
    <row r="117" spans="1:12" s="3" customFormat="1">
      <c r="A117" s="8"/>
      <c r="B117" s="66"/>
      <c r="C117" t="s">
        <v>32</v>
      </c>
      <c r="D117"/>
      <c r="E117"/>
      <c r="F117"/>
      <c r="G117"/>
      <c r="H117"/>
      <c r="I117"/>
      <c r="J117"/>
      <c r="K117"/>
      <c r="L117"/>
    </row>
    <row r="118" spans="1:12" s="3" customFormat="1" ht="16.5">
      <c r="A118" s="32"/>
      <c r="B118" s="66"/>
      <c r="C118" t="s">
        <v>127</v>
      </c>
      <c r="D118"/>
      <c r="E118"/>
      <c r="F118"/>
      <c r="G118"/>
      <c r="H118"/>
      <c r="I118"/>
      <c r="J118"/>
      <c r="K118"/>
      <c r="L118"/>
    </row>
    <row r="119" spans="1:12" s="3" customFormat="1" ht="16.5">
      <c r="A119" s="32"/>
      <c r="B119" s="66"/>
      <c r="C119" t="s">
        <v>32</v>
      </c>
      <c r="D119"/>
      <c r="E119"/>
      <c r="F119"/>
      <c r="G119"/>
      <c r="H119"/>
      <c r="I119"/>
      <c r="J119"/>
      <c r="K119"/>
      <c r="L119"/>
    </row>
    <row r="120" spans="1:12" s="3" customFormat="1" ht="16.5">
      <c r="A120" s="32"/>
      <c r="B120" s="66"/>
      <c r="C120" t="s">
        <v>32</v>
      </c>
      <c r="D120"/>
      <c r="E120"/>
      <c r="F120"/>
      <c r="G120"/>
      <c r="H120"/>
      <c r="I120"/>
      <c r="J120"/>
      <c r="K120"/>
      <c r="L120"/>
    </row>
    <row r="121" spans="1:12" s="3" customFormat="1" ht="16.5">
      <c r="A121" s="32"/>
      <c r="B121" s="66"/>
      <c r="C121" t="s">
        <v>32</v>
      </c>
      <c r="D121"/>
      <c r="E121"/>
      <c r="F121"/>
      <c r="G121"/>
      <c r="H121"/>
      <c r="I121"/>
      <c r="J121"/>
      <c r="K121"/>
      <c r="L121"/>
    </row>
    <row r="122" spans="1:12" s="3" customFormat="1" ht="16.5">
      <c r="A122" s="32"/>
      <c r="B122" s="66"/>
      <c r="C122" t="s">
        <v>32</v>
      </c>
      <c r="D122"/>
      <c r="E122"/>
      <c r="F122"/>
      <c r="G122"/>
      <c r="H122"/>
      <c r="I122"/>
      <c r="J122"/>
      <c r="K122"/>
      <c r="L122"/>
    </row>
    <row r="123" spans="1:12" s="3" customFormat="1" ht="16.5">
      <c r="A123" s="32"/>
      <c r="B123" s="66"/>
      <c r="C123" t="s">
        <v>138</v>
      </c>
      <c r="D123"/>
      <c r="E123"/>
      <c r="F123"/>
      <c r="G123"/>
      <c r="H123"/>
      <c r="I123"/>
      <c r="J123"/>
      <c r="K123"/>
      <c r="L123"/>
    </row>
    <row r="124" spans="1:12" s="3" customFormat="1" ht="16.5">
      <c r="A124" s="32"/>
      <c r="B124" s="66"/>
      <c r="C124" t="s">
        <v>32</v>
      </c>
      <c r="D124"/>
      <c r="E124"/>
      <c r="F124"/>
      <c r="G124"/>
      <c r="H124"/>
      <c r="I124"/>
      <c r="J124"/>
      <c r="K124"/>
      <c r="L124"/>
    </row>
    <row r="125" spans="1:12" s="3" customFormat="1" ht="16.5">
      <c r="A125" s="32"/>
      <c r="B125" s="66"/>
      <c r="C125" t="s">
        <v>32</v>
      </c>
      <c r="D125"/>
      <c r="E125"/>
      <c r="F125"/>
      <c r="G125"/>
      <c r="H125"/>
      <c r="I125"/>
      <c r="J125"/>
      <c r="K125"/>
      <c r="L125"/>
    </row>
    <row r="126" spans="1:12" s="3" customFormat="1" ht="16.5">
      <c r="A126" s="32"/>
      <c r="B126" s="66"/>
      <c r="C126" t="s">
        <v>32</v>
      </c>
      <c r="D126"/>
      <c r="E126"/>
      <c r="F126"/>
      <c r="G126"/>
      <c r="H126"/>
      <c r="I126"/>
      <c r="J126"/>
      <c r="K126"/>
      <c r="L126"/>
    </row>
    <row r="127" spans="1:12" s="3" customFormat="1" ht="16.5">
      <c r="A127" s="32"/>
      <c r="B127" s="66"/>
      <c r="C127" t="s">
        <v>32</v>
      </c>
      <c r="D127"/>
      <c r="E127"/>
      <c r="F127"/>
      <c r="G127"/>
      <c r="H127"/>
      <c r="I127"/>
      <c r="J127"/>
      <c r="K127"/>
      <c r="L127"/>
    </row>
    <row r="128" spans="1:12" s="3" customFormat="1" ht="16.5">
      <c r="A128" s="32"/>
      <c r="B128" s="66"/>
      <c r="C128" t="s">
        <v>149</v>
      </c>
      <c r="D128"/>
      <c r="E128"/>
      <c r="F128"/>
      <c r="G128"/>
      <c r="H128"/>
      <c r="I128"/>
      <c r="J128" t="s">
        <v>150</v>
      </c>
      <c r="K128"/>
      <c r="L128"/>
    </row>
    <row r="129" spans="1:20" s="3" customFormat="1" ht="16.5">
      <c r="A129" s="32"/>
      <c r="B129" s="61"/>
      <c r="C129" t="s">
        <v>32</v>
      </c>
      <c r="D129"/>
      <c r="E129"/>
      <c r="F129" t="s">
        <v>152</v>
      </c>
      <c r="G129"/>
      <c r="H129"/>
      <c r="I129"/>
      <c r="J129" t="s">
        <v>153</v>
      </c>
      <c r="K129"/>
      <c r="L129"/>
    </row>
    <row r="130" spans="1:20" s="3" customFormat="1" ht="16.5">
      <c r="A130" s="32"/>
      <c r="B130" s="61"/>
      <c r="C130" t="s">
        <v>32</v>
      </c>
      <c r="D130"/>
      <c r="E130"/>
      <c r="F130" t="s">
        <v>152</v>
      </c>
      <c r="G130"/>
      <c r="H130"/>
      <c r="I130"/>
      <c r="J130" t="s">
        <v>155</v>
      </c>
      <c r="K130"/>
      <c r="L130"/>
    </row>
    <row r="131" spans="1:20" s="3" customFormat="1" ht="16.5">
      <c r="A131" s="32"/>
      <c r="B131" s="61"/>
      <c r="C131" t="s">
        <v>32</v>
      </c>
      <c r="D131"/>
      <c r="E131"/>
      <c r="F131" t="s">
        <v>152</v>
      </c>
      <c r="G131"/>
      <c r="H131"/>
      <c r="I131"/>
      <c r="J131" t="s">
        <v>68</v>
      </c>
      <c r="K131"/>
      <c r="L131"/>
    </row>
    <row r="132" spans="1:20" s="3" customFormat="1" ht="16.5">
      <c r="A132" s="32"/>
      <c r="B132" s="67"/>
      <c r="C132" t="s">
        <v>32</v>
      </c>
      <c r="D132"/>
      <c r="E132"/>
      <c r="F132" t="s">
        <v>152</v>
      </c>
      <c r="G132"/>
      <c r="H132"/>
      <c r="I132"/>
      <c r="J132"/>
      <c r="K132"/>
      <c r="L132"/>
    </row>
    <row r="133" spans="1:20" s="3" customFormat="1">
      <c r="A133" s="8"/>
      <c r="B133" s="61"/>
      <c r="C133" t="s">
        <v>158</v>
      </c>
      <c r="D133"/>
      <c r="E133" t="s">
        <v>152</v>
      </c>
      <c r="F133" t="s">
        <v>152</v>
      </c>
      <c r="G133"/>
      <c r="H133"/>
      <c r="I133"/>
      <c r="J133"/>
      <c r="K133"/>
      <c r="L133"/>
    </row>
    <row r="134" spans="1:20" s="3" customFormat="1">
      <c r="A134" s="8"/>
      <c r="B134" s="61"/>
      <c r="C134" t="s">
        <v>32</v>
      </c>
      <c r="D134"/>
      <c r="E134" t="s">
        <v>152</v>
      </c>
      <c r="F134" t="s">
        <v>152</v>
      </c>
      <c r="G134"/>
      <c r="H134"/>
      <c r="I134"/>
      <c r="J134"/>
      <c r="K134"/>
      <c r="L134"/>
    </row>
    <row r="135" spans="1:20" s="3" customFormat="1">
      <c r="A135" s="8"/>
      <c r="B135" s="61"/>
      <c r="C135" t="s">
        <v>32</v>
      </c>
      <c r="D135"/>
      <c r="E135" t="s">
        <v>152</v>
      </c>
      <c r="F135" t="s">
        <v>152</v>
      </c>
      <c r="G135"/>
      <c r="H135"/>
      <c r="I135"/>
      <c r="J135"/>
      <c r="K135"/>
      <c r="L135"/>
    </row>
    <row r="136" spans="1:20" s="3" customFormat="1">
      <c r="A136" s="8"/>
      <c r="B136" s="61"/>
      <c r="C136" t="s">
        <v>32</v>
      </c>
      <c r="D136"/>
      <c r="E136" t="s">
        <v>152</v>
      </c>
      <c r="F136" t="s">
        <v>152</v>
      </c>
      <c r="G136"/>
      <c r="H136"/>
      <c r="I136"/>
      <c r="J136"/>
      <c r="K136"/>
      <c r="L136"/>
    </row>
    <row r="137" spans="1:20" s="3" customFormat="1">
      <c r="A137" s="8"/>
      <c r="B137" s="61"/>
      <c r="C137" t="s">
        <v>32</v>
      </c>
      <c r="D137"/>
      <c r="E137" t="s">
        <v>152</v>
      </c>
      <c r="F137" t="s">
        <v>152</v>
      </c>
      <c r="G137"/>
      <c r="H137"/>
      <c r="I137"/>
      <c r="J137"/>
      <c r="K137"/>
      <c r="L137"/>
    </row>
    <row r="138" spans="1:20" s="3" customFormat="1">
      <c r="A138" t="s">
        <v>38</v>
      </c>
      <c r="B138" t="s">
        <v>32</v>
      </c>
      <c r="C138"/>
      <c r="D138"/>
      <c r="E138"/>
      <c r="F138"/>
      <c r="G138"/>
      <c r="H138"/>
      <c r="I138"/>
      <c r="J138"/>
      <c r="K138"/>
      <c r="L138"/>
    </row>
    <row r="139" spans="1:20" s="3" customFormat="1">
      <c r="A139" t="s">
        <v>159</v>
      </c>
      <c r="B139"/>
      <c r="C139"/>
      <c r="D139"/>
      <c r="E139"/>
      <c r="F139"/>
      <c r="G139"/>
      <c r="H139"/>
      <c r="I139"/>
      <c r="J139"/>
      <c r="K139"/>
      <c r="L139"/>
      <c r="O139" s="127"/>
      <c r="P139" s="127"/>
      <c r="Q139" s="127"/>
      <c r="R139" s="127"/>
      <c r="S139" s="127"/>
      <c r="T139" s="127"/>
    </row>
    <row r="140" spans="1:20" s="3" customFormat="1">
      <c r="A140" t="s">
        <v>160</v>
      </c>
      <c r="B140"/>
      <c r="C140"/>
      <c r="D140" s="133"/>
      <c r="E140" s="127"/>
      <c r="F140" s="127"/>
      <c r="G140"/>
      <c r="H140"/>
      <c r="I140"/>
      <c r="J140"/>
      <c r="K140"/>
      <c r="L140"/>
      <c r="O140" s="127"/>
      <c r="P140" s="127"/>
      <c r="Q140" s="127"/>
      <c r="R140" s="127"/>
      <c r="S140" s="127"/>
      <c r="T140" s="127"/>
    </row>
    <row r="141" spans="1:20" s="3" customFormat="1">
      <c r="A141" s="24">
        <v>32</v>
      </c>
      <c r="B141" s="78" t="s">
        <v>1631</v>
      </c>
      <c r="C141" s="78" t="s">
        <v>1632</v>
      </c>
      <c r="D141" s="65"/>
      <c r="E141" s="194"/>
      <c r="F141" s="194"/>
      <c r="G141" t="s">
        <v>58</v>
      </c>
      <c r="O141" s="127"/>
      <c r="P141" s="85"/>
      <c r="Q141" s="194"/>
      <c r="R141" s="194"/>
      <c r="S141" s="127"/>
      <c r="T141" s="133"/>
    </row>
    <row r="142" spans="1:20" s="3" customFormat="1">
      <c r="A142" s="24">
        <v>42</v>
      </c>
      <c r="B142" s="78" t="s">
        <v>1631</v>
      </c>
      <c r="C142" s="78" t="s">
        <v>1621</v>
      </c>
      <c r="D142" s="65"/>
      <c r="E142" s="194"/>
      <c r="F142" s="194"/>
      <c r="G142" t="s">
        <v>32</v>
      </c>
      <c r="H142" t="s">
        <v>162</v>
      </c>
      <c r="I142"/>
      <c r="J142"/>
      <c r="K142"/>
      <c r="O142" s="127"/>
      <c r="P142" s="85"/>
      <c r="Q142" s="127"/>
      <c r="R142" s="127"/>
      <c r="S142" s="127"/>
      <c r="T142" s="133"/>
    </row>
    <row r="143" spans="1:20" s="3" customFormat="1">
      <c r="A143" s="24">
        <v>46</v>
      </c>
      <c r="B143" s="78" t="s">
        <v>1633</v>
      </c>
      <c r="C143" s="78" t="s">
        <v>1621</v>
      </c>
      <c r="D143" s="65"/>
      <c r="E143" s="194"/>
      <c r="F143" s="194"/>
      <c r="G143" t="s">
        <v>32</v>
      </c>
      <c r="H143"/>
      <c r="I143"/>
      <c r="J143"/>
      <c r="K143"/>
      <c r="O143" s="127"/>
      <c r="P143" s="85"/>
      <c r="Q143" s="194"/>
      <c r="R143" s="194"/>
      <c r="S143" s="127"/>
      <c r="T143" s="133"/>
    </row>
    <row r="144" spans="1:20" s="3" customFormat="1">
      <c r="A144" s="24">
        <v>34</v>
      </c>
      <c r="B144" s="78" t="s">
        <v>1631</v>
      </c>
      <c r="C144" s="78" t="s">
        <v>1634</v>
      </c>
      <c r="D144" s="65"/>
      <c r="E144" s="194"/>
      <c r="F144" s="194"/>
      <c r="G144" t="s">
        <v>32</v>
      </c>
      <c r="H144"/>
      <c r="I144"/>
      <c r="J144"/>
      <c r="K144"/>
      <c r="O144" s="127"/>
      <c r="P144" s="85"/>
      <c r="Q144" s="194"/>
      <c r="R144" s="194"/>
      <c r="S144" s="127"/>
      <c r="T144" s="133"/>
    </row>
    <row r="145" spans="1:20" s="3" customFormat="1">
      <c r="A145" s="24">
        <v>45</v>
      </c>
      <c r="B145" s="78" t="s">
        <v>1631</v>
      </c>
      <c r="C145" s="78" t="s">
        <v>1634</v>
      </c>
      <c r="D145" s="65"/>
      <c r="E145" s="194"/>
      <c r="F145" s="194"/>
      <c r="G145" t="s">
        <v>32</v>
      </c>
      <c r="H145"/>
      <c r="I145"/>
      <c r="J145"/>
      <c r="K145"/>
      <c r="O145" s="127"/>
      <c r="P145" s="85"/>
      <c r="Q145" s="194"/>
      <c r="R145" s="194"/>
      <c r="S145" s="127"/>
      <c r="T145" s="133"/>
    </row>
    <row r="146" spans="1:20" s="3" customFormat="1">
      <c r="A146" s="24">
        <v>47</v>
      </c>
      <c r="B146" s="78" t="s">
        <v>1635</v>
      </c>
      <c r="C146" s="78">
        <v>10</v>
      </c>
      <c r="D146" s="65"/>
      <c r="E146" s="194"/>
      <c r="F146" s="194"/>
      <c r="G146" t="s">
        <v>73</v>
      </c>
      <c r="H146"/>
      <c r="I146"/>
      <c r="J146"/>
      <c r="K146"/>
      <c r="O146" s="127"/>
      <c r="P146" s="85"/>
      <c r="Q146" s="194"/>
      <c r="R146" s="194"/>
      <c r="S146" s="127"/>
      <c r="T146" s="133"/>
    </row>
    <row r="147" spans="1:20" s="3" customFormat="1">
      <c r="A147" s="24">
        <v>50</v>
      </c>
      <c r="B147" s="78" t="s">
        <v>1636</v>
      </c>
      <c r="C147" s="78">
        <v>10</v>
      </c>
      <c r="D147" s="65"/>
      <c r="E147" s="194"/>
      <c r="F147" s="194"/>
      <c r="G147" t="s">
        <v>32</v>
      </c>
      <c r="H147"/>
      <c r="I147"/>
      <c r="J147"/>
      <c r="K147"/>
      <c r="O147" s="127"/>
      <c r="P147" s="85"/>
      <c r="Q147" s="127"/>
      <c r="R147" s="127"/>
      <c r="S147" s="127"/>
      <c r="T147" s="133"/>
    </row>
    <row r="148" spans="1:20" s="3" customFormat="1">
      <c r="A148" s="24">
        <v>49</v>
      </c>
      <c r="B148" s="78" t="s">
        <v>161</v>
      </c>
      <c r="C148" s="78">
        <v>10</v>
      </c>
      <c r="D148" s="65"/>
      <c r="E148" s="194"/>
      <c r="F148" s="194"/>
      <c r="G148" t="s">
        <v>32</v>
      </c>
      <c r="H148"/>
      <c r="I148"/>
      <c r="J148"/>
      <c r="K148"/>
      <c r="O148" s="127"/>
      <c r="P148" s="85"/>
      <c r="Q148" s="194"/>
      <c r="R148" s="194"/>
      <c r="S148" s="127"/>
      <c r="T148" s="133"/>
    </row>
    <row r="149" spans="1:20" s="3" customFormat="1">
      <c r="A149" s="24">
        <v>48</v>
      </c>
      <c r="B149" s="78" t="s">
        <v>161</v>
      </c>
      <c r="C149" s="78">
        <v>10</v>
      </c>
      <c r="D149" s="65"/>
      <c r="E149" s="194"/>
      <c r="F149" s="194"/>
      <c r="G149" t="s">
        <v>32</v>
      </c>
      <c r="H149"/>
      <c r="I149"/>
      <c r="J149"/>
      <c r="K149"/>
      <c r="O149" s="127"/>
      <c r="P149" s="85"/>
      <c r="Q149" s="194"/>
      <c r="R149" s="194"/>
      <c r="S149" s="127"/>
      <c r="T149" s="133"/>
    </row>
    <row r="150" spans="1:20" s="3" customFormat="1">
      <c r="A150" s="24"/>
      <c r="B150" s="78"/>
      <c r="C150" s="78"/>
      <c r="D150" s="65"/>
      <c r="E150" s="194"/>
      <c r="F150" s="194"/>
      <c r="G150" t="s">
        <v>32</v>
      </c>
      <c r="H150"/>
      <c r="I150"/>
      <c r="J150"/>
      <c r="K150"/>
      <c r="O150" s="127"/>
      <c r="P150" s="85"/>
      <c r="Q150" s="194"/>
      <c r="R150" s="194"/>
      <c r="S150" s="127"/>
      <c r="T150" s="133"/>
    </row>
    <row r="151" spans="1:20" s="3" customFormat="1">
      <c r="A151" s="24">
        <v>35</v>
      </c>
      <c r="B151" s="78" t="s">
        <v>164</v>
      </c>
      <c r="C151" s="78" t="s">
        <v>165</v>
      </c>
      <c r="D151" s="65"/>
      <c r="E151" s="194"/>
      <c r="F151" s="194"/>
      <c r="G151" t="s">
        <v>84</v>
      </c>
      <c r="H151"/>
      <c r="I151"/>
      <c r="J151"/>
      <c r="K151"/>
      <c r="O151" s="127"/>
      <c r="P151" s="85"/>
      <c r="Q151" s="194"/>
      <c r="R151" s="194"/>
      <c r="S151" s="127"/>
      <c r="T151" s="133"/>
    </row>
    <row r="152" spans="1:20" s="3" customFormat="1">
      <c r="A152" s="24">
        <v>98</v>
      </c>
      <c r="B152" s="78" t="s">
        <v>164</v>
      </c>
      <c r="C152" s="78" t="s">
        <v>165</v>
      </c>
      <c r="D152" s="65"/>
      <c r="E152" s="194"/>
      <c r="F152" s="194"/>
      <c r="G152" t="s">
        <v>32</v>
      </c>
      <c r="H152"/>
      <c r="I152"/>
      <c r="J152"/>
      <c r="K152"/>
      <c r="O152" s="127"/>
      <c r="P152" s="85"/>
      <c r="Q152" s="194"/>
      <c r="R152" s="194"/>
      <c r="S152" s="127"/>
      <c r="T152" s="133"/>
    </row>
    <row r="153" spans="1:20" s="3" customFormat="1">
      <c r="A153" s="24"/>
      <c r="B153" s="78"/>
      <c r="C153" s="78"/>
      <c r="D153" s="65"/>
      <c r="E153" s="194"/>
      <c r="F153" s="194"/>
      <c r="G153" t="s">
        <v>32</v>
      </c>
      <c r="H153"/>
      <c r="I153"/>
      <c r="J153"/>
      <c r="K153"/>
      <c r="O153" s="127"/>
      <c r="P153" s="85"/>
      <c r="Q153" s="194"/>
      <c r="R153" s="194"/>
      <c r="S153" s="127"/>
      <c r="T153" s="133"/>
    </row>
    <row r="154" spans="1:20" s="3" customFormat="1">
      <c r="A154" s="24"/>
      <c r="B154" s="24"/>
      <c r="C154" s="24"/>
      <c r="D154" s="65"/>
      <c r="E154" s="194"/>
      <c r="F154" s="194"/>
      <c r="G154" t="s">
        <v>32</v>
      </c>
      <c r="H154"/>
      <c r="I154"/>
      <c r="J154"/>
      <c r="K154"/>
      <c r="O154" s="127"/>
      <c r="P154" s="85"/>
      <c r="Q154" s="195"/>
      <c r="R154" s="195"/>
      <c r="S154" s="127"/>
      <c r="T154" s="133"/>
    </row>
    <row r="155" spans="1:20" s="3" customFormat="1">
      <c r="A155" s="24"/>
      <c r="B155" s="24"/>
      <c r="C155" s="24"/>
      <c r="D155" s="65"/>
      <c r="E155" s="194"/>
      <c r="F155" s="194"/>
      <c r="G155" t="s">
        <v>32</v>
      </c>
      <c r="H155"/>
      <c r="I155"/>
      <c r="J155"/>
      <c r="K155"/>
      <c r="O155" s="127"/>
      <c r="P155" s="85"/>
      <c r="Q155" s="195"/>
      <c r="R155" s="195"/>
      <c r="S155" s="127"/>
      <c r="T155" s="133"/>
    </row>
    <row r="156" spans="1:20" s="3" customFormat="1">
      <c r="A156" s="24">
        <v>60</v>
      </c>
      <c r="B156" s="78" t="s">
        <v>164</v>
      </c>
      <c r="C156" s="78" t="s">
        <v>165</v>
      </c>
      <c r="D156" s="65"/>
      <c r="E156" s="194"/>
      <c r="F156" s="194"/>
      <c r="G156" t="s">
        <v>95</v>
      </c>
      <c r="H156"/>
      <c r="I156"/>
      <c r="J156"/>
      <c r="K156"/>
      <c r="O156" s="127"/>
      <c r="P156" s="85"/>
      <c r="Q156" s="194"/>
      <c r="R156" s="194"/>
      <c r="S156" s="127"/>
      <c r="T156" s="127"/>
    </row>
    <row r="157" spans="1:20" s="3" customFormat="1">
      <c r="A157" s="24">
        <v>59</v>
      </c>
      <c r="B157" s="78" t="s">
        <v>164</v>
      </c>
      <c r="C157" s="78" t="s">
        <v>165</v>
      </c>
      <c r="D157" s="65"/>
      <c r="E157" s="194"/>
      <c r="F157" s="194"/>
      <c r="G157" t="s">
        <v>32</v>
      </c>
      <c r="H157"/>
      <c r="I157"/>
      <c r="J157"/>
      <c r="K157"/>
      <c r="O157" s="127"/>
      <c r="P157" s="85"/>
      <c r="Q157" s="194"/>
      <c r="R157" s="194"/>
      <c r="S157" s="127"/>
      <c r="T157" s="133"/>
    </row>
    <row r="158" spans="1:20" s="3" customFormat="1">
      <c r="A158" s="24">
        <v>58</v>
      </c>
      <c r="B158" s="78" t="s">
        <v>164</v>
      </c>
      <c r="C158" s="78" t="s">
        <v>165</v>
      </c>
      <c r="D158" s="65"/>
      <c r="E158" s="194"/>
      <c r="F158" s="194"/>
      <c r="G158" t="s">
        <v>32</v>
      </c>
      <c r="H158"/>
      <c r="I158"/>
      <c r="J158"/>
      <c r="K158"/>
      <c r="O158" s="127"/>
      <c r="P158" s="85"/>
      <c r="Q158" s="194"/>
      <c r="R158" s="194"/>
      <c r="S158" s="127"/>
      <c r="T158" s="133"/>
    </row>
    <row r="159" spans="1:20" s="3" customFormat="1">
      <c r="A159" s="197">
        <v>108</v>
      </c>
      <c r="B159" s="78" t="s">
        <v>164</v>
      </c>
      <c r="C159" s="78" t="s">
        <v>165</v>
      </c>
      <c r="D159" s="65"/>
      <c r="E159" s="195"/>
      <c r="F159" s="195"/>
      <c r="G159" t="s">
        <v>32</v>
      </c>
      <c r="H159"/>
      <c r="I159"/>
      <c r="J159"/>
      <c r="K159"/>
      <c r="O159" s="127"/>
      <c r="P159" s="85"/>
      <c r="Q159" s="194"/>
      <c r="R159" s="194"/>
      <c r="S159" s="127"/>
      <c r="T159" s="133"/>
    </row>
    <row r="160" spans="1:20" s="3" customFormat="1">
      <c r="A160" s="197">
        <v>107</v>
      </c>
      <c r="B160" s="78" t="s">
        <v>164</v>
      </c>
      <c r="C160" s="78" t="s">
        <v>165</v>
      </c>
      <c r="D160" s="65"/>
      <c r="E160" s="195"/>
      <c r="F160" s="195"/>
      <c r="G160" t="s">
        <v>32</v>
      </c>
      <c r="H160"/>
      <c r="I160"/>
      <c r="J160"/>
      <c r="K160"/>
      <c r="O160" s="127"/>
      <c r="P160" s="85"/>
      <c r="Q160" s="194"/>
      <c r="R160" s="194"/>
      <c r="S160" s="127"/>
      <c r="T160" s="133"/>
    </row>
    <row r="161" spans="1:20" s="3" customFormat="1">
      <c r="A161" s="197">
        <v>105</v>
      </c>
      <c r="B161" s="78" t="s">
        <v>164</v>
      </c>
      <c r="C161" s="78" t="s">
        <v>165</v>
      </c>
      <c r="D161" s="65"/>
      <c r="E161" s="195"/>
      <c r="F161" s="195"/>
      <c r="G161" t="s">
        <v>106</v>
      </c>
      <c r="H161"/>
      <c r="I161"/>
      <c r="J161"/>
      <c r="K161"/>
      <c r="O161" s="127"/>
      <c r="P161" s="85"/>
      <c r="Q161" s="194"/>
      <c r="R161" s="194"/>
      <c r="S161" s="127"/>
      <c r="T161" s="133"/>
    </row>
    <row r="162" spans="1:20" s="3" customFormat="1">
      <c r="A162" s="197">
        <v>104</v>
      </c>
      <c r="B162" s="78" t="s">
        <v>164</v>
      </c>
      <c r="C162" s="78" t="s">
        <v>165</v>
      </c>
      <c r="D162" s="65"/>
      <c r="E162" s="195"/>
      <c r="F162" s="195"/>
      <c r="G162" t="s">
        <v>32</v>
      </c>
      <c r="H162"/>
      <c r="I162"/>
      <c r="J162"/>
      <c r="K162"/>
      <c r="O162" s="127"/>
      <c r="P162" s="85"/>
      <c r="Q162" s="194"/>
      <c r="R162" s="194"/>
      <c r="S162" s="127"/>
      <c r="T162" s="133"/>
    </row>
    <row r="163" spans="1:20" s="3" customFormat="1">
      <c r="A163" s="197">
        <v>41</v>
      </c>
      <c r="B163" s="78" t="s">
        <v>164</v>
      </c>
      <c r="C163" s="78" t="s">
        <v>165</v>
      </c>
      <c r="D163" s="65"/>
      <c r="E163" s="195"/>
      <c r="F163" s="195"/>
      <c r="G163" t="s">
        <v>32</v>
      </c>
      <c r="H163"/>
      <c r="I163"/>
      <c r="J163"/>
      <c r="K163"/>
      <c r="O163" s="127"/>
      <c r="P163" s="85"/>
      <c r="Q163" s="194"/>
      <c r="R163" s="194"/>
      <c r="S163" s="127"/>
      <c r="T163" s="133"/>
    </row>
    <row r="164" spans="1:20" s="3" customFormat="1">
      <c r="A164" s="197">
        <v>100</v>
      </c>
      <c r="B164" s="78" t="s">
        <v>164</v>
      </c>
      <c r="C164" s="78" t="s">
        <v>165</v>
      </c>
      <c r="D164" s="65"/>
      <c r="E164" s="195"/>
      <c r="F164" s="195"/>
      <c r="G164" t="s">
        <v>32</v>
      </c>
      <c r="H164"/>
      <c r="I164"/>
      <c r="J164"/>
      <c r="K164"/>
      <c r="O164" s="127"/>
      <c r="P164" s="127"/>
      <c r="Q164" s="127"/>
      <c r="R164" s="127"/>
      <c r="S164" s="127"/>
      <c r="T164" s="133"/>
    </row>
    <row r="165" spans="1:20" s="3" customFormat="1">
      <c r="A165" s="197">
        <v>99</v>
      </c>
      <c r="B165" s="78" t="s">
        <v>164</v>
      </c>
      <c r="C165" s="78" t="s">
        <v>165</v>
      </c>
      <c r="D165" s="65"/>
      <c r="E165" s="195"/>
      <c r="F165" s="195"/>
      <c r="G165" t="s">
        <v>32</v>
      </c>
      <c r="H165"/>
      <c r="I165"/>
      <c r="J165"/>
      <c r="K165"/>
      <c r="O165" s="127"/>
      <c r="P165" s="127"/>
      <c r="Q165" s="127"/>
      <c r="R165" s="127"/>
      <c r="S165" s="127"/>
      <c r="T165" s="133"/>
    </row>
    <row r="166" spans="1:20" s="3" customFormat="1">
      <c r="A166" s="197">
        <v>96</v>
      </c>
      <c r="B166" s="78" t="s">
        <v>164</v>
      </c>
      <c r="C166" s="78" t="s">
        <v>165</v>
      </c>
      <c r="D166" s="65"/>
      <c r="E166" s="195"/>
      <c r="F166" s="195"/>
      <c r="G166" t="s">
        <v>117</v>
      </c>
      <c r="H166"/>
      <c r="I166"/>
      <c r="J166"/>
      <c r="K166"/>
      <c r="T166"/>
    </row>
    <row r="167" spans="1:20" s="3" customFormat="1">
      <c r="A167" s="197">
        <v>111</v>
      </c>
      <c r="B167" s="78" t="s">
        <v>164</v>
      </c>
      <c r="C167" s="78" t="s">
        <v>165</v>
      </c>
      <c r="D167" s="65"/>
      <c r="E167" s="195"/>
      <c r="F167" s="195"/>
      <c r="G167" t="s">
        <v>32</v>
      </c>
      <c r="H167"/>
      <c r="I167"/>
      <c r="J167"/>
      <c r="K167"/>
      <c r="T167"/>
    </row>
    <row r="168" spans="1:20" s="3" customFormat="1">
      <c r="A168" s="197">
        <v>110</v>
      </c>
      <c r="B168" s="78" t="s">
        <v>164</v>
      </c>
      <c r="C168" s="78" t="s">
        <v>165</v>
      </c>
      <c r="D168" s="65"/>
      <c r="E168" s="195"/>
      <c r="F168" s="195"/>
      <c r="G168" t="s">
        <v>32</v>
      </c>
      <c r="H168"/>
      <c r="I168"/>
      <c r="J168"/>
      <c r="K168"/>
      <c r="T168"/>
    </row>
    <row r="169" spans="1:20" s="3" customFormat="1">
      <c r="A169" s="197">
        <v>33</v>
      </c>
      <c r="B169" s="78" t="s">
        <v>164</v>
      </c>
      <c r="C169" s="78" t="s">
        <v>165</v>
      </c>
      <c r="D169" s="65"/>
      <c r="E169" s="195"/>
      <c r="F169" s="195"/>
      <c r="G169" t="s">
        <v>32</v>
      </c>
      <c r="H169"/>
      <c r="I169"/>
      <c r="J169"/>
      <c r="K169"/>
      <c r="T169"/>
    </row>
    <row r="170" spans="1:20" s="3" customFormat="1">
      <c r="A170" s="197">
        <v>36</v>
      </c>
      <c r="B170" s="78" t="s">
        <v>164</v>
      </c>
      <c r="C170" s="78" t="s">
        <v>165</v>
      </c>
      <c r="D170" s="65"/>
      <c r="E170" s="195"/>
      <c r="F170" s="195"/>
      <c r="G170" t="s">
        <v>32</v>
      </c>
      <c r="H170"/>
      <c r="I170"/>
      <c r="J170"/>
      <c r="K170"/>
      <c r="T170"/>
    </row>
    <row r="171" spans="1:20" s="3" customFormat="1">
      <c r="A171" s="197"/>
      <c r="B171" s="78"/>
      <c r="C171" s="78"/>
      <c r="D171" s="65"/>
      <c r="E171" s="195"/>
      <c r="F171" s="195"/>
      <c r="G171" t="s">
        <v>127</v>
      </c>
      <c r="H171"/>
      <c r="I171"/>
      <c r="J171"/>
      <c r="K171"/>
      <c r="T171"/>
    </row>
    <row r="172" spans="1:20" s="3" customFormat="1">
      <c r="A172" s="197"/>
      <c r="B172" s="78"/>
      <c r="C172" s="78"/>
      <c r="D172" s="65"/>
      <c r="E172" s="195"/>
      <c r="F172" s="195"/>
      <c r="G172" t="s">
        <v>32</v>
      </c>
      <c r="H172"/>
      <c r="I172"/>
      <c r="J172"/>
      <c r="K172"/>
      <c r="T172"/>
    </row>
    <row r="173" spans="1:20" s="3" customFormat="1">
      <c r="A173" s="8"/>
      <c r="B173" s="77"/>
      <c r="C173" s="77"/>
      <c r="D173" s="65"/>
      <c r="E173" s="195"/>
      <c r="F173" s="195"/>
      <c r="G173" t="s">
        <v>32</v>
      </c>
      <c r="H173"/>
      <c r="I173"/>
      <c r="J173"/>
      <c r="K173"/>
      <c r="T173"/>
    </row>
    <row r="174" spans="1:20" s="3" customFormat="1">
      <c r="A174" s="8"/>
      <c r="B174" s="77"/>
      <c r="C174" s="77"/>
      <c r="D174" s="65"/>
      <c r="E174" s="195"/>
      <c r="F174" s="195"/>
      <c r="G174" t="s">
        <v>32</v>
      </c>
      <c r="H174"/>
      <c r="I174"/>
      <c r="J174"/>
      <c r="K174"/>
      <c r="T174"/>
    </row>
    <row r="175" spans="1:20" s="3" customFormat="1">
      <c r="A175" s="8"/>
      <c r="B175" s="77"/>
      <c r="C175" s="77"/>
      <c r="D175" s="65"/>
      <c r="E175" s="195"/>
      <c r="F175" s="195"/>
      <c r="G175" t="s">
        <v>32</v>
      </c>
      <c r="H175"/>
      <c r="I175"/>
      <c r="J175"/>
      <c r="K175"/>
      <c r="T175"/>
    </row>
    <row r="176" spans="1:20" s="3" customFormat="1">
      <c r="A176" s="8"/>
      <c r="B176" s="77"/>
      <c r="C176" s="77"/>
      <c r="D176" s="65"/>
      <c r="E176" s="195"/>
      <c r="F176" s="195"/>
      <c r="G176" t="s">
        <v>138</v>
      </c>
      <c r="H176"/>
      <c r="I176"/>
      <c r="J176"/>
      <c r="K176"/>
    </row>
    <row r="177" spans="1:20" s="3" customFormat="1">
      <c r="A177" s="8"/>
      <c r="B177" s="77"/>
      <c r="C177" s="77"/>
      <c r="D177" s="65"/>
      <c r="E177" s="195"/>
      <c r="F177" s="195"/>
      <c r="G177" t="s">
        <v>32</v>
      </c>
      <c r="H177"/>
      <c r="I177"/>
      <c r="J177"/>
      <c r="K177"/>
      <c r="T177"/>
    </row>
    <row r="178" spans="1:20" s="3" customFormat="1">
      <c r="A178" s="8"/>
      <c r="B178" s="77"/>
      <c r="C178" s="77"/>
      <c r="D178" s="65"/>
      <c r="E178" s="195"/>
      <c r="F178" s="195"/>
      <c r="G178" t="s">
        <v>32</v>
      </c>
      <c r="H178"/>
      <c r="I178"/>
      <c r="J178"/>
      <c r="K178"/>
      <c r="T178"/>
    </row>
    <row r="179" spans="1:20" s="3" customFormat="1">
      <c r="A179" s="8"/>
      <c r="B179" s="77"/>
      <c r="C179" s="77"/>
      <c r="D179" s="65"/>
      <c r="E179" s="195"/>
      <c r="F179" s="195"/>
      <c r="G179" t="s">
        <v>32</v>
      </c>
      <c r="H179"/>
      <c r="I179"/>
      <c r="J179"/>
      <c r="K179"/>
      <c r="T179"/>
    </row>
    <row r="180" spans="1:20" s="3" customFormat="1">
      <c r="A180" s="8"/>
      <c r="B180" s="77"/>
      <c r="C180" s="77"/>
      <c r="D180" s="65"/>
      <c r="E180" s="195"/>
      <c r="F180" s="195"/>
      <c r="G180" t="s">
        <v>32</v>
      </c>
      <c r="H180"/>
      <c r="I180"/>
      <c r="J180"/>
      <c r="K180"/>
      <c r="T180"/>
    </row>
    <row r="181" spans="1:20" s="3" customFormat="1">
      <c r="A181" s="8"/>
      <c r="B181" s="77"/>
      <c r="C181" s="77"/>
      <c r="D181" s="65"/>
      <c r="E181" s="195"/>
      <c r="F181" s="195"/>
      <c r="G181" t="s">
        <v>149</v>
      </c>
      <c r="H181"/>
      <c r="I181"/>
      <c r="J181"/>
      <c r="K181"/>
      <c r="T181"/>
    </row>
    <row r="182" spans="1:20" s="3" customFormat="1">
      <c r="A182" s="8"/>
      <c r="B182" s="77"/>
      <c r="C182" s="77"/>
      <c r="D182" s="65"/>
      <c r="E182" s="195"/>
      <c r="F182" s="195"/>
      <c r="G182" t="s">
        <v>32</v>
      </c>
      <c r="H182"/>
      <c r="I182"/>
      <c r="J182"/>
      <c r="K182"/>
      <c r="T182"/>
    </row>
    <row r="183" spans="1:20" s="3" customFormat="1">
      <c r="A183" s="8"/>
      <c r="B183" s="77"/>
      <c r="C183" s="77"/>
      <c r="D183" s="65"/>
      <c r="E183" s="195"/>
      <c r="F183" s="195"/>
      <c r="G183" t="s">
        <v>32</v>
      </c>
      <c r="H183"/>
      <c r="I183"/>
      <c r="J183"/>
      <c r="K183"/>
      <c r="T183"/>
    </row>
    <row r="184" spans="1:20" s="3" customFormat="1">
      <c r="A184" s="8"/>
      <c r="B184" s="77"/>
      <c r="C184" s="77"/>
      <c r="D184" s="65"/>
      <c r="E184" s="195"/>
      <c r="F184" s="195"/>
      <c r="G184" t="s">
        <v>32</v>
      </c>
      <c r="H184"/>
      <c r="I184"/>
      <c r="J184"/>
      <c r="K184"/>
      <c r="T184"/>
    </row>
    <row r="185" spans="1:20" s="3" customFormat="1">
      <c r="A185" s="8"/>
      <c r="B185" s="77"/>
      <c r="C185" s="77"/>
      <c r="D185" s="65"/>
      <c r="E185" s="195"/>
      <c r="F185" s="195"/>
      <c r="G185" t="s">
        <v>32</v>
      </c>
      <c r="H185"/>
      <c r="I185"/>
      <c r="J185"/>
      <c r="K185"/>
      <c r="T185"/>
    </row>
    <row r="186" spans="1:20" s="3" customFormat="1">
      <c r="A186" s="8"/>
      <c r="B186" s="77"/>
      <c r="C186" s="77"/>
      <c r="D186" s="65"/>
      <c r="E186" s="195"/>
      <c r="F186" s="195"/>
      <c r="G186" t="s">
        <v>158</v>
      </c>
      <c r="H186"/>
      <c r="I186"/>
      <c r="J186"/>
      <c r="K186"/>
      <c r="T186"/>
    </row>
    <row r="187" spans="1:20" s="3" customFormat="1">
      <c r="A187" s="8"/>
      <c r="B187" s="77"/>
      <c r="C187" s="77"/>
      <c r="D187" s="65"/>
      <c r="E187" s="195"/>
      <c r="F187" s="195"/>
      <c r="G187" t="s">
        <v>32</v>
      </c>
      <c r="H187"/>
      <c r="I187"/>
      <c r="J187"/>
      <c r="K187"/>
      <c r="T187"/>
    </row>
    <row r="188" spans="1:20" s="3" customFormat="1">
      <c r="A188" s="8"/>
      <c r="B188" s="77"/>
      <c r="C188" s="77"/>
      <c r="D188" s="65"/>
      <c r="E188" s="195"/>
      <c r="F188" s="195"/>
      <c r="G188" t="s">
        <v>32</v>
      </c>
      <c r="H188"/>
      <c r="I188"/>
      <c r="J188"/>
      <c r="K188"/>
      <c r="T188"/>
    </row>
    <row r="189" spans="1:20" s="3" customFormat="1">
      <c r="A189" s="8"/>
      <c r="B189" s="77"/>
      <c r="C189" s="77"/>
      <c r="D189" s="65"/>
      <c r="E189" s="195"/>
      <c r="F189" s="195"/>
      <c r="G189" t="s">
        <v>32</v>
      </c>
      <c r="H189"/>
      <c r="I189"/>
      <c r="J189"/>
      <c r="K189"/>
      <c r="T189"/>
    </row>
    <row r="190" spans="1:20" s="3" customFormat="1">
      <c r="A190" s="8"/>
      <c r="B190" s="77"/>
      <c r="C190" s="77"/>
      <c r="D190" s="65"/>
      <c r="E190" s="195"/>
      <c r="F190" s="195"/>
      <c r="G190" t="s">
        <v>32</v>
      </c>
      <c r="H190"/>
      <c r="I190"/>
      <c r="J190"/>
      <c r="K190"/>
      <c r="T190"/>
    </row>
    <row r="191" spans="1:20" s="3" customFormat="1">
      <c r="A191" s="8"/>
      <c r="B191" s="77"/>
      <c r="C191" s="77"/>
      <c r="D191" s="65"/>
      <c r="E191" s="195"/>
      <c r="F191" s="195"/>
      <c r="G191" t="s">
        <v>166</v>
      </c>
      <c r="H191"/>
      <c r="I191"/>
      <c r="J191"/>
      <c r="K191"/>
      <c r="T191"/>
    </row>
    <row r="192" spans="1:20" s="3" customFormat="1">
      <c r="A192" s="8"/>
      <c r="B192" s="77"/>
      <c r="C192" s="77"/>
      <c r="D192" s="65"/>
      <c r="E192" s="195"/>
      <c r="F192" s="195"/>
      <c r="G192" t="s">
        <v>32</v>
      </c>
      <c r="H192"/>
      <c r="I192"/>
      <c r="J192"/>
      <c r="K192"/>
      <c r="T192"/>
    </row>
    <row r="193" spans="1:20" s="3" customFormat="1">
      <c r="A193" s="8"/>
      <c r="B193" s="77"/>
      <c r="C193" s="77"/>
      <c r="D193" s="65"/>
      <c r="E193" s="195"/>
      <c r="F193" s="195"/>
      <c r="G193" t="s">
        <v>32</v>
      </c>
      <c r="H193"/>
      <c r="I193"/>
      <c r="J193"/>
      <c r="K193"/>
      <c r="T193"/>
    </row>
    <row r="194" spans="1:20" s="3" customFormat="1">
      <c r="A194" s="8"/>
      <c r="B194" s="77"/>
      <c r="C194" s="77"/>
      <c r="D194" s="65"/>
      <c r="E194" s="195"/>
      <c r="F194" s="195"/>
      <c r="G194" t="s">
        <v>32</v>
      </c>
      <c r="H194"/>
      <c r="I194"/>
      <c r="J194"/>
      <c r="K194"/>
      <c r="T194"/>
    </row>
    <row r="195" spans="1:20" s="3" customFormat="1">
      <c r="A195" s="8"/>
      <c r="B195" s="77"/>
      <c r="C195" s="77"/>
      <c r="D195" s="65"/>
      <c r="E195" s="195"/>
      <c r="F195" s="195"/>
      <c r="G195" t="s">
        <v>32</v>
      </c>
      <c r="H195"/>
      <c r="I195"/>
      <c r="J195"/>
      <c r="K195"/>
      <c r="T195"/>
    </row>
    <row r="196" spans="1:20" s="3" customFormat="1">
      <c r="A196" s="8"/>
      <c r="B196" s="77"/>
      <c r="C196" s="77"/>
      <c r="D196" s="65"/>
      <c r="E196" s="195"/>
      <c r="F196" s="195"/>
      <c r="G196" t="s">
        <v>167</v>
      </c>
      <c r="H196"/>
      <c r="I196"/>
      <c r="J196"/>
      <c r="K196"/>
      <c r="T196"/>
    </row>
    <row r="197" spans="1:20" s="3" customFormat="1">
      <c r="A197" s="8"/>
      <c r="B197" s="77"/>
      <c r="C197" s="77"/>
      <c r="D197" s="65"/>
      <c r="E197" s="195"/>
      <c r="F197" s="195"/>
      <c r="G197" t="s">
        <v>32</v>
      </c>
      <c r="H197"/>
      <c r="I197"/>
      <c r="J197"/>
      <c r="K197"/>
      <c r="T197"/>
    </row>
    <row r="198" spans="1:20" s="3" customFormat="1">
      <c r="A198" s="8"/>
      <c r="B198" s="77"/>
      <c r="C198" s="77"/>
      <c r="D198" s="65"/>
      <c r="E198" s="195"/>
      <c r="F198" s="195"/>
      <c r="G198" t="s">
        <v>32</v>
      </c>
      <c r="H198"/>
      <c r="I198"/>
      <c r="J198"/>
      <c r="K198"/>
    </row>
    <row r="199" spans="1:20" s="3" customFormat="1">
      <c r="A199" s="8"/>
      <c r="B199" s="77"/>
      <c r="C199" s="77"/>
      <c r="D199" s="65"/>
      <c r="E199" s="195"/>
      <c r="F199" s="195"/>
      <c r="G199" t="s">
        <v>32</v>
      </c>
      <c r="H199"/>
      <c r="I199"/>
      <c r="J199"/>
      <c r="K199"/>
      <c r="T199"/>
    </row>
    <row r="200" spans="1:20" s="3" customFormat="1">
      <c r="A200" s="8"/>
      <c r="B200" s="77"/>
      <c r="C200" s="77"/>
      <c r="D200" s="65"/>
      <c r="E200" s="195"/>
      <c r="F200" s="195"/>
      <c r="G200" t="s">
        <v>32</v>
      </c>
      <c r="H200"/>
      <c r="I200"/>
      <c r="J200"/>
      <c r="K200"/>
      <c r="T200"/>
    </row>
    <row r="201" spans="1:20" s="3" customFormat="1">
      <c r="A201" t="s">
        <v>38</v>
      </c>
      <c r="B201" s="55" t="s">
        <v>32</v>
      </c>
      <c r="C201"/>
      <c r="D201"/>
      <c r="E201"/>
      <c r="F201"/>
      <c r="G201"/>
      <c r="H201"/>
      <c r="I201"/>
      <c r="J201"/>
      <c r="K201"/>
      <c r="T201"/>
    </row>
    <row r="202" spans="1:20" s="3" customFormat="1">
      <c r="A202" s="6">
        <v>140</v>
      </c>
      <c r="B202" s="56">
        <v>141</v>
      </c>
      <c r="C202" t="s">
        <v>58</v>
      </c>
      <c r="D202"/>
      <c r="E202"/>
      <c r="F202" t="s">
        <v>168</v>
      </c>
      <c r="G202"/>
      <c r="H202"/>
      <c r="I202"/>
      <c r="J202"/>
      <c r="K202"/>
      <c r="L202"/>
    </row>
    <row r="203" spans="1:20" s="3" customFormat="1">
      <c r="A203" s="6">
        <v>142</v>
      </c>
      <c r="B203" s="56">
        <v>143</v>
      </c>
      <c r="C203" t="s">
        <v>32</v>
      </c>
      <c r="D203"/>
      <c r="E203"/>
      <c r="F203" t="s">
        <v>169</v>
      </c>
      <c r="G203"/>
      <c r="H203"/>
      <c r="I203"/>
      <c r="J203"/>
      <c r="K203"/>
      <c r="L203"/>
    </row>
    <row r="204" spans="1:20" s="3" customFormat="1">
      <c r="A204" s="6">
        <v>144</v>
      </c>
      <c r="B204" s="56">
        <v>145</v>
      </c>
      <c r="C204" t="s">
        <v>32</v>
      </c>
      <c r="D204"/>
      <c r="E204"/>
      <c r="F204" t="s">
        <v>170</v>
      </c>
      <c r="G204"/>
      <c r="H204"/>
      <c r="I204"/>
      <c r="J204"/>
      <c r="K204"/>
      <c r="L204"/>
    </row>
    <row r="205" spans="1:20" s="3" customFormat="1">
      <c r="A205" s="6">
        <v>146</v>
      </c>
      <c r="B205" s="56">
        <v>147</v>
      </c>
      <c r="C205" t="s">
        <v>32</v>
      </c>
      <c r="D205"/>
      <c r="E205"/>
      <c r="F205"/>
      <c r="G205"/>
      <c r="H205"/>
      <c r="I205"/>
      <c r="J205"/>
      <c r="K205"/>
      <c r="L205"/>
    </row>
    <row r="206" spans="1:20" s="3" customFormat="1">
      <c r="A206" s="6">
        <v>148</v>
      </c>
      <c r="B206" s="56">
        <v>149</v>
      </c>
      <c r="C206" t="s">
        <v>32</v>
      </c>
      <c r="D206"/>
      <c r="E206"/>
      <c r="F206"/>
      <c r="G206"/>
      <c r="H206"/>
      <c r="I206"/>
      <c r="J206"/>
      <c r="K206"/>
      <c r="L206"/>
    </row>
    <row r="207" spans="1:20" s="3" customFormat="1">
      <c r="A207" s="6">
        <v>150</v>
      </c>
      <c r="B207" s="56">
        <v>151</v>
      </c>
      <c r="C207" t="s">
        <v>73</v>
      </c>
      <c r="D207"/>
      <c r="E207"/>
      <c r="F207"/>
      <c r="G207"/>
      <c r="H207"/>
      <c r="I207"/>
      <c r="J207"/>
      <c r="K207"/>
      <c r="L207"/>
    </row>
    <row r="208" spans="1:20" s="3" customFormat="1">
      <c r="A208" s="6">
        <v>152</v>
      </c>
      <c r="B208" s="56">
        <v>153</v>
      </c>
      <c r="C208" t="s">
        <v>32</v>
      </c>
      <c r="D208"/>
      <c r="E208"/>
      <c r="F208"/>
      <c r="G208"/>
      <c r="H208"/>
      <c r="I208"/>
      <c r="J208"/>
      <c r="K208"/>
      <c r="L208"/>
    </row>
    <row r="209" spans="1:12" s="3" customFormat="1">
      <c r="A209" s="6">
        <v>154</v>
      </c>
      <c r="B209" s="56">
        <v>155</v>
      </c>
      <c r="C209" t="s">
        <v>32</v>
      </c>
      <c r="D209"/>
      <c r="E209"/>
      <c r="F209"/>
      <c r="G209"/>
      <c r="H209"/>
      <c r="I209"/>
      <c r="J209"/>
      <c r="K209"/>
      <c r="L209"/>
    </row>
    <row r="210" spans="1:12" s="3" customFormat="1">
      <c r="A210" s="6">
        <v>156</v>
      </c>
      <c r="B210" s="56">
        <v>157</v>
      </c>
      <c r="C210" t="s">
        <v>32</v>
      </c>
      <c r="D210"/>
      <c r="E210"/>
      <c r="F210"/>
      <c r="G210"/>
      <c r="H210"/>
      <c r="I210"/>
      <c r="J210"/>
      <c r="K210"/>
      <c r="L210"/>
    </row>
    <row r="211" spans="1:12" s="3" customFormat="1">
      <c r="A211" s="6">
        <v>158</v>
      </c>
      <c r="B211" s="56">
        <v>159</v>
      </c>
      <c r="C211" t="s">
        <v>32</v>
      </c>
      <c r="D211"/>
      <c r="E211"/>
      <c r="F211"/>
      <c r="G211"/>
      <c r="H211"/>
      <c r="I211"/>
      <c r="J211"/>
      <c r="K211"/>
      <c r="L211"/>
    </row>
    <row r="212" spans="1:12" s="3" customFormat="1">
      <c r="A212" s="6">
        <v>160</v>
      </c>
      <c r="B212" s="56">
        <v>161</v>
      </c>
      <c r="C212" t="s">
        <v>84</v>
      </c>
      <c r="D212"/>
      <c r="E212"/>
      <c r="F212"/>
      <c r="G212"/>
      <c r="H212"/>
      <c r="I212"/>
      <c r="J212"/>
      <c r="K212"/>
      <c r="L212"/>
    </row>
    <row r="213" spans="1:12" s="3" customFormat="1">
      <c r="A213" s="6">
        <v>162</v>
      </c>
      <c r="B213" s="56">
        <v>163</v>
      </c>
      <c r="C213" t="s">
        <v>32</v>
      </c>
      <c r="D213"/>
      <c r="E213"/>
      <c r="F213"/>
      <c r="G213"/>
      <c r="H213"/>
      <c r="I213"/>
      <c r="J213"/>
      <c r="K213"/>
      <c r="L213"/>
    </row>
    <row r="214" spans="1:12" s="3" customFormat="1">
      <c r="A214" s="6">
        <v>164</v>
      </c>
      <c r="B214" s="56">
        <v>165</v>
      </c>
      <c r="C214" t="s">
        <v>32</v>
      </c>
      <c r="D214"/>
      <c r="E214"/>
      <c r="F214"/>
      <c r="G214"/>
      <c r="H214"/>
      <c r="I214"/>
      <c r="J214"/>
      <c r="K214"/>
      <c r="L214"/>
    </row>
    <row r="215" spans="1:12" s="3" customFormat="1">
      <c r="A215" s="6">
        <v>166</v>
      </c>
      <c r="B215" s="56">
        <v>167</v>
      </c>
      <c r="C215" t="s">
        <v>32</v>
      </c>
      <c r="D215"/>
      <c r="E215"/>
      <c r="F215"/>
      <c r="G215"/>
      <c r="H215"/>
      <c r="I215"/>
      <c r="J215"/>
      <c r="K215"/>
      <c r="L215"/>
    </row>
    <row r="216" spans="1:12" s="3" customFormat="1">
      <c r="A216" s="6">
        <v>168</v>
      </c>
      <c r="B216" s="56">
        <v>169</v>
      </c>
      <c r="C216" t="s">
        <v>32</v>
      </c>
      <c r="D216"/>
      <c r="E216"/>
      <c r="F216"/>
      <c r="G216"/>
      <c r="H216"/>
      <c r="I216"/>
      <c r="J216"/>
      <c r="K216"/>
      <c r="L216"/>
    </row>
    <row r="217" spans="1:12" s="3" customFormat="1">
      <c r="A217" s="6">
        <v>170</v>
      </c>
      <c r="B217" s="56">
        <v>171</v>
      </c>
      <c r="C217" t="s">
        <v>95</v>
      </c>
      <c r="D217"/>
      <c r="E217"/>
      <c r="F217"/>
      <c r="G217"/>
      <c r="H217"/>
      <c r="I217"/>
      <c r="J217"/>
      <c r="K217"/>
      <c r="L217"/>
    </row>
    <row r="218" spans="1:12" s="3" customFormat="1">
      <c r="A218" s="6">
        <v>172</v>
      </c>
      <c r="B218" s="56">
        <v>173</v>
      </c>
      <c r="C218" t="s">
        <v>32</v>
      </c>
      <c r="D218"/>
      <c r="E218"/>
      <c r="F218"/>
      <c r="G218"/>
      <c r="H218"/>
      <c r="I218"/>
      <c r="J218"/>
      <c r="K218"/>
      <c r="L218"/>
    </row>
    <row r="219" spans="1:12" s="3" customFormat="1">
      <c r="A219" s="6">
        <v>174</v>
      </c>
      <c r="B219" s="56">
        <v>175</v>
      </c>
      <c r="C219" t="s">
        <v>32</v>
      </c>
      <c r="D219"/>
      <c r="E219"/>
      <c r="F219"/>
      <c r="G219"/>
      <c r="H219"/>
      <c r="I219"/>
      <c r="J219"/>
      <c r="K219"/>
      <c r="L219"/>
    </row>
    <row r="220" spans="1:12" s="3" customFormat="1">
      <c r="A220" s="6">
        <v>176</v>
      </c>
      <c r="B220" s="56">
        <v>177</v>
      </c>
      <c r="C220" t="s">
        <v>32</v>
      </c>
      <c r="D220"/>
      <c r="E220"/>
      <c r="F220"/>
      <c r="G220"/>
      <c r="H220"/>
      <c r="I220"/>
      <c r="J220"/>
      <c r="K220"/>
      <c r="L220"/>
    </row>
    <row r="221" spans="1:12" s="3" customFormat="1">
      <c r="A221" s="6">
        <v>178</v>
      </c>
      <c r="B221" s="56">
        <v>179</v>
      </c>
      <c r="C221" t="s">
        <v>32</v>
      </c>
      <c r="D221"/>
      <c r="E221"/>
      <c r="F221"/>
      <c r="G221"/>
      <c r="H221"/>
      <c r="I221"/>
      <c r="J221"/>
      <c r="K221"/>
      <c r="L221"/>
    </row>
    <row r="222" spans="1:12" s="3" customFormat="1">
      <c r="A222" s="6">
        <v>180</v>
      </c>
      <c r="B222" s="56">
        <v>181</v>
      </c>
      <c r="C222" t="s">
        <v>106</v>
      </c>
      <c r="D222"/>
      <c r="E222"/>
      <c r="F222"/>
      <c r="G222"/>
      <c r="H222"/>
      <c r="I222"/>
      <c r="J222"/>
      <c r="K222"/>
      <c r="L222"/>
    </row>
    <row r="223" spans="1:12" s="3" customFormat="1">
      <c r="A223" s="6">
        <v>182</v>
      </c>
      <c r="B223" s="56">
        <v>183</v>
      </c>
      <c r="C223" t="s">
        <v>32</v>
      </c>
      <c r="D223"/>
      <c r="E223"/>
      <c r="F223"/>
      <c r="G223"/>
      <c r="H223"/>
      <c r="I223"/>
      <c r="J223"/>
      <c r="K223"/>
      <c r="L223"/>
    </row>
    <row r="224" spans="1:12" s="3" customFormat="1">
      <c r="A224" s="6">
        <v>184</v>
      </c>
      <c r="B224" s="56">
        <v>185</v>
      </c>
      <c r="C224" t="s">
        <v>32</v>
      </c>
      <c r="D224"/>
      <c r="E224"/>
      <c r="F224"/>
      <c r="G224"/>
      <c r="H224"/>
      <c r="I224"/>
      <c r="J224"/>
      <c r="K224"/>
      <c r="L224"/>
    </row>
    <row r="225" spans="1:12" s="3" customFormat="1">
      <c r="A225" s="6">
        <v>186</v>
      </c>
      <c r="B225" s="56">
        <v>187</v>
      </c>
      <c r="C225" t="s">
        <v>32</v>
      </c>
      <c r="D225"/>
      <c r="E225"/>
      <c r="F225"/>
      <c r="G225"/>
      <c r="H225"/>
      <c r="I225"/>
      <c r="J225"/>
      <c r="K225"/>
      <c r="L225"/>
    </row>
    <row r="226" spans="1:12" s="3" customFormat="1">
      <c r="A226" s="6">
        <v>188</v>
      </c>
      <c r="B226" s="56">
        <v>189</v>
      </c>
      <c r="C226" t="s">
        <v>32</v>
      </c>
      <c r="D226"/>
      <c r="E226"/>
      <c r="F226"/>
      <c r="G226"/>
      <c r="H226"/>
      <c r="I226"/>
      <c r="J226"/>
      <c r="K226"/>
      <c r="L226"/>
    </row>
    <row r="227" spans="1:12" s="3" customFormat="1">
      <c r="A227" s="6">
        <v>190</v>
      </c>
      <c r="B227" s="56">
        <v>191</v>
      </c>
      <c r="C227" t="s">
        <v>117</v>
      </c>
      <c r="D227"/>
      <c r="E227"/>
      <c r="F227"/>
      <c r="G227"/>
      <c r="H227"/>
      <c r="I227"/>
      <c r="J227"/>
      <c r="K227"/>
      <c r="L227"/>
    </row>
    <row r="228" spans="1:12" s="3" customFormat="1">
      <c r="A228" s="6">
        <v>192</v>
      </c>
      <c r="B228" s="56">
        <v>193</v>
      </c>
      <c r="C228" t="s">
        <v>32</v>
      </c>
      <c r="D228"/>
      <c r="E228"/>
      <c r="F228"/>
      <c r="G228"/>
      <c r="H228"/>
      <c r="I228"/>
      <c r="J228"/>
      <c r="K228"/>
      <c r="L228"/>
    </row>
    <row r="229" spans="1:12" s="3" customFormat="1">
      <c r="A229" s="6">
        <v>194</v>
      </c>
      <c r="B229" s="56">
        <v>195</v>
      </c>
      <c r="C229" t="s">
        <v>32</v>
      </c>
      <c r="D229"/>
      <c r="E229"/>
      <c r="F229"/>
      <c r="G229"/>
      <c r="H229"/>
      <c r="I229"/>
      <c r="J229"/>
      <c r="K229"/>
      <c r="L229"/>
    </row>
    <row r="230" spans="1:12" s="3" customFormat="1">
      <c r="A230" s="6">
        <v>196</v>
      </c>
      <c r="B230" s="56">
        <v>197</v>
      </c>
      <c r="C230" t="s">
        <v>32</v>
      </c>
      <c r="D230"/>
      <c r="E230"/>
      <c r="F230"/>
      <c r="G230"/>
      <c r="H230"/>
      <c r="I230"/>
      <c r="J230"/>
      <c r="K230"/>
      <c r="L230"/>
    </row>
    <row r="231" spans="1:12" s="3" customFormat="1">
      <c r="A231" s="6">
        <v>198</v>
      </c>
      <c r="B231" s="56">
        <v>199</v>
      </c>
      <c r="C231" t="s">
        <v>32</v>
      </c>
      <c r="D231"/>
      <c r="E231"/>
      <c r="F231"/>
      <c r="G231"/>
      <c r="H231"/>
      <c r="I231"/>
      <c r="J231"/>
      <c r="K231"/>
      <c r="L231"/>
    </row>
    <row r="232" spans="1:12" s="3" customFormat="1">
      <c r="A232" s="6">
        <v>140</v>
      </c>
      <c r="B232" s="56">
        <v>141</v>
      </c>
      <c r="C232" t="s">
        <v>127</v>
      </c>
      <c r="D232"/>
      <c r="E232"/>
      <c r="F232"/>
      <c r="G232"/>
      <c r="H232"/>
      <c r="I232"/>
      <c r="J232"/>
      <c r="K232"/>
      <c r="L232"/>
    </row>
    <row r="233" spans="1:12" s="3" customFormat="1">
      <c r="A233" s="6">
        <v>142</v>
      </c>
      <c r="B233" s="56">
        <v>143</v>
      </c>
      <c r="C233" t="s">
        <v>32</v>
      </c>
      <c r="D233"/>
      <c r="E233"/>
      <c r="F233"/>
      <c r="G233"/>
      <c r="H233"/>
      <c r="I233"/>
      <c r="J233"/>
      <c r="K233"/>
      <c r="L233"/>
    </row>
    <row r="234" spans="1:12" s="3" customFormat="1">
      <c r="A234" s="6">
        <v>144</v>
      </c>
      <c r="B234" s="56">
        <v>145</v>
      </c>
      <c r="C234" t="s">
        <v>32</v>
      </c>
      <c r="D234"/>
      <c r="E234"/>
      <c r="F234"/>
      <c r="G234"/>
      <c r="H234"/>
      <c r="I234"/>
      <c r="J234"/>
      <c r="K234"/>
      <c r="L234"/>
    </row>
    <row r="235" spans="1:12" s="3" customFormat="1">
      <c r="A235" s="6">
        <v>146</v>
      </c>
      <c r="B235" s="56">
        <v>147</v>
      </c>
      <c r="C235" t="s">
        <v>32</v>
      </c>
      <c r="D235"/>
      <c r="E235"/>
      <c r="F235"/>
      <c r="G235"/>
      <c r="H235"/>
      <c r="I235"/>
      <c r="J235"/>
      <c r="K235"/>
      <c r="L235"/>
    </row>
    <row r="236" spans="1:12" s="3" customFormat="1">
      <c r="A236" s="6">
        <v>148</v>
      </c>
      <c r="B236" s="56">
        <v>149</v>
      </c>
      <c r="C236" t="s">
        <v>32</v>
      </c>
      <c r="D236"/>
      <c r="E236"/>
      <c r="F236"/>
      <c r="G236"/>
      <c r="H236"/>
      <c r="I236"/>
      <c r="J236"/>
      <c r="K236"/>
      <c r="L236"/>
    </row>
    <row r="237" spans="1:12" s="3" customFormat="1">
      <c r="A237" s="6">
        <v>150</v>
      </c>
      <c r="B237" s="56">
        <v>151</v>
      </c>
      <c r="C237" t="s">
        <v>138</v>
      </c>
      <c r="D237"/>
      <c r="E237"/>
      <c r="F237"/>
      <c r="G237"/>
      <c r="H237"/>
      <c r="I237"/>
      <c r="J237"/>
      <c r="K237"/>
      <c r="L237"/>
    </row>
    <row r="238" spans="1:12" s="3" customFormat="1">
      <c r="A238" s="6">
        <v>152</v>
      </c>
      <c r="B238" s="56">
        <v>153</v>
      </c>
      <c r="C238" t="s">
        <v>32</v>
      </c>
      <c r="D238"/>
      <c r="E238"/>
      <c r="F238"/>
      <c r="G238"/>
      <c r="H238"/>
      <c r="I238"/>
      <c r="J238"/>
      <c r="K238"/>
      <c r="L238"/>
    </row>
    <row r="239" spans="1:12" s="3" customFormat="1">
      <c r="A239" s="6">
        <v>154</v>
      </c>
      <c r="B239" s="56">
        <v>155</v>
      </c>
      <c r="C239" t="s">
        <v>32</v>
      </c>
      <c r="D239"/>
      <c r="E239"/>
      <c r="F239"/>
      <c r="G239"/>
      <c r="H239"/>
      <c r="I239"/>
      <c r="J239"/>
      <c r="K239"/>
      <c r="L239"/>
    </row>
    <row r="240" spans="1:12" s="3" customFormat="1">
      <c r="A240" s="6">
        <v>156</v>
      </c>
      <c r="B240" s="56">
        <v>157</v>
      </c>
      <c r="C240" t="s">
        <v>32</v>
      </c>
      <c r="D240"/>
      <c r="E240"/>
      <c r="F240"/>
      <c r="G240"/>
      <c r="H240"/>
      <c r="I240"/>
      <c r="J240"/>
      <c r="K240"/>
      <c r="L240"/>
    </row>
    <row r="241" spans="1:12" s="3" customFormat="1">
      <c r="A241" s="6">
        <v>158</v>
      </c>
      <c r="B241" s="56">
        <v>159</v>
      </c>
      <c r="C241" t="s">
        <v>32</v>
      </c>
      <c r="D241"/>
      <c r="E241"/>
      <c r="F241"/>
      <c r="G241"/>
      <c r="H241"/>
      <c r="I241"/>
      <c r="J241"/>
      <c r="K241"/>
      <c r="L241"/>
    </row>
    <row r="242" spans="1:12" s="3" customFormat="1">
      <c r="A242" s="6">
        <v>160</v>
      </c>
      <c r="B242" s="56">
        <v>161</v>
      </c>
      <c r="C242" t="s">
        <v>149</v>
      </c>
      <c r="D242"/>
      <c r="E242"/>
      <c r="F242"/>
      <c r="G242"/>
      <c r="H242"/>
      <c r="I242"/>
      <c r="J242"/>
      <c r="K242"/>
      <c r="L242"/>
    </row>
    <row r="243" spans="1:12" s="3" customFormat="1">
      <c r="A243" s="6">
        <v>162</v>
      </c>
      <c r="B243" s="56">
        <v>163</v>
      </c>
      <c r="C243" t="s">
        <v>32</v>
      </c>
      <c r="D243"/>
      <c r="E243"/>
      <c r="F243"/>
      <c r="G243"/>
      <c r="H243"/>
      <c r="I243"/>
      <c r="J243"/>
      <c r="K243"/>
      <c r="L243"/>
    </row>
    <row r="244" spans="1:12" s="3" customFormat="1">
      <c r="A244" s="6">
        <v>164</v>
      </c>
      <c r="B244" s="56">
        <v>165</v>
      </c>
      <c r="C244" t="s">
        <v>32</v>
      </c>
      <c r="D244"/>
      <c r="E244"/>
      <c r="F244"/>
      <c r="G244"/>
      <c r="H244"/>
      <c r="I244"/>
      <c r="J244"/>
      <c r="K244"/>
      <c r="L244"/>
    </row>
    <row r="245" spans="1:12" s="3" customFormat="1">
      <c r="A245" s="6">
        <v>166</v>
      </c>
      <c r="B245" s="56">
        <v>167</v>
      </c>
      <c r="C245" t="s">
        <v>32</v>
      </c>
      <c r="D245"/>
      <c r="E245"/>
      <c r="F245"/>
      <c r="G245"/>
      <c r="H245"/>
      <c r="I245"/>
      <c r="J245"/>
      <c r="K245"/>
      <c r="L245"/>
    </row>
    <row r="246" spans="1:12" s="3" customFormat="1">
      <c r="A246" s="6">
        <v>168</v>
      </c>
      <c r="B246" s="56">
        <v>169</v>
      </c>
      <c r="C246" t="s">
        <v>32</v>
      </c>
      <c r="D246"/>
      <c r="E246"/>
      <c r="F246"/>
      <c r="G246"/>
      <c r="H246"/>
      <c r="I246"/>
      <c r="J246"/>
      <c r="K246"/>
      <c r="L246"/>
    </row>
    <row r="247" spans="1:12" s="3" customFormat="1">
      <c r="A247" s="6">
        <v>170</v>
      </c>
      <c r="B247" s="56">
        <v>171</v>
      </c>
      <c r="C247" t="s">
        <v>158</v>
      </c>
      <c r="D247"/>
      <c r="E247"/>
      <c r="F247"/>
      <c r="G247"/>
      <c r="H247"/>
      <c r="I247"/>
      <c r="J247"/>
      <c r="K247"/>
      <c r="L247"/>
    </row>
    <row r="248" spans="1:12" s="3" customFormat="1">
      <c r="A248" s="6">
        <v>172</v>
      </c>
      <c r="B248" s="56">
        <v>173</v>
      </c>
      <c r="C248" t="s">
        <v>32</v>
      </c>
      <c r="D248"/>
      <c r="E248"/>
      <c r="F248"/>
      <c r="G248"/>
      <c r="H248"/>
      <c r="I248"/>
      <c r="J248"/>
      <c r="K248"/>
      <c r="L248"/>
    </row>
    <row r="249" spans="1:12" s="3" customFormat="1">
      <c r="A249" s="6">
        <v>174</v>
      </c>
      <c r="B249" s="56">
        <v>175</v>
      </c>
      <c r="C249" t="s">
        <v>32</v>
      </c>
      <c r="D249"/>
      <c r="E249"/>
      <c r="F249"/>
      <c r="G249"/>
      <c r="H249"/>
      <c r="I249"/>
      <c r="J249"/>
      <c r="K249"/>
      <c r="L249"/>
    </row>
    <row r="250" spans="1:12" s="3" customFormat="1">
      <c r="A250" s="6">
        <v>176</v>
      </c>
      <c r="B250" s="56">
        <v>177</v>
      </c>
      <c r="C250" t="s">
        <v>32</v>
      </c>
      <c r="D250"/>
      <c r="E250"/>
      <c r="F250"/>
      <c r="G250"/>
      <c r="H250"/>
      <c r="I250"/>
      <c r="J250"/>
      <c r="K250"/>
      <c r="L250"/>
    </row>
    <row r="251" spans="1:12" s="3" customFormat="1">
      <c r="A251" s="6">
        <v>178</v>
      </c>
      <c r="B251" s="56">
        <v>179</v>
      </c>
      <c r="C251" t="s">
        <v>32</v>
      </c>
      <c r="D251"/>
      <c r="E251"/>
      <c r="F251"/>
      <c r="G251"/>
      <c r="H251"/>
      <c r="I251"/>
      <c r="J251"/>
      <c r="K251"/>
      <c r="L251"/>
    </row>
    <row r="252" spans="1:12" s="3" customFormat="1">
      <c r="A252" s="6">
        <v>180</v>
      </c>
      <c r="B252" s="56">
        <v>181</v>
      </c>
      <c r="C252" t="s">
        <v>166</v>
      </c>
      <c r="D252"/>
      <c r="E252"/>
      <c r="F252"/>
      <c r="G252"/>
      <c r="H252"/>
      <c r="I252"/>
      <c r="J252"/>
      <c r="K252"/>
      <c r="L252"/>
    </row>
    <row r="253" spans="1:12" s="3" customFormat="1">
      <c r="A253" s="6">
        <v>182</v>
      </c>
      <c r="B253" s="56">
        <v>183</v>
      </c>
      <c r="C253" t="s">
        <v>32</v>
      </c>
      <c r="D253"/>
      <c r="E253"/>
      <c r="F253"/>
      <c r="G253"/>
      <c r="H253"/>
      <c r="I253"/>
      <c r="J253"/>
      <c r="K253"/>
      <c r="L253"/>
    </row>
    <row r="254" spans="1:12" s="3" customFormat="1">
      <c r="A254" s="6">
        <v>184</v>
      </c>
      <c r="B254" s="56">
        <v>185</v>
      </c>
      <c r="C254" t="s">
        <v>32</v>
      </c>
      <c r="D254"/>
      <c r="E254"/>
      <c r="F254"/>
      <c r="G254"/>
      <c r="H254"/>
      <c r="I254"/>
      <c r="J254"/>
      <c r="K254"/>
      <c r="L254"/>
    </row>
    <row r="255" spans="1:12" s="3" customFormat="1">
      <c r="A255" s="6">
        <v>186</v>
      </c>
      <c r="B255" s="56">
        <v>187</v>
      </c>
      <c r="C255" t="s">
        <v>32</v>
      </c>
      <c r="D255"/>
      <c r="E255"/>
      <c r="F255"/>
      <c r="G255"/>
      <c r="H255"/>
      <c r="I255"/>
      <c r="J255"/>
      <c r="K255"/>
      <c r="L255"/>
    </row>
    <row r="256" spans="1:12" s="3" customFormat="1">
      <c r="A256" s="6">
        <v>188</v>
      </c>
      <c r="B256" s="56">
        <v>189</v>
      </c>
      <c r="C256" t="s">
        <v>32</v>
      </c>
      <c r="D256"/>
      <c r="E256"/>
      <c r="F256"/>
      <c r="G256"/>
      <c r="H256"/>
      <c r="I256"/>
      <c r="J256"/>
      <c r="K256"/>
      <c r="L256"/>
    </row>
    <row r="257" spans="1:12" s="3" customFormat="1">
      <c r="A257" s="6">
        <v>190</v>
      </c>
      <c r="B257" s="56">
        <v>191</v>
      </c>
      <c r="C257" t="s">
        <v>167</v>
      </c>
      <c r="D257"/>
      <c r="E257"/>
      <c r="F257"/>
      <c r="G257"/>
      <c r="H257"/>
      <c r="I257"/>
      <c r="J257"/>
      <c r="K257"/>
      <c r="L257"/>
    </row>
    <row r="258" spans="1:12" s="3" customFormat="1">
      <c r="A258" s="6">
        <v>192</v>
      </c>
      <c r="B258" s="56">
        <v>193</v>
      </c>
      <c r="C258" t="s">
        <v>32</v>
      </c>
      <c r="D258"/>
      <c r="E258"/>
      <c r="F258"/>
      <c r="G258"/>
      <c r="H258"/>
      <c r="I258"/>
      <c r="J258"/>
      <c r="K258"/>
      <c r="L258"/>
    </row>
    <row r="259" spans="1:12" s="3" customFormat="1">
      <c r="A259" s="6">
        <v>194</v>
      </c>
      <c r="B259" s="56">
        <v>195</v>
      </c>
      <c r="C259" t="s">
        <v>32</v>
      </c>
      <c r="D259"/>
      <c r="E259"/>
      <c r="F259"/>
      <c r="G259"/>
      <c r="H259"/>
      <c r="I259"/>
      <c r="J259"/>
      <c r="K259"/>
      <c r="L259"/>
    </row>
    <row r="260" spans="1:12" s="3" customFormat="1">
      <c r="A260" s="6">
        <v>196</v>
      </c>
      <c r="B260" s="56">
        <v>197</v>
      </c>
      <c r="C260" t="s">
        <v>32</v>
      </c>
      <c r="D260"/>
      <c r="E260"/>
      <c r="F260"/>
      <c r="G260"/>
      <c r="H260"/>
      <c r="I260"/>
      <c r="J260"/>
      <c r="K260"/>
      <c r="L260"/>
    </row>
    <row r="261" spans="1:12" s="3" customFormat="1">
      <c r="A261" s="6">
        <v>198</v>
      </c>
      <c r="B261" s="56">
        <v>199</v>
      </c>
      <c r="C261" t="s">
        <v>32</v>
      </c>
      <c r="D261"/>
      <c r="E261"/>
      <c r="F261"/>
      <c r="G261"/>
      <c r="H261"/>
      <c r="I261"/>
      <c r="J261"/>
      <c r="K261"/>
      <c r="L261"/>
    </row>
    <row r="262" spans="1:12" s="3" customFormat="1">
      <c r="A262" t="s">
        <v>26</v>
      </c>
      <c r="B262" s="55" t="s">
        <v>32</v>
      </c>
      <c r="C262" s="15"/>
      <c r="I262" t="s">
        <v>171</v>
      </c>
    </row>
    <row r="263" spans="1:12" s="3" customFormat="1">
      <c r="A263" s="8">
        <v>0</v>
      </c>
      <c r="B263" s="56">
        <v>0</v>
      </c>
      <c r="C263" s="6">
        <v>0</v>
      </c>
      <c r="D263" t="s">
        <v>32</v>
      </c>
      <c r="F263" t="s">
        <v>172</v>
      </c>
    </row>
    <row r="264" spans="1:12" s="3" customFormat="1">
      <c r="A264" s="8">
        <v>0</v>
      </c>
      <c r="B264" s="56">
        <v>0</v>
      </c>
      <c r="C264" s="6">
        <v>0</v>
      </c>
      <c r="D264" t="s">
        <v>32</v>
      </c>
      <c r="F264" t="s">
        <v>173</v>
      </c>
    </row>
    <row r="265" spans="1:12" s="3" customFormat="1">
      <c r="A265" s="8">
        <v>0</v>
      </c>
      <c r="B265" s="56">
        <v>0</v>
      </c>
      <c r="C265" s="6">
        <v>0</v>
      </c>
      <c r="D265" t="s">
        <v>32</v>
      </c>
      <c r="F265" t="s">
        <v>174</v>
      </c>
    </row>
    <row r="266" spans="1:12" s="3" customFormat="1">
      <c r="A266" s="8">
        <v>0</v>
      </c>
      <c r="B266" s="56">
        <v>0</v>
      </c>
      <c r="C266" s="6">
        <v>0</v>
      </c>
      <c r="D266" t="s">
        <v>32</v>
      </c>
      <c r="F266" t="s">
        <v>175</v>
      </c>
    </row>
    <row r="267" spans="1:12" s="3" customFormat="1">
      <c r="A267" s="8">
        <v>0</v>
      </c>
      <c r="B267" s="55" t="s">
        <v>32</v>
      </c>
      <c r="C267" s="15"/>
      <c r="F267" t="s">
        <v>11</v>
      </c>
    </row>
    <row r="268" spans="1:12" s="3" customFormat="1">
      <c r="A268" s="8">
        <v>0</v>
      </c>
      <c r="B268" s="55" t="s">
        <v>32</v>
      </c>
      <c r="C268" s="15"/>
      <c r="F268" t="s">
        <v>11</v>
      </c>
    </row>
    <row r="269" spans="1:12" s="3" customFormat="1">
      <c r="A269" s="8">
        <v>0</v>
      </c>
      <c r="B269" s="55" t="s">
        <v>32</v>
      </c>
      <c r="C269" s="15"/>
      <c r="F269" t="s">
        <v>11</v>
      </c>
    </row>
    <row r="270" spans="1:12" s="3" customFormat="1">
      <c r="A270" s="8">
        <v>0</v>
      </c>
      <c r="B270" s="55" t="s">
        <v>32</v>
      </c>
      <c r="C270" s="15"/>
      <c r="F270" t="s">
        <v>11</v>
      </c>
    </row>
    <row r="271" spans="1:12" s="3" customFormat="1">
      <c r="A271" t="s">
        <v>176</v>
      </c>
      <c r="B271" s="55" t="s">
        <v>32</v>
      </c>
      <c r="C271" s="15"/>
      <c r="F271"/>
    </row>
    <row r="272" spans="1:12" s="3" customFormat="1">
      <c r="A272" s="178" t="s">
        <v>1454</v>
      </c>
      <c r="B272" s="76"/>
      <c r="C272" s="180"/>
      <c r="D272" s="40"/>
      <c r="E272" s="40"/>
      <c r="F272" s="34"/>
      <c r="G272" s="40"/>
      <c r="H272" s="40"/>
      <c r="I272" s="40"/>
    </row>
    <row r="273" spans="1:9" s="3" customFormat="1">
      <c r="A273" s="87" t="s">
        <v>1455</v>
      </c>
      <c r="B273" s="25" t="s">
        <v>1456</v>
      </c>
      <c r="C273" s="16" t="s">
        <v>1457</v>
      </c>
      <c r="D273" s="40"/>
      <c r="E273" s="40"/>
      <c r="F273" s="34"/>
      <c r="G273" s="40"/>
      <c r="H273" s="40"/>
      <c r="I273" s="40"/>
    </row>
    <row r="274" spans="1:9" s="3" customFormat="1">
      <c r="A274" s="179">
        <v>1</v>
      </c>
      <c r="B274" s="179">
        <v>4</v>
      </c>
      <c r="C274" s="179">
        <v>1</v>
      </c>
      <c r="D274" s="34" t="s">
        <v>32</v>
      </c>
      <c r="E274" s="40"/>
      <c r="F274" s="34" t="s">
        <v>1458</v>
      </c>
      <c r="G274" s="40"/>
      <c r="H274" s="40"/>
      <c r="I274" s="40"/>
    </row>
    <row r="275" spans="1:9" s="3" customFormat="1">
      <c r="A275" s="179">
        <v>10</v>
      </c>
      <c r="B275" s="179">
        <v>4</v>
      </c>
      <c r="C275" s="179">
        <v>10</v>
      </c>
      <c r="D275" s="34" t="s">
        <v>32</v>
      </c>
      <c r="E275" s="40"/>
      <c r="F275" s="34" t="s">
        <v>1459</v>
      </c>
      <c r="G275" s="40"/>
      <c r="H275" s="40"/>
      <c r="I275" s="40"/>
    </row>
    <row r="276" spans="1:9" s="3" customFormat="1">
      <c r="A276" s="179">
        <v>100</v>
      </c>
      <c r="B276" s="179">
        <v>4</v>
      </c>
      <c r="C276" s="179">
        <v>100</v>
      </c>
      <c r="D276" s="34" t="s">
        <v>32</v>
      </c>
      <c r="E276" s="40"/>
      <c r="F276" s="34"/>
      <c r="G276" s="40"/>
      <c r="H276" s="40"/>
      <c r="I276" s="40"/>
    </row>
    <row r="277" spans="1:9" s="3" customFormat="1">
      <c r="A277" t="s">
        <v>176</v>
      </c>
      <c r="B277" s="55" t="s">
        <v>32</v>
      </c>
      <c r="C277" s="15"/>
    </row>
    <row r="278" spans="1:9" s="3" customFormat="1">
      <c r="A278" s="25" t="s">
        <v>177</v>
      </c>
      <c r="B278" s="68" t="s">
        <v>178</v>
      </c>
      <c r="C278" s="26" t="s">
        <v>179</v>
      </c>
      <c r="D278" s="26" t="s">
        <v>180</v>
      </c>
    </row>
    <row r="279" spans="1:9" s="3" customFormat="1">
      <c r="A279" s="6">
        <f>HEX2DEC(42)</f>
        <v>66</v>
      </c>
      <c r="B279" s="56">
        <f>HEX2DEC(40)</f>
        <v>64</v>
      </c>
      <c r="C279" s="6">
        <f>HEX2DEC(41)</f>
        <v>65</v>
      </c>
      <c r="D279" s="17">
        <v>0</v>
      </c>
      <c r="E279" t="s">
        <v>32</v>
      </c>
      <c r="F279" t="s">
        <v>181</v>
      </c>
    </row>
    <row r="280" spans="1:9" s="3" customFormat="1">
      <c r="A280" s="6">
        <f t="shared" ref="A280:A286" si="3">HEX2DEC(42)</f>
        <v>66</v>
      </c>
      <c r="B280" s="56">
        <f t="shared" ref="B280:B286" si="4">HEX2DEC(40)</f>
        <v>64</v>
      </c>
      <c r="C280" s="6">
        <f t="shared" ref="C280:C286" si="5">HEX2DEC(41)</f>
        <v>65</v>
      </c>
      <c r="D280" s="17">
        <v>0</v>
      </c>
      <c r="E280" t="s">
        <v>32</v>
      </c>
      <c r="F280" t="s">
        <v>182</v>
      </c>
    </row>
    <row r="281" spans="1:9" s="3" customFormat="1">
      <c r="A281" s="6">
        <f t="shared" si="3"/>
        <v>66</v>
      </c>
      <c r="B281" s="56">
        <f t="shared" si="4"/>
        <v>64</v>
      </c>
      <c r="C281" s="6">
        <f t="shared" si="5"/>
        <v>65</v>
      </c>
      <c r="D281" s="17">
        <v>0</v>
      </c>
      <c r="E281" t="s">
        <v>32</v>
      </c>
      <c r="F281" t="s">
        <v>183</v>
      </c>
    </row>
    <row r="282" spans="1:9" s="3" customFormat="1">
      <c r="A282" s="6">
        <f t="shared" si="3"/>
        <v>66</v>
      </c>
      <c r="B282" s="56">
        <f t="shared" si="4"/>
        <v>64</v>
      </c>
      <c r="C282" s="6">
        <f t="shared" si="5"/>
        <v>65</v>
      </c>
      <c r="D282" s="17">
        <v>0</v>
      </c>
      <c r="E282" t="s">
        <v>32</v>
      </c>
      <c r="F282" t="s">
        <v>184</v>
      </c>
    </row>
    <row r="283" spans="1:9" s="3" customFormat="1">
      <c r="A283" s="6">
        <f t="shared" si="3"/>
        <v>66</v>
      </c>
      <c r="B283" s="56">
        <f t="shared" si="4"/>
        <v>64</v>
      </c>
      <c r="C283" s="6">
        <f t="shared" si="5"/>
        <v>65</v>
      </c>
      <c r="D283" s="17">
        <v>0</v>
      </c>
      <c r="E283" t="s">
        <v>32</v>
      </c>
      <c r="F283" t="s">
        <v>185</v>
      </c>
    </row>
    <row r="284" spans="1:9" s="3" customFormat="1">
      <c r="A284" s="6">
        <f t="shared" si="3"/>
        <v>66</v>
      </c>
      <c r="B284" s="56">
        <f t="shared" si="4"/>
        <v>64</v>
      </c>
      <c r="C284" s="6">
        <f t="shared" si="5"/>
        <v>65</v>
      </c>
      <c r="D284" s="17">
        <v>0</v>
      </c>
      <c r="E284" t="s">
        <v>32</v>
      </c>
      <c r="F284" t="s">
        <v>186</v>
      </c>
    </row>
    <row r="285" spans="1:9" s="3" customFormat="1">
      <c r="A285" s="6">
        <f t="shared" si="3"/>
        <v>66</v>
      </c>
      <c r="B285" s="56">
        <f t="shared" si="4"/>
        <v>64</v>
      </c>
      <c r="C285" s="6">
        <f t="shared" si="5"/>
        <v>65</v>
      </c>
      <c r="D285" s="17">
        <v>0</v>
      </c>
      <c r="E285" t="s">
        <v>32</v>
      </c>
      <c r="F285" t="s">
        <v>187</v>
      </c>
    </row>
    <row r="286" spans="1:9" s="3" customFormat="1">
      <c r="A286" s="6">
        <f t="shared" si="3"/>
        <v>66</v>
      </c>
      <c r="B286" s="56">
        <f t="shared" si="4"/>
        <v>64</v>
      </c>
      <c r="C286" s="6">
        <f t="shared" si="5"/>
        <v>65</v>
      </c>
      <c r="D286" s="17">
        <v>0</v>
      </c>
      <c r="E286" t="s">
        <v>32</v>
      </c>
      <c r="F286" t="s">
        <v>188</v>
      </c>
    </row>
    <row r="287" spans="1:9" s="3" customFormat="1">
      <c r="A287" t="s">
        <v>32</v>
      </c>
      <c r="B287" s="68"/>
      <c r="C287" s="16"/>
      <c r="D287" s="16"/>
    </row>
    <row r="288" spans="1:9" s="3" customFormat="1">
      <c r="A288" t="s">
        <v>32</v>
      </c>
      <c r="B288" s="63"/>
      <c r="C288" s="15"/>
      <c r="I288" t="s">
        <v>189</v>
      </c>
    </row>
    <row r="289" spans="1:6" s="3" customFormat="1">
      <c r="A289" t="s">
        <v>26</v>
      </c>
      <c r="B289" s="55" t="s">
        <v>32</v>
      </c>
      <c r="C289" s="15"/>
    </row>
    <row r="290" spans="1:6" s="3" customFormat="1">
      <c r="A290" s="8">
        <v>255</v>
      </c>
      <c r="B290" s="56">
        <v>255</v>
      </c>
      <c r="C290" s="6">
        <v>255</v>
      </c>
      <c r="D290" t="s">
        <v>32</v>
      </c>
      <c r="F290" t="s">
        <v>190</v>
      </c>
    </row>
    <row r="291" spans="1:6" s="3" customFormat="1">
      <c r="A291" s="8">
        <v>0</v>
      </c>
      <c r="B291" s="61">
        <v>0</v>
      </c>
      <c r="C291" s="8">
        <v>0</v>
      </c>
      <c r="D291" t="s">
        <v>32</v>
      </c>
      <c r="F291" t="s">
        <v>191</v>
      </c>
    </row>
    <row r="292" spans="1:6" s="3" customFormat="1">
      <c r="A292" s="8">
        <v>255</v>
      </c>
      <c r="B292" s="56">
        <v>255</v>
      </c>
      <c r="C292" s="6">
        <v>255</v>
      </c>
      <c r="D292" t="s">
        <v>32</v>
      </c>
      <c r="F292" t="s">
        <v>192</v>
      </c>
    </row>
    <row r="293" spans="1:6" s="3" customFormat="1">
      <c r="A293" s="8">
        <v>0</v>
      </c>
      <c r="B293" s="61">
        <v>0</v>
      </c>
      <c r="C293" s="8">
        <v>0</v>
      </c>
      <c r="D293" t="s">
        <v>32</v>
      </c>
      <c r="F293" t="s">
        <v>193</v>
      </c>
    </row>
    <row r="294" spans="1:6" s="3" customFormat="1">
      <c r="A294" s="8">
        <v>255</v>
      </c>
      <c r="B294" s="56">
        <v>255</v>
      </c>
      <c r="C294" s="6">
        <v>255</v>
      </c>
      <c r="D294" t="s">
        <v>32</v>
      </c>
      <c r="F294" t="s">
        <v>194</v>
      </c>
    </row>
    <row r="295" spans="1:6" s="3" customFormat="1">
      <c r="A295" s="8">
        <v>0</v>
      </c>
      <c r="B295" s="61">
        <v>0</v>
      </c>
      <c r="C295" s="8">
        <v>0</v>
      </c>
      <c r="D295" t="s">
        <v>32</v>
      </c>
      <c r="F295" t="s">
        <v>195</v>
      </c>
    </row>
    <row r="296" spans="1:6" s="3" customFormat="1">
      <c r="A296" s="8">
        <v>255</v>
      </c>
      <c r="B296" s="56">
        <v>255</v>
      </c>
      <c r="C296" s="6">
        <v>255</v>
      </c>
      <c r="D296" t="s">
        <v>32</v>
      </c>
      <c r="F296" t="s">
        <v>196</v>
      </c>
    </row>
    <row r="297" spans="1:6" s="3" customFormat="1">
      <c r="A297" s="8">
        <v>0</v>
      </c>
      <c r="B297" s="56">
        <v>0</v>
      </c>
      <c r="C297" s="6">
        <v>0</v>
      </c>
      <c r="D297" t="s">
        <v>32</v>
      </c>
      <c r="F297" t="s">
        <v>197</v>
      </c>
    </row>
    <row r="298" spans="1:6" s="3" customFormat="1">
      <c r="A298" s="8">
        <v>0</v>
      </c>
      <c r="B298" s="56">
        <v>0</v>
      </c>
      <c r="C298" s="6">
        <v>0</v>
      </c>
      <c r="D298" t="s">
        <v>32</v>
      </c>
      <c r="F298" t="s">
        <v>198</v>
      </c>
    </row>
    <row r="299" spans="1:6" s="3" customFormat="1">
      <c r="A299" s="8">
        <v>0</v>
      </c>
      <c r="B299" s="56">
        <v>0</v>
      </c>
      <c r="C299" s="6">
        <v>0</v>
      </c>
      <c r="D299" t="s">
        <v>32</v>
      </c>
      <c r="F299" t="s">
        <v>11</v>
      </c>
    </row>
    <row r="300" spans="1:6" s="3" customFormat="1">
      <c r="A300" t="s">
        <v>176</v>
      </c>
      <c r="B300" s="55" t="s">
        <v>32</v>
      </c>
      <c r="C300" s="15"/>
    </row>
    <row r="301" spans="1:6" s="3" customFormat="1">
      <c r="A301" s="25" t="s">
        <v>177</v>
      </c>
      <c r="B301" s="68" t="s">
        <v>178</v>
      </c>
      <c r="C301" s="26" t="s">
        <v>199</v>
      </c>
      <c r="D301" s="26" t="s">
        <v>200</v>
      </c>
    </row>
    <row r="302" spans="1:6" s="3" customFormat="1">
      <c r="A302" s="6">
        <f>HEX2DEC(42)</f>
        <v>66</v>
      </c>
      <c r="B302" s="56">
        <f>HEX2DEC(40)</f>
        <v>64</v>
      </c>
      <c r="C302" s="6">
        <f>HEX2DEC(530)</f>
        <v>1328</v>
      </c>
      <c r="D302" s="6">
        <f>HEX2DEC(30)</f>
        <v>48</v>
      </c>
      <c r="E302" t="s">
        <v>32</v>
      </c>
      <c r="F302" t="s">
        <v>181</v>
      </c>
    </row>
    <row r="303" spans="1:6" s="3" customFormat="1">
      <c r="A303" s="6">
        <f t="shared" ref="A303:A309" si="6">HEX2DEC(42)</f>
        <v>66</v>
      </c>
      <c r="B303" s="56">
        <f t="shared" ref="B303:B309" si="7">HEX2DEC(40)</f>
        <v>64</v>
      </c>
      <c r="C303" s="6">
        <f t="shared" ref="C303:C309" si="8">HEX2DEC(530)</f>
        <v>1328</v>
      </c>
      <c r="D303" s="6">
        <f t="shared" ref="D303:D309" si="9">HEX2DEC(30)</f>
        <v>48</v>
      </c>
      <c r="E303" t="s">
        <v>32</v>
      </c>
      <c r="F303" t="s">
        <v>182</v>
      </c>
    </row>
    <row r="304" spans="1:6" s="3" customFormat="1">
      <c r="A304" s="6">
        <f t="shared" si="6"/>
        <v>66</v>
      </c>
      <c r="B304" s="56">
        <f t="shared" si="7"/>
        <v>64</v>
      </c>
      <c r="C304" s="6">
        <f t="shared" si="8"/>
        <v>1328</v>
      </c>
      <c r="D304" s="6">
        <f t="shared" si="9"/>
        <v>48</v>
      </c>
      <c r="E304" t="s">
        <v>32</v>
      </c>
      <c r="F304" t="s">
        <v>183</v>
      </c>
    </row>
    <row r="305" spans="1:16" s="3" customFormat="1">
      <c r="A305" s="6">
        <f t="shared" si="6"/>
        <v>66</v>
      </c>
      <c r="B305" s="56">
        <f t="shared" si="7"/>
        <v>64</v>
      </c>
      <c r="C305" s="6">
        <f t="shared" si="8"/>
        <v>1328</v>
      </c>
      <c r="D305" s="6">
        <f t="shared" si="9"/>
        <v>48</v>
      </c>
      <c r="E305" t="s">
        <v>32</v>
      </c>
      <c r="F305" t="s">
        <v>184</v>
      </c>
    </row>
    <row r="306" spans="1:16" s="3" customFormat="1">
      <c r="A306" s="6">
        <f t="shared" si="6"/>
        <v>66</v>
      </c>
      <c r="B306" s="56">
        <f t="shared" si="7"/>
        <v>64</v>
      </c>
      <c r="C306" s="6">
        <f t="shared" si="8"/>
        <v>1328</v>
      </c>
      <c r="D306" s="6">
        <f t="shared" si="9"/>
        <v>48</v>
      </c>
      <c r="E306" t="s">
        <v>32</v>
      </c>
      <c r="F306" t="s">
        <v>185</v>
      </c>
    </row>
    <row r="307" spans="1:16" s="3" customFormat="1">
      <c r="A307" s="6">
        <f t="shared" si="6"/>
        <v>66</v>
      </c>
      <c r="B307" s="56">
        <f t="shared" si="7"/>
        <v>64</v>
      </c>
      <c r="C307" s="6">
        <f t="shared" si="8"/>
        <v>1328</v>
      </c>
      <c r="D307" s="6">
        <f t="shared" si="9"/>
        <v>48</v>
      </c>
      <c r="E307" t="s">
        <v>32</v>
      </c>
      <c r="F307" t="s">
        <v>186</v>
      </c>
    </row>
    <row r="308" spans="1:16" s="3" customFormat="1">
      <c r="A308" s="6">
        <f t="shared" si="6"/>
        <v>66</v>
      </c>
      <c r="B308" s="56">
        <f t="shared" si="7"/>
        <v>64</v>
      </c>
      <c r="C308" s="6">
        <f t="shared" si="8"/>
        <v>1328</v>
      </c>
      <c r="D308" s="6">
        <f t="shared" si="9"/>
        <v>48</v>
      </c>
      <c r="E308" t="s">
        <v>32</v>
      </c>
      <c r="F308" t="s">
        <v>187</v>
      </c>
    </row>
    <row r="309" spans="1:16" s="3" customFormat="1">
      <c r="A309" s="6">
        <f t="shared" si="6"/>
        <v>66</v>
      </c>
      <c r="B309" s="56">
        <f t="shared" si="7"/>
        <v>64</v>
      </c>
      <c r="C309" s="6">
        <f t="shared" si="8"/>
        <v>1328</v>
      </c>
      <c r="D309" s="6">
        <f t="shared" si="9"/>
        <v>48</v>
      </c>
      <c r="E309" t="s">
        <v>32</v>
      </c>
      <c r="F309" t="s">
        <v>188</v>
      </c>
    </row>
    <row r="310" spans="1:16" s="3" customFormat="1">
      <c r="A310" t="s">
        <v>176</v>
      </c>
      <c r="B310" s="55" t="s">
        <v>3</v>
      </c>
      <c r="C310" s="15"/>
      <c r="F310"/>
    </row>
    <row r="311" spans="1:16" s="3" customFormat="1">
      <c r="A311" s="3" t="s">
        <v>1463</v>
      </c>
    </row>
    <row r="312" spans="1:16" s="3" customFormat="1">
      <c r="A312" s="23" t="s">
        <v>1467</v>
      </c>
    </row>
    <row r="313" spans="1:16" s="3" customFormat="1">
      <c r="A313" s="23">
        <v>0</v>
      </c>
      <c r="B313" t="s">
        <v>32</v>
      </c>
      <c r="F313" s="128" t="s">
        <v>1464</v>
      </c>
      <c r="H313" s="3" t="s">
        <v>1468</v>
      </c>
    </row>
    <row r="314" spans="1:16" s="3" customFormat="1">
      <c r="A314" s="23">
        <v>20</v>
      </c>
      <c r="B314" t="s">
        <v>32</v>
      </c>
      <c r="F314" s="128" t="s">
        <v>1465</v>
      </c>
      <c r="H314" s="3" t="s">
        <v>1470</v>
      </c>
    </row>
    <row r="315" spans="1:16" s="3" customFormat="1">
      <c r="A315" s="23">
        <v>30</v>
      </c>
      <c r="B315" t="s">
        <v>32</v>
      </c>
      <c r="C315" s="7"/>
      <c r="D315" s="7"/>
      <c r="E315"/>
      <c r="F315" s="128" t="s">
        <v>1466</v>
      </c>
      <c r="H315" s="3" t="s">
        <v>1469</v>
      </c>
    </row>
    <row r="316" spans="1:16">
      <c r="A316" s="27" t="s">
        <v>0</v>
      </c>
      <c r="B316" s="54">
        <f>B76+1</f>
        <v>7</v>
      </c>
      <c r="C316" s="13" t="s">
        <v>201</v>
      </c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</row>
    <row r="317" spans="1:16">
      <c r="A317" s="2" t="s">
        <v>202</v>
      </c>
      <c r="B317" s="64"/>
      <c r="C317" s="15"/>
      <c r="D317" s="3"/>
      <c r="E317" s="3"/>
      <c r="F317" s="3"/>
      <c r="G317" s="3"/>
      <c r="H317" s="3"/>
      <c r="I317" t="s">
        <v>203</v>
      </c>
      <c r="J317" s="3"/>
      <c r="K317" s="3"/>
      <c r="L317" s="3"/>
      <c r="M317" s="3"/>
      <c r="N317" s="3"/>
      <c r="O317" s="3"/>
      <c r="P317" s="3"/>
    </row>
    <row r="318" spans="1:16">
      <c r="A318" s="1" t="s">
        <v>2</v>
      </c>
      <c r="B318" s="55" t="s">
        <v>3</v>
      </c>
      <c r="J318" s="28"/>
      <c r="K318" s="28"/>
      <c r="L318" s="28"/>
      <c r="M318" s="28"/>
      <c r="N318" s="28"/>
      <c r="O318" s="28"/>
      <c r="P318" s="28"/>
    </row>
    <row r="319" spans="1:16">
      <c r="A319" s="6">
        <v>0</v>
      </c>
      <c r="B319" s="56">
        <v>0</v>
      </c>
      <c r="C319" s="6">
        <v>0</v>
      </c>
      <c r="D319" t="s">
        <v>3</v>
      </c>
      <c r="E319" t="s">
        <v>204</v>
      </c>
      <c r="I319" s="28"/>
      <c r="J319" s="28"/>
      <c r="K319" s="28"/>
      <c r="L319" s="28"/>
      <c r="M319" s="28"/>
      <c r="N319" s="28"/>
      <c r="O319" s="28"/>
      <c r="P319" s="28"/>
    </row>
    <row r="320" spans="1:16">
      <c r="A320" s="6">
        <v>0</v>
      </c>
      <c r="B320" s="56">
        <v>0</v>
      </c>
      <c r="C320" s="6">
        <v>0</v>
      </c>
      <c r="D320" t="s">
        <v>3</v>
      </c>
      <c r="E320" t="s">
        <v>205</v>
      </c>
      <c r="I320" s="28"/>
      <c r="J320" s="28"/>
      <c r="K320" s="28"/>
      <c r="L320" s="28"/>
      <c r="M320" s="28"/>
      <c r="N320" s="28"/>
      <c r="O320" s="28"/>
      <c r="P320" s="28"/>
    </row>
    <row r="321" spans="1:16">
      <c r="A321" s="6">
        <v>0</v>
      </c>
      <c r="B321" s="56">
        <v>0</v>
      </c>
      <c r="C321" s="6">
        <v>0</v>
      </c>
      <c r="D321" t="s">
        <v>3</v>
      </c>
      <c r="E321" t="s">
        <v>206</v>
      </c>
      <c r="I321" s="28"/>
      <c r="J321" s="28"/>
      <c r="K321" s="28"/>
      <c r="L321" s="28"/>
      <c r="M321" s="28"/>
      <c r="N321" s="28"/>
      <c r="O321" s="28"/>
      <c r="P321" s="28"/>
    </row>
    <row r="322" spans="1:16">
      <c r="A322" s="6">
        <v>0</v>
      </c>
      <c r="B322" s="56">
        <v>162</v>
      </c>
      <c r="C322" s="6">
        <v>232</v>
      </c>
      <c r="E322" t="s">
        <v>207</v>
      </c>
      <c r="I322" s="28"/>
      <c r="J322" s="28"/>
      <c r="K322" s="28"/>
      <c r="L322" s="28"/>
      <c r="M322" s="28"/>
      <c r="N322" s="28"/>
      <c r="O322" s="28"/>
      <c r="P322" s="28"/>
    </row>
    <row r="323" spans="1:16">
      <c r="A323" s="6">
        <v>0</v>
      </c>
      <c r="B323" s="55" t="s">
        <v>3</v>
      </c>
      <c r="E323" t="s">
        <v>11</v>
      </c>
      <c r="I323" s="28"/>
      <c r="J323" s="28"/>
      <c r="K323" s="28"/>
      <c r="L323" s="28"/>
      <c r="M323" s="28"/>
      <c r="N323" s="28"/>
      <c r="O323" s="28"/>
      <c r="P323" s="28"/>
    </row>
    <row r="324" spans="1:16">
      <c r="A324" s="6">
        <v>0</v>
      </c>
      <c r="B324" s="55" t="s">
        <v>3</v>
      </c>
      <c r="E324" t="s">
        <v>11</v>
      </c>
      <c r="I324" s="28"/>
      <c r="J324" s="28"/>
      <c r="K324" s="28"/>
      <c r="L324" s="28"/>
      <c r="M324" s="28"/>
      <c r="N324" s="28"/>
      <c r="O324" s="28"/>
      <c r="P324" s="28"/>
    </row>
    <row r="325" spans="1:16">
      <c r="A325" s="6">
        <v>0</v>
      </c>
      <c r="B325" s="55" t="s">
        <v>3</v>
      </c>
      <c r="E325" t="s">
        <v>11</v>
      </c>
      <c r="I325" s="28"/>
      <c r="J325" s="28"/>
      <c r="K325" s="28"/>
      <c r="L325" s="28"/>
      <c r="M325" s="28"/>
      <c r="N325" s="28"/>
      <c r="O325" s="28"/>
      <c r="P325" s="28"/>
    </row>
    <row r="326" spans="1:16">
      <c r="A326" s="6">
        <v>0</v>
      </c>
      <c r="B326" s="55" t="s">
        <v>3</v>
      </c>
      <c r="E326" t="s">
        <v>11</v>
      </c>
      <c r="I326" s="28"/>
      <c r="J326" s="28"/>
      <c r="K326" s="28"/>
      <c r="L326" s="28"/>
      <c r="M326" s="28"/>
      <c r="N326" s="28"/>
      <c r="O326" s="28"/>
      <c r="P326" s="28"/>
    </row>
    <row r="327" spans="1:16">
      <c r="A327" s="2" t="s">
        <v>3</v>
      </c>
      <c r="I327" s="28"/>
      <c r="J327" s="28"/>
      <c r="K327" s="28"/>
      <c r="L327" s="28"/>
      <c r="M327" s="28"/>
      <c r="N327" s="28"/>
      <c r="O327" s="28"/>
      <c r="P327" s="28"/>
    </row>
    <row r="328" spans="1:16">
      <c r="A328" s="1" t="s">
        <v>176</v>
      </c>
      <c r="B328" s="55" t="s">
        <v>3</v>
      </c>
      <c r="I328" s="28"/>
      <c r="J328" s="28"/>
      <c r="K328" s="28"/>
      <c r="L328" s="28"/>
      <c r="M328" s="28"/>
      <c r="N328" s="28"/>
      <c r="O328" s="28"/>
      <c r="P328" s="28"/>
    </row>
    <row r="329" spans="1:16">
      <c r="A329" s="2" t="s">
        <v>208</v>
      </c>
      <c r="I329" s="28"/>
      <c r="J329" s="28"/>
      <c r="K329" s="28"/>
      <c r="L329" s="28"/>
      <c r="M329" s="28"/>
      <c r="N329" s="28"/>
      <c r="O329" s="28"/>
      <c r="P329" s="28"/>
    </row>
    <row r="330" spans="1:16">
      <c r="A330" s="6">
        <f>HEX2DEC(42)</f>
        <v>66</v>
      </c>
      <c r="B330" s="56">
        <f>HEX2DEC(50)</f>
        <v>80</v>
      </c>
      <c r="C330" s="6">
        <f>HEX2DEC(530)</f>
        <v>1328</v>
      </c>
      <c r="D330" s="6">
        <f>HEX2DEC(0)</f>
        <v>0</v>
      </c>
      <c r="E330" s="2" t="s">
        <v>209</v>
      </c>
      <c r="F330" t="s">
        <v>181</v>
      </c>
      <c r="G330" s="3"/>
      <c r="I330" s="28"/>
      <c r="J330" s="28"/>
      <c r="K330" s="28"/>
      <c r="L330" s="28"/>
      <c r="M330" s="28"/>
      <c r="N330" s="28"/>
      <c r="O330" s="28"/>
      <c r="P330" s="28"/>
    </row>
    <row r="331" spans="1:16">
      <c r="A331" s="6">
        <f>HEX2DEC(42)</f>
        <v>66</v>
      </c>
      <c r="B331" s="56">
        <f>HEX2DEC(50)</f>
        <v>80</v>
      </c>
      <c r="C331" s="6">
        <f t="shared" ref="C331:C337" si="10">HEX2DEC(530)</f>
        <v>1328</v>
      </c>
      <c r="D331" s="6">
        <f t="shared" ref="D331:D337" si="11">HEX2DEC(0)</f>
        <v>0</v>
      </c>
      <c r="E331" s="2" t="s">
        <v>3</v>
      </c>
      <c r="F331" t="s">
        <v>182</v>
      </c>
      <c r="G331" s="3"/>
      <c r="I331" s="28"/>
      <c r="J331" s="28"/>
      <c r="K331" s="28"/>
      <c r="L331" s="28"/>
      <c r="M331" s="28"/>
      <c r="N331" s="28"/>
      <c r="O331" s="28"/>
      <c r="P331" s="28"/>
    </row>
    <row r="332" spans="1:16">
      <c r="A332" s="6">
        <f t="shared" ref="A332:A337" si="12">HEX2DEC(42)</f>
        <v>66</v>
      </c>
      <c r="B332" s="56">
        <f t="shared" ref="B332:B337" si="13">HEX2DEC(50)</f>
        <v>80</v>
      </c>
      <c r="C332" s="6">
        <f t="shared" si="10"/>
        <v>1328</v>
      </c>
      <c r="D332" s="6">
        <f t="shared" si="11"/>
        <v>0</v>
      </c>
      <c r="E332" s="2" t="s">
        <v>3</v>
      </c>
      <c r="F332" t="s">
        <v>183</v>
      </c>
      <c r="G332" s="3"/>
      <c r="I332" s="28"/>
      <c r="J332" s="28"/>
      <c r="K332" s="28"/>
      <c r="L332" s="28"/>
      <c r="M332" s="28"/>
      <c r="N332" s="28"/>
      <c r="O332" s="28"/>
      <c r="P332" s="28"/>
    </row>
    <row r="333" spans="1:16">
      <c r="A333" s="6">
        <f t="shared" si="12"/>
        <v>66</v>
      </c>
      <c r="B333" s="56">
        <f t="shared" si="13"/>
        <v>80</v>
      </c>
      <c r="C333" s="6">
        <f t="shared" si="10"/>
        <v>1328</v>
      </c>
      <c r="D333" s="6">
        <f t="shared" si="11"/>
        <v>0</v>
      </c>
      <c r="E333" s="2" t="s">
        <v>3</v>
      </c>
      <c r="F333" t="s">
        <v>184</v>
      </c>
      <c r="G333" s="3"/>
      <c r="I333" s="28"/>
      <c r="J333" s="28"/>
      <c r="K333" s="28"/>
      <c r="L333" s="28"/>
      <c r="M333" s="28"/>
      <c r="N333" s="28"/>
      <c r="O333" s="28"/>
      <c r="P333" s="28"/>
    </row>
    <row r="334" spans="1:16">
      <c r="A334" s="6">
        <f t="shared" si="12"/>
        <v>66</v>
      </c>
      <c r="B334" s="56">
        <f t="shared" si="13"/>
        <v>80</v>
      </c>
      <c r="C334" s="6">
        <f t="shared" si="10"/>
        <v>1328</v>
      </c>
      <c r="D334" s="6">
        <f t="shared" si="11"/>
        <v>0</v>
      </c>
      <c r="E334" s="2" t="s">
        <v>3</v>
      </c>
      <c r="F334" t="s">
        <v>185</v>
      </c>
      <c r="G334" s="3"/>
      <c r="I334" s="28"/>
      <c r="J334" s="28"/>
      <c r="K334" s="28"/>
      <c r="L334" s="28"/>
      <c r="M334" s="28"/>
      <c r="N334" s="28"/>
      <c r="O334" s="28"/>
      <c r="P334" s="28"/>
    </row>
    <row r="335" spans="1:16">
      <c r="A335" s="6">
        <f t="shared" si="12"/>
        <v>66</v>
      </c>
      <c r="B335" s="56">
        <f t="shared" si="13"/>
        <v>80</v>
      </c>
      <c r="C335" s="6">
        <f t="shared" si="10"/>
        <v>1328</v>
      </c>
      <c r="D335" s="6">
        <f t="shared" si="11"/>
        <v>0</v>
      </c>
      <c r="E335" s="2" t="s">
        <v>210</v>
      </c>
      <c r="F335" t="s">
        <v>186</v>
      </c>
      <c r="G335" s="3"/>
      <c r="I335" s="28"/>
      <c r="J335" s="28"/>
      <c r="K335" s="28"/>
      <c r="L335" s="28"/>
      <c r="M335" s="28"/>
      <c r="N335" s="28"/>
      <c r="O335" s="28"/>
      <c r="P335" s="28"/>
    </row>
    <row r="336" spans="1:16">
      <c r="A336" s="6">
        <f t="shared" si="12"/>
        <v>66</v>
      </c>
      <c r="B336" s="56">
        <f t="shared" si="13"/>
        <v>80</v>
      </c>
      <c r="C336" s="6">
        <f t="shared" si="10"/>
        <v>1328</v>
      </c>
      <c r="D336" s="6">
        <f t="shared" si="11"/>
        <v>0</v>
      </c>
      <c r="E336" s="2" t="s">
        <v>3</v>
      </c>
      <c r="F336" t="s">
        <v>187</v>
      </c>
      <c r="G336" s="3"/>
      <c r="I336" s="28"/>
      <c r="J336" s="28"/>
      <c r="K336" s="28"/>
      <c r="L336" s="28"/>
      <c r="M336" s="28"/>
      <c r="N336" s="28"/>
      <c r="O336" s="28"/>
      <c r="P336" s="28"/>
    </row>
    <row r="337" spans="1:16">
      <c r="A337" s="6">
        <f t="shared" si="12"/>
        <v>66</v>
      </c>
      <c r="B337" s="56">
        <f t="shared" si="13"/>
        <v>80</v>
      </c>
      <c r="C337" s="6">
        <f t="shared" si="10"/>
        <v>1328</v>
      </c>
      <c r="D337" s="6">
        <f t="shared" si="11"/>
        <v>0</v>
      </c>
      <c r="E337" s="2" t="s">
        <v>3</v>
      </c>
      <c r="F337" t="s">
        <v>188</v>
      </c>
      <c r="G337" s="3"/>
      <c r="I337" s="28"/>
      <c r="J337" s="28"/>
      <c r="K337" s="28"/>
      <c r="L337" s="28"/>
      <c r="M337" s="28"/>
      <c r="N337" s="28"/>
      <c r="O337" s="28"/>
      <c r="P337" s="28"/>
    </row>
    <row r="338" spans="1:16">
      <c r="A338" t="s">
        <v>211</v>
      </c>
      <c r="I338" t="s">
        <v>212</v>
      </c>
      <c r="J338" s="28"/>
      <c r="K338" s="28"/>
      <c r="L338" s="28"/>
      <c r="M338" s="28"/>
      <c r="N338" s="28"/>
      <c r="O338" s="28"/>
      <c r="P338" s="28"/>
    </row>
    <row r="339" spans="1:16">
      <c r="A339" s="1" t="s">
        <v>2</v>
      </c>
      <c r="B339" s="2" t="s">
        <v>3</v>
      </c>
      <c r="I339" s="28"/>
      <c r="J339" s="28"/>
      <c r="K339" s="28"/>
      <c r="L339" s="28"/>
      <c r="M339" s="28"/>
      <c r="N339" s="28"/>
      <c r="O339" s="28"/>
      <c r="P339" s="28"/>
    </row>
    <row r="340" spans="1:16">
      <c r="A340" s="6">
        <v>0</v>
      </c>
      <c r="B340" s="56">
        <v>0</v>
      </c>
      <c r="C340" s="6">
        <v>0</v>
      </c>
      <c r="D340" t="s">
        <v>209</v>
      </c>
      <c r="F340" s="29" t="s">
        <v>213</v>
      </c>
      <c r="I340" s="28"/>
      <c r="J340" s="28"/>
      <c r="K340" s="28"/>
      <c r="L340" s="28"/>
      <c r="M340" s="28"/>
      <c r="N340" s="28"/>
      <c r="O340" s="28"/>
      <c r="P340" s="28"/>
    </row>
    <row r="341" spans="1:16">
      <c r="A341" s="6">
        <v>0</v>
      </c>
      <c r="B341" s="56">
        <v>0</v>
      </c>
      <c r="C341" s="6">
        <v>0</v>
      </c>
      <c r="D341" t="s">
        <v>3</v>
      </c>
      <c r="F341" s="29" t="s">
        <v>214</v>
      </c>
      <c r="I341" s="28"/>
      <c r="J341" s="28"/>
      <c r="K341" s="28"/>
      <c r="L341" s="28"/>
      <c r="M341" s="28"/>
      <c r="N341" s="28"/>
      <c r="O341" s="28"/>
      <c r="P341" s="28"/>
    </row>
    <row r="342" spans="1:16">
      <c r="A342" s="6">
        <v>0</v>
      </c>
      <c r="B342" s="56">
        <v>0</v>
      </c>
      <c r="C342" s="6">
        <v>0</v>
      </c>
      <c r="D342" t="s">
        <v>3</v>
      </c>
      <c r="F342" s="29" t="s">
        <v>215</v>
      </c>
    </row>
    <row r="343" spans="1:16" ht="15">
      <c r="A343" s="6">
        <v>0</v>
      </c>
      <c r="B343" s="56">
        <v>0</v>
      </c>
      <c r="C343" s="6">
        <v>0</v>
      </c>
      <c r="D343" t="s">
        <v>3</v>
      </c>
      <c r="F343" s="29" t="s">
        <v>216</v>
      </c>
    </row>
    <row r="344" spans="1:16">
      <c r="A344" s="6">
        <v>0</v>
      </c>
      <c r="B344" s="56">
        <v>0</v>
      </c>
      <c r="C344" s="6">
        <v>0</v>
      </c>
      <c r="D344" t="s">
        <v>3</v>
      </c>
      <c r="F344" s="29" t="s">
        <v>217</v>
      </c>
    </row>
    <row r="345" spans="1:16" ht="15">
      <c r="A345" s="6">
        <v>0</v>
      </c>
      <c r="B345" s="56">
        <v>0</v>
      </c>
      <c r="C345" s="6">
        <v>0</v>
      </c>
      <c r="D345" t="s">
        <v>3</v>
      </c>
      <c r="F345" s="29" t="s">
        <v>218</v>
      </c>
    </row>
    <row r="346" spans="1:16">
      <c r="A346" s="6">
        <v>0</v>
      </c>
      <c r="B346" s="56">
        <v>0</v>
      </c>
      <c r="C346" s="6">
        <v>0</v>
      </c>
      <c r="D346" t="s">
        <v>3</v>
      </c>
      <c r="F346" s="29" t="s">
        <v>219</v>
      </c>
    </row>
    <row r="347" spans="1:16">
      <c r="A347" s="6">
        <v>0</v>
      </c>
      <c r="B347" s="56">
        <v>0</v>
      </c>
      <c r="C347" s="6">
        <v>0</v>
      </c>
      <c r="D347" t="s">
        <v>210</v>
      </c>
      <c r="F347" s="29" t="s">
        <v>220</v>
      </c>
    </row>
    <row r="348" spans="1:16" ht="16.5">
      <c r="A348" s="6">
        <v>0</v>
      </c>
      <c r="B348" s="56">
        <v>0</v>
      </c>
      <c r="C348" s="6">
        <v>0</v>
      </c>
      <c r="D348" t="s">
        <v>3</v>
      </c>
      <c r="F348" s="30" t="s">
        <v>221</v>
      </c>
    </row>
    <row r="349" spans="1:16">
      <c r="A349" s="1" t="s">
        <v>176</v>
      </c>
      <c r="B349" t="s">
        <v>3</v>
      </c>
    </row>
    <row r="350" spans="1:16">
      <c r="A350" s="6">
        <f>HEX2DEC(901)</f>
        <v>2305</v>
      </c>
      <c r="B350" t="s">
        <v>3</v>
      </c>
      <c r="F350" s="29" t="s">
        <v>222</v>
      </c>
    </row>
    <row r="351" spans="1:16">
      <c r="A351" s="6">
        <f>HEX2DEC(911)</f>
        <v>2321</v>
      </c>
      <c r="B351" t="s">
        <v>3</v>
      </c>
      <c r="F351" s="29" t="s">
        <v>223</v>
      </c>
    </row>
    <row r="352" spans="1:16">
      <c r="A352" s="6">
        <f>HEX2DEC(911)</f>
        <v>2321</v>
      </c>
      <c r="B352" t="s">
        <v>3</v>
      </c>
      <c r="F352" s="29" t="s">
        <v>224</v>
      </c>
    </row>
    <row r="353" spans="1:6" ht="15">
      <c r="A353" s="8">
        <f>HEX2DEC(30)</f>
        <v>48</v>
      </c>
      <c r="B353" t="s">
        <v>3</v>
      </c>
      <c r="F353" s="29" t="s">
        <v>225</v>
      </c>
    </row>
    <row r="354" spans="1:6">
      <c r="A354" s="8">
        <f>HEX2DEC(70)</f>
        <v>112</v>
      </c>
      <c r="B354" t="s">
        <v>3</v>
      </c>
      <c r="F354" s="29" t="s">
        <v>226</v>
      </c>
    </row>
    <row r="355" spans="1:6" ht="15">
      <c r="A355" s="6">
        <f>HEX2DEC(30)</f>
        <v>48</v>
      </c>
      <c r="B355" t="s">
        <v>3</v>
      </c>
      <c r="F355" s="29" t="s">
        <v>227</v>
      </c>
    </row>
    <row r="356" spans="1:6">
      <c r="A356" s="6">
        <f>HEX2DEC(20)</f>
        <v>32</v>
      </c>
      <c r="B356" t="s">
        <v>3</v>
      </c>
      <c r="F356" s="29" t="s">
        <v>228</v>
      </c>
    </row>
    <row r="357" spans="1:6">
      <c r="A357" s="6">
        <f>HEX2DEC(40)</f>
        <v>64</v>
      </c>
      <c r="B357" t="s">
        <v>3</v>
      </c>
      <c r="F357" s="29" t="s">
        <v>229</v>
      </c>
    </row>
    <row r="358" spans="1:6" ht="16.5">
      <c r="A358" s="8">
        <f>HEX2DEC(0)</f>
        <v>0</v>
      </c>
      <c r="B358" t="s">
        <v>3</v>
      </c>
      <c r="F358" s="30" t="s">
        <v>230</v>
      </c>
    </row>
    <row r="359" spans="1:6">
      <c r="A359" s="2" t="s">
        <v>231</v>
      </c>
    </row>
    <row r="360" spans="1:6">
      <c r="A360" s="1" t="s">
        <v>2</v>
      </c>
      <c r="B360" s="2" t="s">
        <v>3</v>
      </c>
    </row>
    <row r="361" spans="1:6">
      <c r="A361" s="6">
        <v>0</v>
      </c>
      <c r="B361" s="56">
        <v>0</v>
      </c>
      <c r="C361" s="6">
        <v>0</v>
      </c>
      <c r="D361" t="s">
        <v>3</v>
      </c>
      <c r="F361" s="29" t="s">
        <v>232</v>
      </c>
    </row>
    <row r="362" spans="1:6">
      <c r="A362" s="1">
        <v>15</v>
      </c>
      <c r="B362" t="s">
        <v>3</v>
      </c>
      <c r="F362" t="s">
        <v>233</v>
      </c>
    </row>
    <row r="363" spans="1:6">
      <c r="A363" s="1">
        <v>10</v>
      </c>
      <c r="B363" t="s">
        <v>3</v>
      </c>
      <c r="C363" s="7"/>
      <c r="F363" t="s">
        <v>234</v>
      </c>
    </row>
    <row r="364" spans="1:6">
      <c r="A364" s="6">
        <v>0</v>
      </c>
      <c r="B364" t="s">
        <v>3</v>
      </c>
      <c r="C364" s="7"/>
      <c r="F364" s="29" t="s">
        <v>11</v>
      </c>
    </row>
    <row r="365" spans="1:6">
      <c r="A365" s="56">
        <v>0</v>
      </c>
      <c r="B365" t="s">
        <v>3</v>
      </c>
      <c r="C365" s="7"/>
      <c r="F365" s="29" t="s">
        <v>11</v>
      </c>
    </row>
    <row r="366" spans="1:6">
      <c r="A366" s="6">
        <v>0</v>
      </c>
      <c r="B366" t="s">
        <v>3</v>
      </c>
      <c r="C366" s="7"/>
      <c r="F366" s="29" t="s">
        <v>11</v>
      </c>
    </row>
    <row r="367" spans="1:6">
      <c r="A367" s="2" t="s">
        <v>176</v>
      </c>
      <c r="B367" t="s">
        <v>3</v>
      </c>
      <c r="C367" s="7"/>
      <c r="F367" s="29"/>
    </row>
    <row r="368" spans="1:6">
      <c r="A368" t="s">
        <v>235</v>
      </c>
      <c r="B368"/>
      <c r="C368" s="7"/>
      <c r="F368" s="29"/>
    </row>
    <row r="369" spans="1:25">
      <c r="A369" t="s">
        <v>58</v>
      </c>
      <c r="B369" t="s">
        <v>73</v>
      </c>
      <c r="C369" t="s">
        <v>84</v>
      </c>
      <c r="D369" t="s">
        <v>95</v>
      </c>
      <c r="E369" t="s">
        <v>106</v>
      </c>
      <c r="F369" t="s">
        <v>236</v>
      </c>
      <c r="G369" t="s">
        <v>237</v>
      </c>
      <c r="H369" t="s">
        <v>238</v>
      </c>
      <c r="I369" t="s">
        <v>239</v>
      </c>
      <c r="J369" t="s">
        <v>240</v>
      </c>
      <c r="K369" t="s">
        <v>241</v>
      </c>
      <c r="L369" t="s">
        <v>242</v>
      </c>
      <c r="M369" t="s">
        <v>243</v>
      </c>
      <c r="N369" t="s">
        <v>244</v>
      </c>
      <c r="O369" t="s">
        <v>245</v>
      </c>
      <c r="P369" t="s">
        <v>246</v>
      </c>
      <c r="Q369" t="s">
        <v>247</v>
      </c>
    </row>
    <row r="370" spans="1:25" ht="16.5">
      <c r="A370" s="201">
        <v>4</v>
      </c>
      <c r="B370" s="66">
        <v>51</v>
      </c>
      <c r="C370" s="32">
        <v>20</v>
      </c>
      <c r="D370" s="66">
        <v>52</v>
      </c>
      <c r="E370" s="32">
        <v>58</v>
      </c>
      <c r="F370" s="32" t="s">
        <v>1645</v>
      </c>
      <c r="G370" s="66">
        <v>32</v>
      </c>
      <c r="H370" s="32">
        <v>1</v>
      </c>
      <c r="I370" s="66">
        <v>13</v>
      </c>
      <c r="J370" s="8">
        <v>71</v>
      </c>
      <c r="K370" s="32">
        <v>64</v>
      </c>
      <c r="L370" s="66">
        <v>103</v>
      </c>
      <c r="M370" s="32">
        <v>96</v>
      </c>
      <c r="N370" s="66">
        <v>78</v>
      </c>
      <c r="O370" s="32"/>
      <c r="P370" s="8"/>
      <c r="Q370" s="61"/>
      <c r="R370" s="23" t="s">
        <v>3</v>
      </c>
      <c r="S370" s="23"/>
      <c r="T370" s="23"/>
      <c r="U370" s="23"/>
      <c r="V370" s="23"/>
      <c r="W370" s="23"/>
      <c r="X370" s="23"/>
      <c r="Y370" t="s">
        <v>248</v>
      </c>
    </row>
    <row r="371" spans="1:25" ht="16.5">
      <c r="A371" s="201">
        <v>3</v>
      </c>
      <c r="B371" s="66">
        <v>23</v>
      </c>
      <c r="C371" s="32">
        <v>33</v>
      </c>
      <c r="D371" s="66">
        <v>39</v>
      </c>
      <c r="E371" s="66">
        <v>109</v>
      </c>
      <c r="F371" s="32"/>
      <c r="G371" s="66">
        <v>42</v>
      </c>
      <c r="H371" s="32">
        <v>19</v>
      </c>
      <c r="I371" s="66">
        <v>12</v>
      </c>
      <c r="J371" s="66">
        <v>69</v>
      </c>
      <c r="K371" s="32">
        <v>77</v>
      </c>
      <c r="L371" s="66">
        <v>102</v>
      </c>
      <c r="M371" s="32">
        <v>111</v>
      </c>
      <c r="N371" s="66">
        <v>76</v>
      </c>
      <c r="O371" s="66"/>
      <c r="P371" s="8"/>
      <c r="Q371" s="61"/>
      <c r="R371" s="23" t="s">
        <v>3</v>
      </c>
      <c r="S371" s="23"/>
      <c r="T371" s="23"/>
      <c r="U371" s="23"/>
      <c r="V371" s="23"/>
      <c r="W371" s="23"/>
      <c r="X371" s="23"/>
      <c r="Y371" t="s">
        <v>249</v>
      </c>
    </row>
    <row r="372" spans="1:25" ht="16.5">
      <c r="A372" s="201">
        <v>9</v>
      </c>
      <c r="B372" s="66">
        <v>22</v>
      </c>
      <c r="C372" s="32">
        <v>44</v>
      </c>
      <c r="D372" s="32">
        <v>38</v>
      </c>
      <c r="E372" s="66">
        <v>108</v>
      </c>
      <c r="F372" s="32"/>
      <c r="G372" s="66">
        <v>46</v>
      </c>
      <c r="H372" s="32">
        <v>8</v>
      </c>
      <c r="I372" s="32">
        <v>47</v>
      </c>
      <c r="J372" s="66">
        <v>70</v>
      </c>
      <c r="K372" s="32">
        <v>75</v>
      </c>
      <c r="L372" s="66">
        <v>101</v>
      </c>
      <c r="M372" s="32">
        <v>110</v>
      </c>
      <c r="N372" s="32">
        <v>16</v>
      </c>
      <c r="O372" s="61"/>
      <c r="P372" s="8"/>
      <c r="Q372" s="61"/>
      <c r="R372" s="23" t="s">
        <v>3</v>
      </c>
      <c r="S372" s="23"/>
      <c r="T372" s="23"/>
      <c r="U372" s="23"/>
      <c r="V372" s="23"/>
      <c r="W372" s="23"/>
      <c r="X372" s="23"/>
    </row>
    <row r="373" spans="1:25" ht="16.5">
      <c r="A373" s="201">
        <v>5</v>
      </c>
      <c r="B373" s="66">
        <v>11</v>
      </c>
      <c r="C373" s="66">
        <v>43</v>
      </c>
      <c r="D373" s="32">
        <v>35</v>
      </c>
      <c r="E373" s="66">
        <v>107</v>
      </c>
      <c r="F373" s="32"/>
      <c r="G373" s="66">
        <v>34</v>
      </c>
      <c r="H373" s="66">
        <v>18</v>
      </c>
      <c r="I373" s="32">
        <v>50</v>
      </c>
      <c r="J373" s="66">
        <v>79</v>
      </c>
      <c r="K373" s="32">
        <v>74</v>
      </c>
      <c r="L373" s="66">
        <v>100</v>
      </c>
      <c r="M373" s="66">
        <v>98</v>
      </c>
      <c r="N373" s="32">
        <v>2</v>
      </c>
      <c r="O373" s="61"/>
      <c r="P373" s="8"/>
      <c r="Q373" s="61"/>
      <c r="R373" s="23" t="s">
        <v>3</v>
      </c>
      <c r="S373" s="23"/>
      <c r="T373" s="23"/>
      <c r="U373" s="23"/>
      <c r="V373" s="23"/>
      <c r="W373" s="23"/>
      <c r="X373" s="23"/>
    </row>
    <row r="374" spans="1:25" ht="16.5">
      <c r="A374" s="201">
        <v>17</v>
      </c>
      <c r="B374" s="32">
        <v>10</v>
      </c>
      <c r="C374" s="66">
        <v>40</v>
      </c>
      <c r="D374" s="32">
        <v>60</v>
      </c>
      <c r="E374" s="66">
        <v>106</v>
      </c>
      <c r="F374" s="32"/>
      <c r="G374" s="32">
        <v>45</v>
      </c>
      <c r="H374" s="66">
        <v>0</v>
      </c>
      <c r="I374" s="32">
        <v>49</v>
      </c>
      <c r="J374" s="66">
        <v>67</v>
      </c>
      <c r="K374" s="32">
        <v>73</v>
      </c>
      <c r="L374" s="32">
        <v>99</v>
      </c>
      <c r="M374" s="66">
        <v>66</v>
      </c>
      <c r="N374" s="32">
        <v>41</v>
      </c>
      <c r="O374" s="61"/>
      <c r="P374" s="8"/>
      <c r="Q374" s="23" t="s">
        <v>3</v>
      </c>
      <c r="R374" s="23"/>
      <c r="S374" s="23"/>
      <c r="T374" s="23"/>
      <c r="U374" s="23"/>
      <c r="V374" s="23"/>
      <c r="W374" s="23"/>
      <c r="X374" s="23"/>
    </row>
    <row r="375" spans="1:25" ht="16.5">
      <c r="A375" s="66">
        <v>36</v>
      </c>
      <c r="B375" s="32">
        <v>21</v>
      </c>
      <c r="C375" s="66">
        <v>55</v>
      </c>
      <c r="D375" s="32">
        <v>59</v>
      </c>
      <c r="E375" s="66">
        <v>105</v>
      </c>
      <c r="F375" s="66"/>
      <c r="G375" s="32">
        <v>15</v>
      </c>
      <c r="H375" s="66">
        <v>14</v>
      </c>
      <c r="I375" s="32">
        <v>48</v>
      </c>
      <c r="J375" s="66">
        <v>68</v>
      </c>
      <c r="K375" s="66">
        <v>72</v>
      </c>
      <c r="L375" s="32">
        <v>97</v>
      </c>
      <c r="M375" s="66">
        <v>65</v>
      </c>
      <c r="N375" s="32"/>
      <c r="O375" s="61"/>
      <c r="P375" s="61"/>
      <c r="Q375" s="23" t="s">
        <v>3</v>
      </c>
      <c r="R375" s="23"/>
      <c r="S375" s="23"/>
      <c r="T375" s="23"/>
      <c r="U375" s="23"/>
      <c r="V375" s="23"/>
      <c r="W375" s="23"/>
      <c r="X375" s="23"/>
    </row>
    <row r="376" spans="1:25" ht="16.5">
      <c r="A376" t="s">
        <v>38</v>
      </c>
      <c r="B376" s="55" t="s">
        <v>32</v>
      </c>
      <c r="K376" s="75"/>
      <c r="L376" s="74"/>
      <c r="M376" s="75"/>
      <c r="N376" s="65"/>
      <c r="O376" s="65"/>
    </row>
    <row r="377" spans="1:25" ht="16.5">
      <c r="A377" t="s">
        <v>250</v>
      </c>
      <c r="K377" s="75"/>
      <c r="L377" s="74"/>
      <c r="M377" s="75"/>
      <c r="N377" s="65"/>
      <c r="O377" s="65"/>
    </row>
    <row r="378" spans="1:25">
      <c r="A378" t="s">
        <v>251</v>
      </c>
      <c r="B378" t="s">
        <v>252</v>
      </c>
      <c r="C378" t="s">
        <v>84</v>
      </c>
      <c r="D378" t="s">
        <v>253</v>
      </c>
      <c r="E378" t="s">
        <v>254</v>
      </c>
      <c r="F378" t="s">
        <v>236</v>
      </c>
      <c r="G378" t="s">
        <v>237</v>
      </c>
      <c r="H378" t="s">
        <v>238</v>
      </c>
      <c r="I378" t="s">
        <v>239</v>
      </c>
      <c r="J378" t="s">
        <v>240</v>
      </c>
      <c r="K378" t="s">
        <v>241</v>
      </c>
      <c r="L378" t="s">
        <v>242</v>
      </c>
      <c r="M378" t="s">
        <v>243</v>
      </c>
      <c r="N378" t="s">
        <v>244</v>
      </c>
      <c r="O378" t="s">
        <v>245</v>
      </c>
      <c r="P378" t="s">
        <v>246</v>
      </c>
      <c r="Q378" t="s">
        <v>247</v>
      </c>
      <c r="R378" t="s">
        <v>255</v>
      </c>
      <c r="S378" t="s">
        <v>256</v>
      </c>
      <c r="T378" t="s">
        <v>257</v>
      </c>
    </row>
    <row r="379" spans="1:25">
      <c r="A379" s="8"/>
      <c r="B379" s="61"/>
      <c r="C379" s="8"/>
      <c r="D379" s="61"/>
      <c r="E379" s="8"/>
      <c r="F379" s="8"/>
      <c r="G379" s="61"/>
      <c r="H379" s="8"/>
      <c r="I379" s="61"/>
      <c r="J379" s="8"/>
      <c r="K379" s="8"/>
      <c r="L379" s="8"/>
      <c r="M379" s="8"/>
      <c r="N379" s="8"/>
      <c r="O379" s="8"/>
      <c r="P379" s="61"/>
      <c r="Q379" s="61"/>
      <c r="R379" s="61"/>
      <c r="S379" s="61"/>
      <c r="T379" s="61"/>
      <c r="U379" t="s">
        <v>3</v>
      </c>
    </row>
    <row r="380" spans="1:25">
      <c r="A380" s="8"/>
      <c r="B380" s="61"/>
      <c r="C380" s="8"/>
      <c r="D380" s="61"/>
      <c r="E380" s="61"/>
      <c r="F380" s="8"/>
      <c r="G380" s="61"/>
      <c r="H380" s="8"/>
      <c r="I380" s="61"/>
      <c r="J380" s="61"/>
      <c r="K380" s="8"/>
      <c r="L380" s="8"/>
      <c r="M380" s="8"/>
      <c r="N380" s="8"/>
      <c r="O380" s="8"/>
      <c r="P380" s="61"/>
      <c r="Q380" s="61"/>
      <c r="R380" s="61"/>
      <c r="S380" s="61"/>
      <c r="T380" s="61"/>
      <c r="U380" t="s">
        <v>3</v>
      </c>
    </row>
    <row r="381" spans="1:25">
      <c r="A381" s="8"/>
      <c r="B381" s="61"/>
      <c r="C381" s="8"/>
      <c r="D381" s="8"/>
      <c r="E381" s="61"/>
      <c r="F381" s="8"/>
      <c r="G381" s="61"/>
      <c r="H381" s="8"/>
      <c r="I381" s="8"/>
      <c r="J381" s="61"/>
      <c r="K381" s="8"/>
      <c r="L381" s="8"/>
      <c r="M381" s="8"/>
      <c r="N381" s="8"/>
      <c r="O381" s="8"/>
      <c r="P381" s="61"/>
      <c r="Q381" s="61"/>
      <c r="R381" s="61"/>
      <c r="S381" s="61"/>
      <c r="T381" s="61"/>
      <c r="U381" t="s">
        <v>3</v>
      </c>
    </row>
    <row r="382" spans="1:25">
      <c r="A382" s="8"/>
      <c r="B382" s="61"/>
      <c r="C382" s="61"/>
      <c r="D382" s="8"/>
      <c r="E382" s="61"/>
      <c r="F382" s="8"/>
      <c r="G382" s="61"/>
      <c r="H382" s="61"/>
      <c r="I382" s="8"/>
      <c r="J382" s="61"/>
      <c r="K382" s="8"/>
      <c r="L382" s="8"/>
      <c r="M382" s="8"/>
      <c r="N382" s="8"/>
      <c r="O382" s="8"/>
      <c r="P382" s="61"/>
      <c r="Q382" s="61"/>
      <c r="R382" s="61"/>
      <c r="S382" s="61"/>
      <c r="T382" s="61"/>
      <c r="U382" t="s">
        <v>3</v>
      </c>
    </row>
    <row r="383" spans="1:25">
      <c r="A383" s="8"/>
      <c r="B383" s="8"/>
      <c r="C383" s="61"/>
      <c r="D383" s="8"/>
      <c r="E383" s="61"/>
      <c r="F383" s="8"/>
      <c r="G383" s="8"/>
      <c r="H383" s="61"/>
      <c r="I383" s="8"/>
      <c r="J383" s="61"/>
      <c r="K383" s="8"/>
      <c r="L383" s="8"/>
      <c r="M383" s="8"/>
      <c r="N383" s="8"/>
      <c r="O383" s="8"/>
      <c r="P383" s="61"/>
      <c r="Q383" s="61"/>
      <c r="R383" s="61"/>
      <c r="S383" s="61"/>
      <c r="T383" s="61"/>
      <c r="U383" t="s">
        <v>3</v>
      </c>
    </row>
    <row r="384" spans="1:25">
      <c r="A384" s="61"/>
      <c r="B384" s="8"/>
      <c r="C384" s="61"/>
      <c r="D384" s="8"/>
      <c r="E384" s="61"/>
      <c r="F384" s="61"/>
      <c r="G384" s="8"/>
      <c r="H384" s="61"/>
      <c r="I384" s="8"/>
      <c r="J384" s="61"/>
      <c r="K384" s="8"/>
      <c r="L384" s="8"/>
      <c r="M384" s="8"/>
      <c r="N384" s="8"/>
      <c r="O384" s="8"/>
      <c r="P384" s="61"/>
      <c r="Q384" s="61"/>
      <c r="R384" s="61"/>
      <c r="S384" s="61"/>
      <c r="T384" s="61"/>
      <c r="U384" t="s">
        <v>3</v>
      </c>
    </row>
    <row r="385" spans="1:6">
      <c r="A385" s="74"/>
    </row>
    <row r="386" spans="1:6">
      <c r="A386" s="2" t="s">
        <v>258</v>
      </c>
    </row>
    <row r="387" spans="1:6">
      <c r="A387" s="1" t="s">
        <v>2</v>
      </c>
      <c r="B387" s="55" t="s">
        <v>3</v>
      </c>
    </row>
    <row r="388" spans="1:6">
      <c r="A388" s="6">
        <v>0</v>
      </c>
      <c r="B388" s="56">
        <v>0</v>
      </c>
      <c r="C388" s="6">
        <v>0</v>
      </c>
      <c r="D388" s="2" t="s">
        <v>3</v>
      </c>
      <c r="F388" s="2" t="s">
        <v>259</v>
      </c>
    </row>
    <row r="389" spans="1:6">
      <c r="A389" s="6">
        <v>0</v>
      </c>
      <c r="B389" s="55" t="s">
        <v>3</v>
      </c>
      <c r="F389" s="14" t="s">
        <v>11</v>
      </c>
    </row>
    <row r="390" spans="1:6">
      <c r="A390" s="6">
        <v>0</v>
      </c>
      <c r="B390" s="55" t="s">
        <v>3</v>
      </c>
      <c r="F390" s="14" t="s">
        <v>11</v>
      </c>
    </row>
    <row r="391" spans="1:6">
      <c r="A391" s="6">
        <v>0</v>
      </c>
      <c r="B391" s="55" t="s">
        <v>3</v>
      </c>
      <c r="F391" s="14" t="s">
        <v>11</v>
      </c>
    </row>
    <row r="392" spans="1:6">
      <c r="A392" s="6">
        <v>0</v>
      </c>
      <c r="B392" s="55" t="s">
        <v>3</v>
      </c>
      <c r="F392" s="14" t="s">
        <v>11</v>
      </c>
    </row>
    <row r="393" spans="1:6">
      <c r="A393" s="6">
        <v>0</v>
      </c>
      <c r="B393" s="55" t="s">
        <v>3</v>
      </c>
      <c r="F393" s="14" t="s">
        <v>11</v>
      </c>
    </row>
    <row r="394" spans="1:6">
      <c r="A394" s="2" t="s">
        <v>176</v>
      </c>
      <c r="B394" s="55" t="s">
        <v>3</v>
      </c>
    </row>
    <row r="395" spans="1:6">
      <c r="A395" s="6">
        <f>HEX2DEC(32)</f>
        <v>50</v>
      </c>
      <c r="B395" s="55" t="s">
        <v>3</v>
      </c>
      <c r="F395" t="s">
        <v>260</v>
      </c>
    </row>
    <row r="396" spans="1:6">
      <c r="A396" s="6">
        <v>0</v>
      </c>
      <c r="B396" s="55" t="s">
        <v>3</v>
      </c>
      <c r="F396" s="14" t="s">
        <v>11</v>
      </c>
    </row>
    <row r="397" spans="1:6">
      <c r="A397" s="6">
        <v>0</v>
      </c>
      <c r="B397" s="55" t="s">
        <v>3</v>
      </c>
      <c r="F397" s="14" t="s">
        <v>11</v>
      </c>
    </row>
    <row r="398" spans="1:6">
      <c r="A398" s="6">
        <v>0</v>
      </c>
      <c r="B398" s="55" t="s">
        <v>3</v>
      </c>
      <c r="F398" s="14" t="s">
        <v>11</v>
      </c>
    </row>
    <row r="399" spans="1:6">
      <c r="A399" s="2" t="s">
        <v>1647</v>
      </c>
    </row>
    <row r="400" spans="1:6">
      <c r="A400" s="1" t="s">
        <v>2</v>
      </c>
      <c r="B400" s="55" t="s">
        <v>3</v>
      </c>
    </row>
    <row r="401" spans="1:6">
      <c r="A401" s="6">
        <v>0</v>
      </c>
      <c r="B401" s="56">
        <v>0</v>
      </c>
      <c r="C401" s="6">
        <v>0</v>
      </c>
      <c r="D401" s="2" t="s">
        <v>3</v>
      </c>
      <c r="F401" s="2" t="s">
        <v>261</v>
      </c>
    </row>
    <row r="402" spans="1:6">
      <c r="A402" s="6">
        <v>0</v>
      </c>
      <c r="B402" s="56">
        <v>0</v>
      </c>
      <c r="C402" s="6">
        <v>0</v>
      </c>
      <c r="D402" s="2" t="s">
        <v>3</v>
      </c>
      <c r="F402" s="2" t="s">
        <v>262</v>
      </c>
    </row>
    <row r="403" spans="1:6">
      <c r="A403" s="6">
        <v>0</v>
      </c>
      <c r="B403" s="56">
        <v>0</v>
      </c>
      <c r="C403" s="6">
        <v>0</v>
      </c>
      <c r="D403" s="2" t="s">
        <v>3</v>
      </c>
      <c r="F403" s="2" t="s">
        <v>263</v>
      </c>
    </row>
    <row r="404" spans="1:6">
      <c r="A404" s="6">
        <v>0</v>
      </c>
      <c r="B404" s="56">
        <v>0</v>
      </c>
      <c r="C404" s="6">
        <v>0</v>
      </c>
      <c r="D404" s="2" t="s">
        <v>3</v>
      </c>
      <c r="F404" s="2" t="s">
        <v>264</v>
      </c>
    </row>
    <row r="405" spans="1:6">
      <c r="A405" s="6">
        <v>0</v>
      </c>
      <c r="B405" s="56">
        <v>0</v>
      </c>
      <c r="C405" s="6">
        <v>0</v>
      </c>
      <c r="D405" s="2" t="s">
        <v>3</v>
      </c>
      <c r="F405" s="2" t="s">
        <v>265</v>
      </c>
    </row>
    <row r="406" spans="1:6">
      <c r="A406" s="6">
        <v>0</v>
      </c>
      <c r="B406" s="56">
        <v>0</v>
      </c>
      <c r="C406" s="6">
        <v>0</v>
      </c>
      <c r="D406" s="2" t="s">
        <v>3</v>
      </c>
      <c r="F406" s="2" t="s">
        <v>266</v>
      </c>
    </row>
    <row r="407" spans="1:6">
      <c r="A407" s="6">
        <v>0</v>
      </c>
      <c r="B407" s="56">
        <v>0</v>
      </c>
      <c r="C407" s="6">
        <v>0</v>
      </c>
      <c r="D407" s="2" t="s">
        <v>3</v>
      </c>
      <c r="F407" s="2" t="s">
        <v>267</v>
      </c>
    </row>
    <row r="408" spans="1:6">
      <c r="A408" s="6">
        <v>0</v>
      </c>
      <c r="B408" s="56">
        <v>0</v>
      </c>
      <c r="C408" s="6">
        <v>0</v>
      </c>
      <c r="D408" s="2" t="s">
        <v>3</v>
      </c>
      <c r="F408" s="2" t="s">
        <v>268</v>
      </c>
    </row>
    <row r="409" spans="1:6">
      <c r="A409" s="2" t="s">
        <v>176</v>
      </c>
      <c r="B409" s="55" t="s">
        <v>3</v>
      </c>
    </row>
    <row r="410" spans="1:6">
      <c r="A410" s="6">
        <f>HEX2DEC(70)</f>
        <v>112</v>
      </c>
      <c r="B410" s="55" t="s">
        <v>3</v>
      </c>
      <c r="F410" t="s">
        <v>269</v>
      </c>
    </row>
    <row r="411" spans="1:6">
      <c r="A411" s="6">
        <f>HEX2DEC(70)</f>
        <v>112</v>
      </c>
      <c r="B411" s="55" t="s">
        <v>3</v>
      </c>
      <c r="F411" t="s">
        <v>270</v>
      </c>
    </row>
    <row r="412" spans="1:6">
      <c r="A412" s="6">
        <f t="shared" ref="A412:A417" si="14">HEX2DEC(70)</f>
        <v>112</v>
      </c>
      <c r="B412" s="55" t="s">
        <v>3</v>
      </c>
      <c r="F412" t="s">
        <v>271</v>
      </c>
    </row>
    <row r="413" spans="1:6">
      <c r="A413" s="6">
        <f t="shared" si="14"/>
        <v>112</v>
      </c>
      <c r="B413" s="55" t="s">
        <v>3</v>
      </c>
      <c r="F413" t="s">
        <v>272</v>
      </c>
    </row>
    <row r="414" spans="1:6">
      <c r="A414" s="6">
        <f t="shared" si="14"/>
        <v>112</v>
      </c>
      <c r="B414" s="55" t="s">
        <v>3</v>
      </c>
      <c r="F414" t="s">
        <v>273</v>
      </c>
    </row>
    <row r="415" spans="1:6">
      <c r="A415" s="6">
        <f t="shared" si="14"/>
        <v>112</v>
      </c>
      <c r="B415" s="55" t="s">
        <v>3</v>
      </c>
      <c r="F415" t="s">
        <v>274</v>
      </c>
    </row>
    <row r="416" spans="1:6">
      <c r="A416" s="6">
        <f t="shared" si="14"/>
        <v>112</v>
      </c>
      <c r="B416" s="55" t="s">
        <v>3</v>
      </c>
      <c r="F416" t="s">
        <v>275</v>
      </c>
    </row>
    <row r="417" spans="1:15">
      <c r="A417" s="6">
        <f t="shared" si="14"/>
        <v>112</v>
      </c>
      <c r="B417" s="55" t="s">
        <v>3</v>
      </c>
      <c r="F417" t="s">
        <v>276</v>
      </c>
    </row>
    <row r="418" spans="1:15">
      <c r="A418" s="10" t="s">
        <v>277</v>
      </c>
      <c r="B418" s="54">
        <f>B316+1</f>
        <v>8</v>
      </c>
      <c r="C418" s="10" t="s">
        <v>278</v>
      </c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</row>
    <row r="419" spans="1:15">
      <c r="A419" s="1" t="s">
        <v>2</v>
      </c>
      <c r="B419" s="55" t="s">
        <v>3</v>
      </c>
      <c r="I419" s="2" t="s">
        <v>231</v>
      </c>
    </row>
    <row r="420" spans="1:15">
      <c r="A420" s="6">
        <v>0</v>
      </c>
      <c r="B420" s="56">
        <v>0</v>
      </c>
      <c r="C420" s="6">
        <v>0</v>
      </c>
      <c r="D420" s="2" t="s">
        <v>3</v>
      </c>
      <c r="F420" s="2" t="s">
        <v>279</v>
      </c>
    </row>
    <row r="421" spans="1:15">
      <c r="A421" s="6">
        <v>0</v>
      </c>
      <c r="B421" s="56">
        <v>0</v>
      </c>
      <c r="C421" s="6">
        <v>0</v>
      </c>
      <c r="D421" s="2" t="s">
        <v>3</v>
      </c>
      <c r="F421" s="2" t="s">
        <v>280</v>
      </c>
    </row>
    <row r="422" spans="1:15">
      <c r="A422" s="6">
        <v>0</v>
      </c>
      <c r="B422" s="56">
        <v>0</v>
      </c>
      <c r="C422" s="6">
        <v>0</v>
      </c>
      <c r="D422" s="2" t="s">
        <v>3</v>
      </c>
      <c r="F422" s="2" t="s">
        <v>281</v>
      </c>
    </row>
    <row r="423" spans="1:15">
      <c r="A423" s="6">
        <v>0</v>
      </c>
      <c r="B423" s="56">
        <v>0</v>
      </c>
      <c r="C423" s="6">
        <v>0</v>
      </c>
      <c r="F423" s="2" t="s">
        <v>282</v>
      </c>
    </row>
    <row r="424" spans="1:15">
      <c r="A424" s="6">
        <v>13</v>
      </c>
      <c r="B424" s="2" t="s">
        <v>3</v>
      </c>
      <c r="F424" s="2" t="s">
        <v>1040</v>
      </c>
    </row>
    <row r="425" spans="1:15">
      <c r="A425" s="6">
        <v>1</v>
      </c>
      <c r="B425" s="2" t="s">
        <v>3</v>
      </c>
      <c r="F425" s="2" t="s">
        <v>1041</v>
      </c>
    </row>
    <row r="426" spans="1:15">
      <c r="A426" s="6">
        <v>7</v>
      </c>
      <c r="B426" s="2" t="s">
        <v>3</v>
      </c>
      <c r="F426" s="2" t="s">
        <v>1042</v>
      </c>
    </row>
    <row r="427" spans="1:15">
      <c r="A427" s="6">
        <v>10</v>
      </c>
      <c r="B427" s="2" t="s">
        <v>3</v>
      </c>
      <c r="F427" s="2" t="s">
        <v>1043</v>
      </c>
    </row>
    <row r="428" spans="1:15">
      <c r="A428" s="2" t="s">
        <v>176</v>
      </c>
      <c r="B428" s="2" t="s">
        <v>3</v>
      </c>
    </row>
    <row r="429" spans="1:15">
      <c r="A429" s="2" t="s">
        <v>1048</v>
      </c>
    </row>
    <row r="430" spans="1:15" ht="16.5">
      <c r="A430" s="51">
        <v>4</v>
      </c>
      <c r="B430" s="66">
        <v>2564</v>
      </c>
      <c r="C430" s="69">
        <v>5124</v>
      </c>
      <c r="D430" s="132">
        <v>3</v>
      </c>
      <c r="E430" s="2" t="s">
        <v>58</v>
      </c>
      <c r="F430" s="2" t="s">
        <v>283</v>
      </c>
      <c r="G430" t="s">
        <v>65</v>
      </c>
    </row>
    <row r="431" spans="1:15" ht="16.5">
      <c r="A431" s="51">
        <v>3</v>
      </c>
      <c r="B431" s="66">
        <v>2563</v>
      </c>
      <c r="C431" s="61">
        <v>5123</v>
      </c>
      <c r="D431" s="132">
        <v>4</v>
      </c>
      <c r="E431" s="2" t="s">
        <v>3</v>
      </c>
      <c r="G431" t="s">
        <v>1050</v>
      </c>
    </row>
    <row r="432" spans="1:15" ht="16.5">
      <c r="A432" s="51">
        <v>9</v>
      </c>
      <c r="B432" s="66">
        <v>2569</v>
      </c>
      <c r="C432" s="61">
        <v>5129</v>
      </c>
      <c r="D432" s="132" t="s">
        <v>1592</v>
      </c>
      <c r="E432" s="2" t="s">
        <v>3</v>
      </c>
      <c r="G432" t="s">
        <v>1037</v>
      </c>
    </row>
    <row r="433" spans="1:7" ht="16.5">
      <c r="A433" s="51">
        <v>5</v>
      </c>
      <c r="B433" s="66">
        <v>2565</v>
      </c>
      <c r="C433" s="61">
        <v>5125</v>
      </c>
      <c r="D433" s="131">
        <v>2</v>
      </c>
      <c r="E433" s="2" t="s">
        <v>3</v>
      </c>
      <c r="G433" t="s">
        <v>284</v>
      </c>
    </row>
    <row r="434" spans="1:7" ht="16.5">
      <c r="A434" s="51">
        <v>17</v>
      </c>
      <c r="B434" s="66">
        <v>2577</v>
      </c>
      <c r="C434" s="61">
        <v>5137</v>
      </c>
      <c r="D434" s="131">
        <v>16</v>
      </c>
      <c r="E434" s="2" t="s">
        <v>3</v>
      </c>
      <c r="G434" t="s">
        <v>285</v>
      </c>
    </row>
    <row r="435" spans="1:7" ht="16.5">
      <c r="A435" s="51">
        <v>36</v>
      </c>
      <c r="B435" s="66">
        <v>2596</v>
      </c>
      <c r="C435" s="61">
        <v>5156</v>
      </c>
      <c r="D435" s="131">
        <v>23</v>
      </c>
      <c r="E435" s="2" t="s">
        <v>3</v>
      </c>
      <c r="G435" t="s">
        <v>286</v>
      </c>
    </row>
    <row r="436" spans="1:7" ht="16.5">
      <c r="A436" s="51">
        <v>51</v>
      </c>
      <c r="B436" s="66">
        <v>2611</v>
      </c>
      <c r="C436" s="61">
        <v>5171</v>
      </c>
      <c r="D436" s="131">
        <v>34</v>
      </c>
      <c r="E436" s="2" t="s">
        <v>252</v>
      </c>
      <c r="G436" t="s">
        <v>287</v>
      </c>
    </row>
    <row r="437" spans="1:7" ht="16.5">
      <c r="A437" s="51">
        <v>23</v>
      </c>
      <c r="B437" s="66">
        <v>2583</v>
      </c>
      <c r="C437" s="61">
        <v>5143</v>
      </c>
      <c r="D437" s="131">
        <v>10</v>
      </c>
      <c r="E437" s="2" t="s">
        <v>3</v>
      </c>
    </row>
    <row r="438" spans="1:7" ht="16.5">
      <c r="A438" s="51">
        <v>22</v>
      </c>
      <c r="B438" s="66">
        <v>2582</v>
      </c>
      <c r="C438" s="61">
        <v>5142</v>
      </c>
      <c r="D438" s="131">
        <v>11</v>
      </c>
      <c r="E438" s="2" t="s">
        <v>3</v>
      </c>
    </row>
    <row r="439" spans="1:7" ht="16.5">
      <c r="A439" s="51">
        <v>11</v>
      </c>
      <c r="B439" s="66">
        <v>2571</v>
      </c>
      <c r="C439" s="61">
        <v>5131</v>
      </c>
      <c r="D439" s="131" t="s">
        <v>1593</v>
      </c>
      <c r="E439" s="2" t="s">
        <v>3</v>
      </c>
    </row>
    <row r="440" spans="1:7" ht="16.5">
      <c r="A440" s="51">
        <v>10</v>
      </c>
      <c r="B440" s="66">
        <v>2570</v>
      </c>
      <c r="C440" s="61">
        <v>5130</v>
      </c>
      <c r="D440" s="131" t="s">
        <v>1594</v>
      </c>
      <c r="E440" s="2" t="s">
        <v>3</v>
      </c>
    </row>
    <row r="441" spans="1:7" ht="16.5">
      <c r="A441" s="51">
        <v>21</v>
      </c>
      <c r="B441" s="66">
        <v>2581</v>
      </c>
      <c r="C441" s="61">
        <v>5141</v>
      </c>
      <c r="D441" s="131">
        <v>12</v>
      </c>
      <c r="E441" s="2" t="s">
        <v>3</v>
      </c>
    </row>
    <row r="442" spans="1:7" ht="16.5">
      <c r="A442" s="51">
        <v>20</v>
      </c>
      <c r="B442" s="66">
        <v>2580</v>
      </c>
      <c r="C442" s="61">
        <v>5140</v>
      </c>
      <c r="D442" s="131">
        <v>13</v>
      </c>
      <c r="E442" s="2" t="s">
        <v>288</v>
      </c>
    </row>
    <row r="443" spans="1:7" ht="16.5">
      <c r="A443" s="51">
        <v>33</v>
      </c>
      <c r="B443" s="66">
        <v>2593</v>
      </c>
      <c r="C443" s="61">
        <v>5153</v>
      </c>
      <c r="D443" s="131">
        <v>26</v>
      </c>
      <c r="E443" s="2" t="s">
        <v>3</v>
      </c>
    </row>
    <row r="444" spans="1:7" ht="16.5">
      <c r="A444" s="51">
        <v>44</v>
      </c>
      <c r="B444" s="66">
        <v>2604</v>
      </c>
      <c r="C444" s="61">
        <v>5164</v>
      </c>
      <c r="D444" s="131" t="s">
        <v>1595</v>
      </c>
      <c r="E444" s="2" t="s">
        <v>3</v>
      </c>
    </row>
    <row r="445" spans="1:7" ht="16.5">
      <c r="A445" s="52">
        <v>43</v>
      </c>
      <c r="B445" s="66">
        <v>2603</v>
      </c>
      <c r="C445" s="61">
        <v>5163</v>
      </c>
      <c r="D445" s="131" t="s">
        <v>1596</v>
      </c>
      <c r="E445" s="2" t="s">
        <v>3</v>
      </c>
    </row>
    <row r="446" spans="1:7" ht="16.5">
      <c r="A446" s="52">
        <v>40</v>
      </c>
      <c r="B446" s="66">
        <v>2600</v>
      </c>
      <c r="C446" s="61">
        <v>5160</v>
      </c>
      <c r="D446" s="131" t="s">
        <v>1597</v>
      </c>
      <c r="E446" s="2" t="s">
        <v>3</v>
      </c>
    </row>
    <row r="447" spans="1:7" ht="16.5">
      <c r="A447" s="52">
        <v>55</v>
      </c>
      <c r="B447" s="66">
        <v>2615</v>
      </c>
      <c r="C447" s="61">
        <v>5175</v>
      </c>
      <c r="D447" s="131">
        <v>30</v>
      </c>
      <c r="E447" s="2" t="s">
        <v>3</v>
      </c>
    </row>
    <row r="448" spans="1:7" ht="16.5">
      <c r="A448" s="52">
        <v>52</v>
      </c>
      <c r="B448" s="66">
        <v>2612</v>
      </c>
      <c r="C448" s="61">
        <v>5172</v>
      </c>
      <c r="D448" s="131">
        <v>33</v>
      </c>
      <c r="E448" s="2" t="s">
        <v>253</v>
      </c>
    </row>
    <row r="449" spans="1:5" ht="16.5">
      <c r="A449" s="52">
        <v>39</v>
      </c>
      <c r="B449" s="66">
        <v>2599</v>
      </c>
      <c r="C449" s="61">
        <v>5159</v>
      </c>
      <c r="D449" s="131">
        <v>20</v>
      </c>
      <c r="E449" s="2" t="s">
        <v>3</v>
      </c>
    </row>
    <row r="450" spans="1:5" ht="16.5">
      <c r="A450" s="52">
        <v>38</v>
      </c>
      <c r="B450" s="66">
        <v>2598</v>
      </c>
      <c r="C450" s="61">
        <v>5158</v>
      </c>
      <c r="D450" s="131">
        <v>21</v>
      </c>
      <c r="E450" s="2" t="s">
        <v>3</v>
      </c>
    </row>
    <row r="451" spans="1:5" ht="16.5">
      <c r="A451" s="52">
        <v>35</v>
      </c>
      <c r="B451" s="66">
        <v>2595</v>
      </c>
      <c r="C451" s="61">
        <v>5155</v>
      </c>
      <c r="D451" s="131">
        <v>24</v>
      </c>
      <c r="E451" s="2" t="s">
        <v>3</v>
      </c>
    </row>
    <row r="452" spans="1:5" ht="16.5">
      <c r="A452" s="52">
        <v>60</v>
      </c>
      <c r="B452" s="66">
        <v>2620</v>
      </c>
      <c r="C452" s="61">
        <v>5180</v>
      </c>
      <c r="D452" s="131" t="s">
        <v>1598</v>
      </c>
      <c r="E452" s="2" t="s">
        <v>3</v>
      </c>
    </row>
    <row r="453" spans="1:5" ht="16.5">
      <c r="A453" s="52">
        <v>59</v>
      </c>
      <c r="B453" s="66">
        <v>2619</v>
      </c>
      <c r="C453" s="61">
        <v>5179</v>
      </c>
      <c r="D453" s="131" t="s">
        <v>1599</v>
      </c>
      <c r="E453" s="2" t="s">
        <v>3</v>
      </c>
    </row>
    <row r="454" spans="1:5" ht="16.5">
      <c r="A454" s="52">
        <v>58</v>
      </c>
      <c r="B454" s="66">
        <v>2618</v>
      </c>
      <c r="C454" s="61">
        <v>5178</v>
      </c>
      <c r="D454" s="131" t="s">
        <v>1600</v>
      </c>
      <c r="E454" s="2" t="s">
        <v>254</v>
      </c>
    </row>
    <row r="455" spans="1:5" ht="16.5">
      <c r="A455" s="52">
        <v>109</v>
      </c>
      <c r="B455" s="66">
        <v>2669</v>
      </c>
      <c r="C455" s="61">
        <v>5229</v>
      </c>
      <c r="D455" s="131" t="s">
        <v>1601</v>
      </c>
      <c r="E455" s="2" t="s">
        <v>3</v>
      </c>
    </row>
    <row r="456" spans="1:5" ht="16.5">
      <c r="A456" s="52">
        <v>108</v>
      </c>
      <c r="B456" s="66">
        <v>2668</v>
      </c>
      <c r="C456" s="61">
        <v>5228</v>
      </c>
      <c r="D456" s="131" t="s">
        <v>1602</v>
      </c>
      <c r="E456" s="2" t="s">
        <v>3</v>
      </c>
    </row>
    <row r="457" spans="1:5" ht="16.5">
      <c r="A457" s="52">
        <v>107</v>
      </c>
      <c r="B457" s="66">
        <v>2667</v>
      </c>
      <c r="C457" s="61">
        <v>5227</v>
      </c>
      <c r="D457" s="131" t="s">
        <v>1603</v>
      </c>
      <c r="E457" s="2" t="s">
        <v>3</v>
      </c>
    </row>
    <row r="458" spans="1:5" ht="16.5">
      <c r="A458" s="52">
        <v>106</v>
      </c>
      <c r="B458" s="66">
        <v>2666</v>
      </c>
      <c r="C458" s="61">
        <v>5226</v>
      </c>
      <c r="D458" s="131" t="s">
        <v>1604</v>
      </c>
      <c r="E458" s="2" t="s">
        <v>3</v>
      </c>
    </row>
    <row r="459" spans="1:5" ht="16.5">
      <c r="A459" s="52">
        <v>105</v>
      </c>
      <c r="B459" s="66">
        <v>2665</v>
      </c>
      <c r="C459" s="61">
        <v>5225</v>
      </c>
      <c r="D459" s="131" t="s">
        <v>1605</v>
      </c>
      <c r="E459" s="2" t="s">
        <v>3</v>
      </c>
    </row>
    <row r="460" spans="1:5" ht="16.5">
      <c r="A460" s="52" t="s">
        <v>1622</v>
      </c>
      <c r="B460" s="66">
        <v>2664</v>
      </c>
      <c r="C460" s="61">
        <v>5224</v>
      </c>
      <c r="D460" s="131" t="s">
        <v>1606</v>
      </c>
      <c r="E460" s="2" t="s">
        <v>236</v>
      </c>
    </row>
    <row r="461" spans="1:5">
      <c r="A461" s="66"/>
      <c r="B461" s="66"/>
      <c r="C461" s="61" t="s">
        <v>1607</v>
      </c>
      <c r="D461" s="131" t="s">
        <v>1607</v>
      </c>
      <c r="E461" s="2" t="s">
        <v>3</v>
      </c>
    </row>
    <row r="462" spans="1:5" ht="16.5">
      <c r="A462" s="52"/>
      <c r="B462" s="66"/>
      <c r="C462" s="61" t="s">
        <v>1607</v>
      </c>
      <c r="D462" s="131" t="s">
        <v>1607</v>
      </c>
      <c r="E462" s="2" t="s">
        <v>3</v>
      </c>
    </row>
    <row r="463" spans="1:5" ht="16.5">
      <c r="A463" s="52"/>
      <c r="B463" s="66"/>
      <c r="C463" s="61" t="s">
        <v>1607</v>
      </c>
      <c r="D463" s="131" t="s">
        <v>1607</v>
      </c>
      <c r="E463" s="2" t="s">
        <v>3</v>
      </c>
    </row>
    <row r="464" spans="1:5" ht="16.5">
      <c r="A464" s="52"/>
      <c r="B464" s="66"/>
      <c r="C464" s="61" t="s">
        <v>1607</v>
      </c>
      <c r="D464" s="131" t="s">
        <v>1607</v>
      </c>
      <c r="E464" s="2" t="s">
        <v>3</v>
      </c>
    </row>
    <row r="465" spans="1:6" ht="16.5">
      <c r="A465" s="52"/>
      <c r="B465" s="66"/>
      <c r="C465" s="61" t="s">
        <v>1607</v>
      </c>
      <c r="D465" s="131" t="s">
        <v>1607</v>
      </c>
      <c r="E465" s="2" t="s">
        <v>3</v>
      </c>
    </row>
    <row r="466" spans="1:6" ht="16.5">
      <c r="A466" s="52">
        <v>32</v>
      </c>
      <c r="B466" s="66">
        <v>2592</v>
      </c>
      <c r="C466" s="61">
        <v>5152</v>
      </c>
      <c r="D466" s="131">
        <v>27</v>
      </c>
      <c r="E466" s="2" t="s">
        <v>237</v>
      </c>
      <c r="F466" s="53" t="s">
        <v>1620</v>
      </c>
    </row>
    <row r="467" spans="1:6" ht="16.5">
      <c r="A467" s="52">
        <v>42</v>
      </c>
      <c r="B467" s="66">
        <v>2602</v>
      </c>
      <c r="C467" s="61">
        <v>5162</v>
      </c>
      <c r="D467" s="131" t="s">
        <v>1608</v>
      </c>
      <c r="E467" s="2" t="s">
        <v>3</v>
      </c>
    </row>
    <row r="468" spans="1:6" ht="16.5">
      <c r="A468" s="52">
        <v>46</v>
      </c>
      <c r="B468" s="66">
        <v>2606</v>
      </c>
      <c r="C468" s="61">
        <v>5166</v>
      </c>
      <c r="D468" s="131">
        <v>29</v>
      </c>
      <c r="E468" s="2" t="s">
        <v>3</v>
      </c>
    </row>
    <row r="469" spans="1:6" ht="16.5">
      <c r="A469" s="52">
        <v>34</v>
      </c>
      <c r="B469" s="66">
        <v>2594</v>
      </c>
      <c r="C469" s="61">
        <v>5154</v>
      </c>
      <c r="D469" s="131">
        <v>25</v>
      </c>
      <c r="E469" s="2" t="s">
        <v>3</v>
      </c>
    </row>
    <row r="470" spans="1:6" ht="16.5">
      <c r="A470" s="52">
        <v>45</v>
      </c>
      <c r="B470" s="66">
        <v>2605</v>
      </c>
      <c r="C470" s="61">
        <v>5165</v>
      </c>
      <c r="D470" s="131" t="s">
        <v>1609</v>
      </c>
      <c r="E470" s="2" t="s">
        <v>3</v>
      </c>
    </row>
    <row r="471" spans="1:6" ht="16.5">
      <c r="A471" s="52">
        <v>15</v>
      </c>
      <c r="B471" s="66">
        <v>2575</v>
      </c>
      <c r="C471" s="61">
        <v>5135</v>
      </c>
      <c r="D471" s="131">
        <v>8</v>
      </c>
      <c r="E471" s="2" t="s">
        <v>3</v>
      </c>
    </row>
    <row r="472" spans="1:6" ht="16.5">
      <c r="A472" s="52">
        <v>1</v>
      </c>
      <c r="B472" s="66">
        <v>2561</v>
      </c>
      <c r="C472" s="61">
        <v>5121</v>
      </c>
      <c r="D472" s="131">
        <v>6</v>
      </c>
      <c r="E472" s="2" t="s">
        <v>238</v>
      </c>
    </row>
    <row r="473" spans="1:6" ht="16.5">
      <c r="A473" s="52">
        <v>19</v>
      </c>
      <c r="B473" s="66">
        <v>2579</v>
      </c>
      <c r="C473" s="61">
        <v>5139</v>
      </c>
      <c r="D473" s="131">
        <v>14</v>
      </c>
      <c r="E473" s="2" t="s">
        <v>3</v>
      </c>
    </row>
    <row r="474" spans="1:6" ht="16.5">
      <c r="A474" s="52">
        <v>8</v>
      </c>
      <c r="B474" s="66">
        <v>2568</v>
      </c>
      <c r="C474" s="61">
        <v>5128</v>
      </c>
      <c r="D474" s="131" t="s">
        <v>1610</v>
      </c>
      <c r="E474" s="2" t="s">
        <v>3</v>
      </c>
    </row>
    <row r="475" spans="1:6" ht="16.5">
      <c r="A475" s="52">
        <v>18</v>
      </c>
      <c r="B475" s="66">
        <v>2578</v>
      </c>
      <c r="C475" s="61">
        <v>5138</v>
      </c>
      <c r="D475" s="131">
        <v>15</v>
      </c>
      <c r="E475" s="2" t="s">
        <v>3</v>
      </c>
    </row>
    <row r="476" spans="1:6" ht="16.5">
      <c r="A476" s="52">
        <v>0</v>
      </c>
      <c r="B476" s="66">
        <v>2560</v>
      </c>
      <c r="C476" s="61">
        <v>5120</v>
      </c>
      <c r="D476" s="131">
        <v>7</v>
      </c>
      <c r="E476" s="2" t="s">
        <v>3</v>
      </c>
    </row>
    <row r="477" spans="1:6" ht="16.5">
      <c r="A477" s="51">
        <v>14</v>
      </c>
      <c r="B477" s="66">
        <v>2574</v>
      </c>
      <c r="C477" s="61">
        <v>5134</v>
      </c>
      <c r="D477" s="131">
        <v>9</v>
      </c>
      <c r="E477" s="2" t="s">
        <v>3</v>
      </c>
    </row>
    <row r="478" spans="1:6" ht="16.5">
      <c r="A478" s="52">
        <v>13</v>
      </c>
      <c r="B478" s="66">
        <v>2573</v>
      </c>
      <c r="C478" s="61">
        <v>5133</v>
      </c>
      <c r="D478" s="131" t="s">
        <v>1611</v>
      </c>
      <c r="E478" s="2" t="s">
        <v>239</v>
      </c>
    </row>
    <row r="479" spans="1:6" ht="16.5">
      <c r="A479" s="52">
        <v>12</v>
      </c>
      <c r="B479" s="66">
        <v>2572</v>
      </c>
      <c r="C479" s="61">
        <v>5132</v>
      </c>
      <c r="D479" s="131" t="s">
        <v>1612</v>
      </c>
      <c r="E479" s="2" t="s">
        <v>3</v>
      </c>
    </row>
    <row r="480" spans="1:6" ht="16.5">
      <c r="A480" s="52">
        <v>47</v>
      </c>
      <c r="B480" s="66">
        <v>2607</v>
      </c>
      <c r="C480" s="61">
        <v>5167</v>
      </c>
      <c r="D480" s="131">
        <v>28</v>
      </c>
      <c r="E480" s="2" t="s">
        <v>3</v>
      </c>
    </row>
    <row r="481" spans="1:6" ht="16.5">
      <c r="A481" s="52">
        <v>50</v>
      </c>
      <c r="B481" s="66">
        <v>2610</v>
      </c>
      <c r="C481" s="61">
        <v>5170</v>
      </c>
      <c r="D481" s="131">
        <v>35</v>
      </c>
      <c r="E481" s="2" t="s">
        <v>3</v>
      </c>
    </row>
    <row r="482" spans="1:6" ht="16.5">
      <c r="A482" s="52">
        <v>49</v>
      </c>
      <c r="B482" s="66">
        <v>2609</v>
      </c>
      <c r="C482" s="61">
        <v>5169</v>
      </c>
      <c r="D482" s="131">
        <v>36</v>
      </c>
      <c r="E482" s="2" t="s">
        <v>3</v>
      </c>
    </row>
    <row r="483" spans="1:6" ht="16.5">
      <c r="A483" s="51">
        <v>48</v>
      </c>
      <c r="B483" s="66">
        <v>2608</v>
      </c>
      <c r="C483" s="61">
        <v>5168</v>
      </c>
      <c r="D483" s="131">
        <v>37</v>
      </c>
      <c r="E483" s="2" t="s">
        <v>3</v>
      </c>
    </row>
    <row r="484" spans="1:6" ht="16.5">
      <c r="A484" s="52">
        <v>71</v>
      </c>
      <c r="B484" s="66">
        <v>2631</v>
      </c>
      <c r="C484" s="61">
        <v>5191</v>
      </c>
      <c r="D484" s="131">
        <v>40</v>
      </c>
      <c r="E484" s="2" t="s">
        <v>240</v>
      </c>
      <c r="F484" s="53" t="s">
        <v>289</v>
      </c>
    </row>
    <row r="485" spans="1:6" ht="16.5">
      <c r="A485" s="52">
        <v>69</v>
      </c>
      <c r="B485" s="66">
        <v>2629</v>
      </c>
      <c r="C485" s="61">
        <v>5189</v>
      </c>
      <c r="D485" s="131">
        <v>42</v>
      </c>
      <c r="E485" s="2" t="s">
        <v>3</v>
      </c>
    </row>
    <row r="486" spans="1:6" ht="16.5">
      <c r="A486" s="52">
        <v>70</v>
      </c>
      <c r="B486" s="66">
        <v>2630</v>
      </c>
      <c r="C486" s="61">
        <v>5190</v>
      </c>
      <c r="D486" s="131">
        <v>41</v>
      </c>
      <c r="E486" s="2" t="s">
        <v>3</v>
      </c>
    </row>
    <row r="487" spans="1:6" ht="16.5">
      <c r="A487" s="52">
        <v>79</v>
      </c>
      <c r="B487" s="66">
        <v>2639</v>
      </c>
      <c r="C487" s="61">
        <v>5199</v>
      </c>
      <c r="D487" s="131">
        <v>48</v>
      </c>
      <c r="E487" s="2" t="s">
        <v>3</v>
      </c>
    </row>
    <row r="488" spans="1:6" ht="16.5">
      <c r="A488" s="52">
        <v>67</v>
      </c>
      <c r="B488" s="66">
        <v>2627</v>
      </c>
      <c r="C488" s="61">
        <v>5187</v>
      </c>
      <c r="D488" s="131">
        <v>44</v>
      </c>
      <c r="E488" s="2" t="s">
        <v>3</v>
      </c>
    </row>
    <row r="489" spans="1:6" ht="16.5">
      <c r="A489" s="51">
        <v>68</v>
      </c>
      <c r="B489" s="66">
        <v>2628</v>
      </c>
      <c r="C489" s="61">
        <v>5188</v>
      </c>
      <c r="D489" s="131">
        <v>43</v>
      </c>
      <c r="E489" s="2" t="s">
        <v>3</v>
      </c>
    </row>
    <row r="490" spans="1:6" ht="16.5">
      <c r="A490" s="52">
        <v>64</v>
      </c>
      <c r="B490" s="66">
        <v>2624</v>
      </c>
      <c r="C490" s="61">
        <v>5184</v>
      </c>
      <c r="D490" s="131">
        <v>47</v>
      </c>
      <c r="E490" s="2" t="s">
        <v>241</v>
      </c>
    </row>
    <row r="491" spans="1:6" ht="16.5">
      <c r="A491" s="52">
        <v>77</v>
      </c>
      <c r="B491" s="66">
        <v>2637</v>
      </c>
      <c r="C491" s="61">
        <v>5197</v>
      </c>
      <c r="D491" s="131" t="s">
        <v>1613</v>
      </c>
      <c r="E491" s="2" t="s">
        <v>3</v>
      </c>
    </row>
    <row r="492" spans="1:6" ht="16.5">
      <c r="A492" s="52">
        <v>75</v>
      </c>
      <c r="B492" s="66">
        <v>2635</v>
      </c>
      <c r="C492" s="61">
        <v>5195</v>
      </c>
      <c r="D492" s="131" t="s">
        <v>1614</v>
      </c>
      <c r="E492" s="2" t="s">
        <v>3</v>
      </c>
    </row>
    <row r="493" spans="1:6" ht="16.5">
      <c r="A493" s="52">
        <v>74</v>
      </c>
      <c r="B493" s="66">
        <v>2634</v>
      </c>
      <c r="C493" s="61">
        <v>5194</v>
      </c>
      <c r="D493" s="131" t="s">
        <v>1615</v>
      </c>
      <c r="E493" s="2" t="s">
        <v>3</v>
      </c>
    </row>
    <row r="494" spans="1:6" ht="16.5">
      <c r="A494" s="52">
        <v>73</v>
      </c>
      <c r="B494" s="66">
        <v>2633</v>
      </c>
      <c r="C494" s="61">
        <v>5193</v>
      </c>
      <c r="D494" s="131" t="s">
        <v>1616</v>
      </c>
      <c r="E494" s="2" t="s">
        <v>3</v>
      </c>
    </row>
    <row r="495" spans="1:6" ht="16.5">
      <c r="A495" s="52">
        <v>72</v>
      </c>
      <c r="B495" s="66">
        <v>2632</v>
      </c>
      <c r="C495" s="61">
        <v>5192</v>
      </c>
      <c r="D495" s="131" t="s">
        <v>1617</v>
      </c>
      <c r="E495" s="2" t="s">
        <v>3</v>
      </c>
    </row>
    <row r="496" spans="1:6" ht="16.5">
      <c r="A496" s="52">
        <v>103</v>
      </c>
      <c r="B496" s="66">
        <v>2663</v>
      </c>
      <c r="C496" s="61">
        <v>5223</v>
      </c>
      <c r="D496" s="131">
        <v>60</v>
      </c>
      <c r="E496" s="2" t="s">
        <v>242</v>
      </c>
    </row>
    <row r="497" spans="1:5" ht="16.5">
      <c r="A497" s="52">
        <v>102</v>
      </c>
      <c r="B497" s="66">
        <v>2662</v>
      </c>
      <c r="C497" s="61">
        <v>5222</v>
      </c>
      <c r="D497" s="131">
        <v>61</v>
      </c>
      <c r="E497" s="2" t="s">
        <v>3</v>
      </c>
    </row>
    <row r="498" spans="1:5" ht="16.5">
      <c r="A498" s="52">
        <v>101</v>
      </c>
      <c r="B498" s="66">
        <v>2661</v>
      </c>
      <c r="C498" s="61">
        <v>5221</v>
      </c>
      <c r="D498" s="131">
        <v>62</v>
      </c>
      <c r="E498" s="2" t="s">
        <v>3</v>
      </c>
    </row>
    <row r="499" spans="1:5" ht="16.5">
      <c r="A499" s="52">
        <v>100</v>
      </c>
      <c r="B499" s="66">
        <v>2660</v>
      </c>
      <c r="C499" s="61">
        <v>5220</v>
      </c>
      <c r="D499" s="131">
        <v>63</v>
      </c>
      <c r="E499" s="2" t="s">
        <v>3</v>
      </c>
    </row>
    <row r="500" spans="1:5" ht="16.5">
      <c r="A500" s="52">
        <v>99</v>
      </c>
      <c r="B500" s="66">
        <v>2659</v>
      </c>
      <c r="C500" s="61">
        <v>5219</v>
      </c>
      <c r="D500" s="131">
        <v>64</v>
      </c>
      <c r="E500" s="2" t="s">
        <v>3</v>
      </c>
    </row>
    <row r="501" spans="1:5" ht="16.5">
      <c r="A501" s="52">
        <v>97</v>
      </c>
      <c r="B501" s="66">
        <v>2657</v>
      </c>
      <c r="C501" s="61">
        <v>5217</v>
      </c>
      <c r="D501" s="131">
        <v>66</v>
      </c>
      <c r="E501" s="2" t="s">
        <v>3</v>
      </c>
    </row>
    <row r="502" spans="1:5" ht="16.5">
      <c r="A502" s="52">
        <v>96</v>
      </c>
      <c r="B502" s="66">
        <v>2656</v>
      </c>
      <c r="C502" s="61">
        <v>5216</v>
      </c>
      <c r="D502" s="131">
        <v>67</v>
      </c>
      <c r="E502" s="2" t="s">
        <v>243</v>
      </c>
    </row>
    <row r="503" spans="1:5" ht="16.5">
      <c r="A503" s="52">
        <v>111</v>
      </c>
      <c r="B503" s="66">
        <v>2671</v>
      </c>
      <c r="C503" s="61">
        <v>5231</v>
      </c>
      <c r="D503" s="131">
        <v>68</v>
      </c>
      <c r="E503" s="2" t="s">
        <v>3</v>
      </c>
    </row>
    <row r="504" spans="1:5" ht="16.5">
      <c r="A504" s="52">
        <v>110</v>
      </c>
      <c r="B504" s="66">
        <v>2670</v>
      </c>
      <c r="C504" s="61">
        <v>5230</v>
      </c>
      <c r="D504" s="131">
        <v>69</v>
      </c>
      <c r="E504" s="2" t="s">
        <v>3</v>
      </c>
    </row>
    <row r="505" spans="1:5" ht="16.5">
      <c r="A505" s="52">
        <v>98</v>
      </c>
      <c r="B505" s="66">
        <v>2658</v>
      </c>
      <c r="C505" s="61">
        <v>5218</v>
      </c>
      <c r="D505" s="131">
        <v>65</v>
      </c>
      <c r="E505" s="2" t="s">
        <v>3</v>
      </c>
    </row>
    <row r="506" spans="1:5" ht="16.5">
      <c r="A506" s="52">
        <v>66</v>
      </c>
      <c r="B506" s="66">
        <v>2626</v>
      </c>
      <c r="C506" s="61">
        <v>5186</v>
      </c>
      <c r="D506" s="131">
        <v>45</v>
      </c>
      <c r="E506" s="2" t="s">
        <v>3</v>
      </c>
    </row>
    <row r="507" spans="1:5" ht="16.5">
      <c r="A507" s="52">
        <v>65</v>
      </c>
      <c r="B507" s="66">
        <v>2625</v>
      </c>
      <c r="C507" s="61">
        <v>5185</v>
      </c>
      <c r="D507" s="131">
        <v>46</v>
      </c>
      <c r="E507" s="2" t="s">
        <v>3</v>
      </c>
    </row>
    <row r="508" spans="1:5">
      <c r="A508" s="131">
        <v>78</v>
      </c>
      <c r="B508" s="131">
        <v>2638</v>
      </c>
      <c r="C508" s="131">
        <v>5198</v>
      </c>
      <c r="D508" s="131">
        <v>49</v>
      </c>
      <c r="E508" s="2" t="s">
        <v>244</v>
      </c>
    </row>
    <row r="509" spans="1:5">
      <c r="A509" s="131">
        <v>76</v>
      </c>
      <c r="B509" s="131">
        <v>2636</v>
      </c>
      <c r="C509" s="131">
        <v>5196</v>
      </c>
      <c r="D509" s="131" t="s">
        <v>1618</v>
      </c>
      <c r="E509" s="2" t="s">
        <v>3</v>
      </c>
    </row>
    <row r="510" spans="1:5">
      <c r="A510" s="131">
        <v>16</v>
      </c>
      <c r="B510" s="131">
        <v>2576</v>
      </c>
      <c r="C510" s="131">
        <v>5136</v>
      </c>
      <c r="D510" s="131">
        <v>17</v>
      </c>
      <c r="E510" s="2" t="s">
        <v>3</v>
      </c>
    </row>
    <row r="511" spans="1:5">
      <c r="A511" s="131">
        <v>2</v>
      </c>
      <c r="B511" s="131">
        <v>2562</v>
      </c>
      <c r="C511" s="131">
        <v>5122</v>
      </c>
      <c r="D511" s="131">
        <v>5</v>
      </c>
      <c r="E511" s="2" t="s">
        <v>3</v>
      </c>
    </row>
    <row r="512" spans="1:5">
      <c r="A512" s="131">
        <v>41</v>
      </c>
      <c r="B512" s="131">
        <v>2601</v>
      </c>
      <c r="C512" s="131">
        <v>5161</v>
      </c>
      <c r="D512" s="131" t="s">
        <v>1619</v>
      </c>
      <c r="E512" s="2" t="s">
        <v>3</v>
      </c>
    </row>
    <row r="513" spans="1:5">
      <c r="A513" s="131" t="s">
        <v>1036</v>
      </c>
      <c r="B513" s="131" t="s">
        <v>1036</v>
      </c>
      <c r="C513" s="131" t="s">
        <v>1036</v>
      </c>
      <c r="D513" s="131" t="s">
        <v>1036</v>
      </c>
      <c r="E513" s="2" t="s">
        <v>3</v>
      </c>
    </row>
    <row r="514" spans="1:5">
      <c r="A514" s="131" t="s">
        <v>1036</v>
      </c>
      <c r="B514" s="131" t="s">
        <v>1036</v>
      </c>
      <c r="C514" s="131" t="s">
        <v>1036</v>
      </c>
      <c r="D514" s="131" t="s">
        <v>1036</v>
      </c>
      <c r="E514" s="2" t="s">
        <v>245</v>
      </c>
    </row>
    <row r="515" spans="1:5">
      <c r="A515" s="131" t="s">
        <v>1036</v>
      </c>
      <c r="B515" s="131" t="s">
        <v>1036</v>
      </c>
      <c r="C515" s="131" t="s">
        <v>1036</v>
      </c>
      <c r="D515" s="131" t="s">
        <v>1036</v>
      </c>
      <c r="E515" s="2" t="s">
        <v>3</v>
      </c>
    </row>
    <row r="516" spans="1:5">
      <c r="A516" s="131" t="s">
        <v>1036</v>
      </c>
      <c r="B516" s="131" t="s">
        <v>1036</v>
      </c>
      <c r="C516" s="131" t="s">
        <v>1036</v>
      </c>
      <c r="D516" s="131" t="s">
        <v>1036</v>
      </c>
      <c r="E516" s="2" t="s">
        <v>3</v>
      </c>
    </row>
    <row r="517" spans="1:5">
      <c r="A517" s="131" t="s">
        <v>1036</v>
      </c>
      <c r="B517" s="131" t="s">
        <v>1036</v>
      </c>
      <c r="C517" s="131" t="s">
        <v>1036</v>
      </c>
      <c r="D517" s="131" t="s">
        <v>1036</v>
      </c>
      <c r="E517" s="2" t="s">
        <v>3</v>
      </c>
    </row>
    <row r="518" spans="1:5">
      <c r="A518" s="131" t="s">
        <v>1036</v>
      </c>
      <c r="B518" s="131" t="s">
        <v>1036</v>
      </c>
      <c r="C518" s="131" t="s">
        <v>1036</v>
      </c>
      <c r="D518" s="131" t="s">
        <v>1036</v>
      </c>
      <c r="E518" s="2" t="s">
        <v>3</v>
      </c>
    </row>
    <row r="519" spans="1:5">
      <c r="A519" s="131" t="s">
        <v>1036</v>
      </c>
      <c r="B519" s="131" t="s">
        <v>1036</v>
      </c>
      <c r="C519" s="131" t="s">
        <v>1036</v>
      </c>
      <c r="D519" s="131" t="s">
        <v>1036</v>
      </c>
      <c r="E519" s="2" t="s">
        <v>3</v>
      </c>
    </row>
    <row r="520" spans="1:5">
      <c r="A520" s="131" t="s">
        <v>1036</v>
      </c>
      <c r="B520" s="131" t="s">
        <v>1036</v>
      </c>
      <c r="C520" s="131" t="s">
        <v>1036</v>
      </c>
      <c r="D520" s="131" t="s">
        <v>1036</v>
      </c>
      <c r="E520" s="2" t="s">
        <v>246</v>
      </c>
    </row>
    <row r="521" spans="1:5">
      <c r="A521" s="131" t="s">
        <v>1036</v>
      </c>
      <c r="B521" s="131" t="s">
        <v>1036</v>
      </c>
      <c r="C521" s="131" t="s">
        <v>1036</v>
      </c>
      <c r="D521" s="131" t="s">
        <v>1036</v>
      </c>
      <c r="E521" s="2" t="s">
        <v>3</v>
      </c>
    </row>
    <row r="522" spans="1:5">
      <c r="A522" s="131" t="s">
        <v>1036</v>
      </c>
      <c r="B522" s="131" t="s">
        <v>1036</v>
      </c>
      <c r="C522" s="131" t="s">
        <v>1036</v>
      </c>
      <c r="D522" s="131" t="s">
        <v>1036</v>
      </c>
      <c r="E522" s="2" t="s">
        <v>3</v>
      </c>
    </row>
    <row r="523" spans="1:5">
      <c r="A523" s="131" t="s">
        <v>1036</v>
      </c>
      <c r="B523" s="131" t="s">
        <v>1036</v>
      </c>
      <c r="C523" s="131" t="s">
        <v>1036</v>
      </c>
      <c r="D523" s="131" t="s">
        <v>1036</v>
      </c>
      <c r="E523" s="2" t="s">
        <v>3</v>
      </c>
    </row>
    <row r="524" spans="1:5">
      <c r="A524" s="131" t="s">
        <v>1036</v>
      </c>
      <c r="B524" s="131" t="s">
        <v>1036</v>
      </c>
      <c r="C524" s="131" t="s">
        <v>1036</v>
      </c>
      <c r="D524" s="131" t="s">
        <v>1036</v>
      </c>
      <c r="E524" s="2" t="s">
        <v>3</v>
      </c>
    </row>
    <row r="525" spans="1:5">
      <c r="A525" s="131" t="s">
        <v>1036</v>
      </c>
      <c r="B525" s="131" t="s">
        <v>1036</v>
      </c>
      <c r="C525" s="131" t="s">
        <v>1036</v>
      </c>
      <c r="D525" s="131" t="s">
        <v>1036</v>
      </c>
      <c r="E525" s="2" t="s">
        <v>3</v>
      </c>
    </row>
    <row r="526" spans="1:5">
      <c r="A526" s="131" t="s">
        <v>1036</v>
      </c>
      <c r="B526" s="131" t="s">
        <v>1036</v>
      </c>
      <c r="C526" s="131" t="s">
        <v>1036</v>
      </c>
      <c r="D526" s="131" t="s">
        <v>1036</v>
      </c>
      <c r="E526" s="2" t="s">
        <v>247</v>
      </c>
    </row>
    <row r="527" spans="1:5">
      <c r="A527" s="131" t="s">
        <v>1036</v>
      </c>
      <c r="B527" s="131" t="s">
        <v>1036</v>
      </c>
      <c r="C527" s="131" t="s">
        <v>1036</v>
      </c>
      <c r="D527" s="131" t="s">
        <v>1036</v>
      </c>
      <c r="E527" s="2" t="s">
        <v>3</v>
      </c>
    </row>
    <row r="528" spans="1:5">
      <c r="A528" s="131" t="s">
        <v>1036</v>
      </c>
      <c r="B528" s="131" t="s">
        <v>1036</v>
      </c>
      <c r="C528" s="131" t="s">
        <v>1036</v>
      </c>
      <c r="D528" s="131" t="s">
        <v>1036</v>
      </c>
      <c r="E528" s="2" t="s">
        <v>3</v>
      </c>
    </row>
    <row r="529" spans="1:5">
      <c r="A529" s="131" t="s">
        <v>1036</v>
      </c>
      <c r="B529" s="131" t="s">
        <v>1036</v>
      </c>
      <c r="C529" s="131" t="s">
        <v>1036</v>
      </c>
      <c r="D529" s="131" t="s">
        <v>1036</v>
      </c>
      <c r="E529" s="2" t="s">
        <v>3</v>
      </c>
    </row>
    <row r="530" spans="1:5">
      <c r="A530" s="131" t="s">
        <v>1036</v>
      </c>
      <c r="B530" s="131" t="s">
        <v>1036</v>
      </c>
      <c r="C530" s="131" t="s">
        <v>1036</v>
      </c>
      <c r="D530" s="131" t="s">
        <v>1036</v>
      </c>
      <c r="E530" s="2" t="s">
        <v>3</v>
      </c>
    </row>
    <row r="531" spans="1:5">
      <c r="A531" s="131" t="s">
        <v>1036</v>
      </c>
      <c r="B531" s="131" t="s">
        <v>1036</v>
      </c>
      <c r="C531" s="131" t="s">
        <v>1036</v>
      </c>
      <c r="D531" s="131" t="s">
        <v>1036</v>
      </c>
      <c r="E531" s="2" t="s">
        <v>3</v>
      </c>
    </row>
    <row r="532" spans="1:5">
      <c r="A532" s="131" t="s">
        <v>1036</v>
      </c>
      <c r="B532" s="131" t="s">
        <v>1036</v>
      </c>
      <c r="C532" s="131" t="s">
        <v>1036</v>
      </c>
      <c r="D532" s="131" t="s">
        <v>1036</v>
      </c>
      <c r="E532" s="2" t="s">
        <v>255</v>
      </c>
    </row>
    <row r="533" spans="1:5">
      <c r="A533" s="131" t="s">
        <v>1036</v>
      </c>
      <c r="B533" s="131" t="s">
        <v>1036</v>
      </c>
      <c r="C533" s="131" t="s">
        <v>1036</v>
      </c>
      <c r="D533" s="131" t="s">
        <v>1036</v>
      </c>
      <c r="E533" s="2" t="s">
        <v>3</v>
      </c>
    </row>
    <row r="534" spans="1:5">
      <c r="A534" s="131" t="s">
        <v>1036</v>
      </c>
      <c r="B534" s="131" t="s">
        <v>1036</v>
      </c>
      <c r="C534" s="131" t="s">
        <v>1036</v>
      </c>
      <c r="D534" s="131" t="s">
        <v>1036</v>
      </c>
      <c r="E534" s="2" t="s">
        <v>3</v>
      </c>
    </row>
    <row r="535" spans="1:5">
      <c r="A535" s="131" t="s">
        <v>1036</v>
      </c>
      <c r="B535" s="131" t="s">
        <v>1036</v>
      </c>
      <c r="C535" s="131" t="s">
        <v>1036</v>
      </c>
      <c r="D535" s="131" t="s">
        <v>1036</v>
      </c>
      <c r="E535" s="2" t="s">
        <v>3</v>
      </c>
    </row>
    <row r="536" spans="1:5">
      <c r="A536" s="131" t="s">
        <v>1036</v>
      </c>
      <c r="B536" s="131" t="s">
        <v>1036</v>
      </c>
      <c r="C536" s="131" t="s">
        <v>1036</v>
      </c>
      <c r="D536" s="131" t="s">
        <v>1036</v>
      </c>
      <c r="E536" s="2" t="s">
        <v>3</v>
      </c>
    </row>
    <row r="537" spans="1:5">
      <c r="A537" s="131" t="s">
        <v>1036</v>
      </c>
      <c r="B537" s="131" t="s">
        <v>1036</v>
      </c>
      <c r="C537" s="131" t="s">
        <v>1036</v>
      </c>
      <c r="D537" s="131" t="s">
        <v>1036</v>
      </c>
      <c r="E537" s="2" t="s">
        <v>3</v>
      </c>
    </row>
    <row r="538" spans="1:5">
      <c r="A538" s="131" t="s">
        <v>1036</v>
      </c>
      <c r="B538" s="131" t="s">
        <v>1036</v>
      </c>
      <c r="C538" s="131" t="s">
        <v>1036</v>
      </c>
      <c r="D538" s="131" t="s">
        <v>1036</v>
      </c>
      <c r="E538" s="2" t="s">
        <v>256</v>
      </c>
    </row>
    <row r="539" spans="1:5">
      <c r="A539" s="131" t="s">
        <v>1036</v>
      </c>
      <c r="B539" s="131" t="s">
        <v>1036</v>
      </c>
      <c r="C539" s="131" t="s">
        <v>1036</v>
      </c>
      <c r="D539" s="131" t="s">
        <v>1036</v>
      </c>
      <c r="E539" s="2" t="s">
        <v>3</v>
      </c>
    </row>
    <row r="540" spans="1:5">
      <c r="A540" s="131" t="s">
        <v>1036</v>
      </c>
      <c r="B540" s="131" t="s">
        <v>1036</v>
      </c>
      <c r="C540" s="131" t="s">
        <v>1036</v>
      </c>
      <c r="D540" s="131" t="s">
        <v>1036</v>
      </c>
      <c r="E540" s="2" t="s">
        <v>3</v>
      </c>
    </row>
    <row r="541" spans="1:5">
      <c r="A541" s="131" t="s">
        <v>1036</v>
      </c>
      <c r="B541" s="131" t="s">
        <v>1036</v>
      </c>
      <c r="C541" s="131" t="s">
        <v>1036</v>
      </c>
      <c r="D541" s="131" t="s">
        <v>1036</v>
      </c>
      <c r="E541" s="2" t="s">
        <v>3</v>
      </c>
    </row>
    <row r="542" spans="1:5">
      <c r="A542" s="131" t="s">
        <v>1036</v>
      </c>
      <c r="B542" s="131" t="s">
        <v>1036</v>
      </c>
      <c r="C542" s="131" t="s">
        <v>1036</v>
      </c>
      <c r="D542" s="131" t="s">
        <v>1036</v>
      </c>
      <c r="E542" s="2" t="s">
        <v>3</v>
      </c>
    </row>
    <row r="543" spans="1:5">
      <c r="A543" s="131" t="s">
        <v>1036</v>
      </c>
      <c r="B543" s="131" t="s">
        <v>1036</v>
      </c>
      <c r="C543" s="131" t="s">
        <v>1036</v>
      </c>
      <c r="D543" s="131" t="s">
        <v>1036</v>
      </c>
      <c r="E543" s="2" t="s">
        <v>3</v>
      </c>
    </row>
    <row r="544" spans="1:5">
      <c r="A544" s="131" t="s">
        <v>1036</v>
      </c>
      <c r="B544" s="131" t="s">
        <v>1036</v>
      </c>
      <c r="C544" s="131" t="s">
        <v>1036</v>
      </c>
      <c r="D544" s="131" t="s">
        <v>1036</v>
      </c>
      <c r="E544" s="2" t="s">
        <v>257</v>
      </c>
    </row>
    <row r="545" spans="1:5">
      <c r="A545" s="131" t="s">
        <v>1036</v>
      </c>
      <c r="B545" s="131" t="s">
        <v>1036</v>
      </c>
      <c r="C545" s="131" t="s">
        <v>1036</v>
      </c>
      <c r="D545" s="131" t="s">
        <v>1036</v>
      </c>
      <c r="E545" s="2" t="s">
        <v>3</v>
      </c>
    </row>
    <row r="546" spans="1:5">
      <c r="A546" s="131" t="s">
        <v>1036</v>
      </c>
      <c r="B546" s="131" t="s">
        <v>1036</v>
      </c>
      <c r="C546" s="131" t="s">
        <v>1036</v>
      </c>
      <c r="D546" s="131" t="s">
        <v>1036</v>
      </c>
      <c r="E546" s="2" t="s">
        <v>3</v>
      </c>
    </row>
    <row r="547" spans="1:5">
      <c r="A547" s="131" t="s">
        <v>1036</v>
      </c>
      <c r="B547" s="131" t="s">
        <v>1036</v>
      </c>
      <c r="C547" s="131" t="s">
        <v>1036</v>
      </c>
      <c r="D547" s="131" t="s">
        <v>1036</v>
      </c>
      <c r="E547" s="2" t="s">
        <v>3</v>
      </c>
    </row>
    <row r="548" spans="1:5">
      <c r="A548" s="131" t="s">
        <v>1036</v>
      </c>
      <c r="B548" s="131" t="s">
        <v>1036</v>
      </c>
      <c r="C548" s="131" t="s">
        <v>1036</v>
      </c>
      <c r="D548" s="131" t="s">
        <v>1036</v>
      </c>
      <c r="E548" s="2" t="s">
        <v>3</v>
      </c>
    </row>
    <row r="549" spans="1:5">
      <c r="A549" s="131" t="s">
        <v>1036</v>
      </c>
      <c r="B549" s="131" t="s">
        <v>1036</v>
      </c>
      <c r="C549" s="131" t="s">
        <v>1036</v>
      </c>
      <c r="D549" s="131" t="s">
        <v>1036</v>
      </c>
      <c r="E549" s="2" t="s">
        <v>3</v>
      </c>
    </row>
    <row r="550" spans="1:5">
      <c r="A550" s="131" t="s">
        <v>1036</v>
      </c>
      <c r="B550" s="131" t="s">
        <v>1036</v>
      </c>
      <c r="C550" s="131" t="s">
        <v>1036</v>
      </c>
      <c r="D550" s="131" t="s">
        <v>1036</v>
      </c>
      <c r="E550" s="2" t="s">
        <v>291</v>
      </c>
    </row>
    <row r="551" spans="1:5">
      <c r="A551" s="131" t="s">
        <v>1036</v>
      </c>
      <c r="B551" s="131" t="s">
        <v>1036</v>
      </c>
      <c r="C551" s="131" t="s">
        <v>1036</v>
      </c>
      <c r="D551" s="131" t="s">
        <v>1036</v>
      </c>
      <c r="E551" s="2" t="s">
        <v>3</v>
      </c>
    </row>
    <row r="552" spans="1:5">
      <c r="A552" s="131" t="s">
        <v>1036</v>
      </c>
      <c r="B552" s="131" t="s">
        <v>1036</v>
      </c>
      <c r="C552" s="131" t="s">
        <v>1036</v>
      </c>
      <c r="D552" s="131" t="s">
        <v>1036</v>
      </c>
      <c r="E552" s="2" t="s">
        <v>3</v>
      </c>
    </row>
    <row r="553" spans="1:5">
      <c r="A553" s="131" t="s">
        <v>1036</v>
      </c>
      <c r="B553" s="131" t="s">
        <v>1036</v>
      </c>
      <c r="C553" s="131" t="s">
        <v>1036</v>
      </c>
      <c r="D553" s="131" t="s">
        <v>1036</v>
      </c>
      <c r="E553" s="2" t="s">
        <v>3</v>
      </c>
    </row>
    <row r="554" spans="1:5">
      <c r="A554" s="131" t="s">
        <v>1036</v>
      </c>
      <c r="B554" s="131" t="s">
        <v>1036</v>
      </c>
      <c r="C554" s="131" t="s">
        <v>1036</v>
      </c>
      <c r="D554" s="131" t="s">
        <v>1036</v>
      </c>
      <c r="E554" s="2" t="s">
        <v>3</v>
      </c>
    </row>
    <row r="555" spans="1:5">
      <c r="A555" s="131" t="s">
        <v>1036</v>
      </c>
      <c r="B555" s="131" t="s">
        <v>1036</v>
      </c>
      <c r="C555" s="131" t="s">
        <v>1036</v>
      </c>
      <c r="D555" s="131" t="s">
        <v>1036</v>
      </c>
      <c r="E555" s="2" t="s">
        <v>3</v>
      </c>
    </row>
    <row r="556" spans="1:5">
      <c r="A556" s="131" t="s">
        <v>1036</v>
      </c>
      <c r="B556" s="131" t="s">
        <v>1036</v>
      </c>
      <c r="C556" s="131" t="s">
        <v>1036</v>
      </c>
      <c r="D556" s="131" t="s">
        <v>1036</v>
      </c>
      <c r="E556" s="2" t="s">
        <v>292</v>
      </c>
    </row>
    <row r="557" spans="1:5">
      <c r="A557" s="131" t="s">
        <v>1036</v>
      </c>
      <c r="B557" s="131" t="s">
        <v>1036</v>
      </c>
      <c r="C557" s="131" t="s">
        <v>1036</v>
      </c>
      <c r="D557" s="131" t="s">
        <v>1036</v>
      </c>
      <c r="E557" s="2" t="s">
        <v>3</v>
      </c>
    </row>
    <row r="558" spans="1:5">
      <c r="A558" s="131" t="s">
        <v>1036</v>
      </c>
      <c r="B558" s="131" t="s">
        <v>1036</v>
      </c>
      <c r="C558" s="131" t="s">
        <v>1036</v>
      </c>
      <c r="D558" s="131" t="s">
        <v>1036</v>
      </c>
      <c r="E558" s="2" t="s">
        <v>3</v>
      </c>
    </row>
    <row r="559" spans="1:5">
      <c r="A559" s="131" t="s">
        <v>1036</v>
      </c>
      <c r="B559" s="131" t="s">
        <v>1036</v>
      </c>
      <c r="C559" s="131" t="s">
        <v>1036</v>
      </c>
      <c r="D559" s="131" t="s">
        <v>1036</v>
      </c>
      <c r="E559" s="2" t="s">
        <v>3</v>
      </c>
    </row>
    <row r="560" spans="1:5">
      <c r="A560" s="131" t="s">
        <v>1036</v>
      </c>
      <c r="B560" s="131" t="s">
        <v>1036</v>
      </c>
      <c r="C560" s="131" t="s">
        <v>1036</v>
      </c>
      <c r="D560" s="131" t="s">
        <v>1036</v>
      </c>
      <c r="E560" s="2" t="s">
        <v>3</v>
      </c>
    </row>
    <row r="561" spans="1:5">
      <c r="A561" s="131" t="s">
        <v>1036</v>
      </c>
      <c r="B561" s="131" t="s">
        <v>1036</v>
      </c>
      <c r="C561" s="131" t="s">
        <v>1036</v>
      </c>
      <c r="D561" s="131" t="s">
        <v>1036</v>
      </c>
      <c r="E561" s="2" t="s">
        <v>3</v>
      </c>
    </row>
    <row r="562" spans="1:5">
      <c r="A562" s="131" t="s">
        <v>1036</v>
      </c>
      <c r="B562" s="131" t="s">
        <v>1036</v>
      </c>
      <c r="C562" s="131" t="s">
        <v>1036</v>
      </c>
      <c r="D562" s="131" t="s">
        <v>1036</v>
      </c>
      <c r="E562" s="2" t="s">
        <v>293</v>
      </c>
    </row>
    <row r="563" spans="1:5">
      <c r="A563" s="131" t="s">
        <v>1036</v>
      </c>
      <c r="B563" s="131" t="s">
        <v>1036</v>
      </c>
      <c r="C563" s="131" t="s">
        <v>1036</v>
      </c>
      <c r="D563" s="131" t="s">
        <v>1036</v>
      </c>
      <c r="E563" s="2" t="s">
        <v>3</v>
      </c>
    </row>
    <row r="564" spans="1:5">
      <c r="A564" s="131" t="s">
        <v>1036</v>
      </c>
      <c r="B564" s="131" t="s">
        <v>1036</v>
      </c>
      <c r="C564" s="131" t="s">
        <v>1036</v>
      </c>
      <c r="D564" s="131" t="s">
        <v>1036</v>
      </c>
      <c r="E564" s="2" t="s">
        <v>3</v>
      </c>
    </row>
    <row r="565" spans="1:5">
      <c r="A565" s="131" t="s">
        <v>1036</v>
      </c>
      <c r="B565" s="131" t="s">
        <v>1036</v>
      </c>
      <c r="C565" s="131" t="s">
        <v>1036</v>
      </c>
      <c r="D565" s="131" t="s">
        <v>1036</v>
      </c>
      <c r="E565" s="2" t="s">
        <v>3</v>
      </c>
    </row>
    <row r="566" spans="1:5">
      <c r="A566" s="131" t="s">
        <v>1036</v>
      </c>
      <c r="B566" s="131" t="s">
        <v>1036</v>
      </c>
      <c r="C566" s="131" t="s">
        <v>1036</v>
      </c>
      <c r="D566" s="131" t="s">
        <v>1036</v>
      </c>
      <c r="E566" s="2" t="s">
        <v>3</v>
      </c>
    </row>
    <row r="567" spans="1:5">
      <c r="A567" s="131" t="s">
        <v>1036</v>
      </c>
      <c r="B567" s="131" t="s">
        <v>1036</v>
      </c>
      <c r="C567" s="131" t="s">
        <v>1036</v>
      </c>
      <c r="D567" s="131" t="s">
        <v>1036</v>
      </c>
      <c r="E567" s="2" t="s">
        <v>3</v>
      </c>
    </row>
    <row r="568" spans="1:5">
      <c r="A568" s="131" t="s">
        <v>1036</v>
      </c>
      <c r="B568" s="131" t="s">
        <v>1036</v>
      </c>
      <c r="C568" s="131" t="s">
        <v>1036</v>
      </c>
      <c r="D568" s="131" t="s">
        <v>1036</v>
      </c>
      <c r="E568" s="2" t="s">
        <v>294</v>
      </c>
    </row>
    <row r="569" spans="1:5">
      <c r="A569" s="131" t="s">
        <v>1036</v>
      </c>
      <c r="B569" s="131" t="s">
        <v>1036</v>
      </c>
      <c r="C569" s="131" t="s">
        <v>1036</v>
      </c>
      <c r="D569" s="131" t="s">
        <v>1036</v>
      </c>
      <c r="E569" s="2" t="s">
        <v>3</v>
      </c>
    </row>
    <row r="570" spans="1:5">
      <c r="A570" s="131" t="s">
        <v>1036</v>
      </c>
      <c r="B570" s="131" t="s">
        <v>1036</v>
      </c>
      <c r="C570" s="131" t="s">
        <v>1036</v>
      </c>
      <c r="D570" s="131" t="s">
        <v>1036</v>
      </c>
      <c r="E570" s="2" t="s">
        <v>3</v>
      </c>
    </row>
    <row r="571" spans="1:5">
      <c r="A571" s="131" t="s">
        <v>1036</v>
      </c>
      <c r="B571" s="131" t="s">
        <v>1036</v>
      </c>
      <c r="C571" s="131" t="s">
        <v>1036</v>
      </c>
      <c r="D571" s="131" t="s">
        <v>1036</v>
      </c>
      <c r="E571" s="2" t="s">
        <v>3</v>
      </c>
    </row>
    <row r="572" spans="1:5">
      <c r="A572" s="131" t="s">
        <v>1036</v>
      </c>
      <c r="B572" s="131" t="s">
        <v>1036</v>
      </c>
      <c r="C572" s="131" t="s">
        <v>1036</v>
      </c>
      <c r="D572" s="131" t="s">
        <v>1036</v>
      </c>
      <c r="E572" s="2" t="s">
        <v>3</v>
      </c>
    </row>
    <row r="573" spans="1:5">
      <c r="A573" s="131" t="s">
        <v>1036</v>
      </c>
      <c r="B573" s="131" t="s">
        <v>1036</v>
      </c>
      <c r="C573" s="131" t="s">
        <v>1036</v>
      </c>
      <c r="D573" s="131" t="s">
        <v>1036</v>
      </c>
      <c r="E573" s="2" t="s">
        <v>3</v>
      </c>
    </row>
    <row r="574" spans="1:5">
      <c r="A574" s="131" t="s">
        <v>1036</v>
      </c>
      <c r="B574" s="131" t="s">
        <v>1036</v>
      </c>
      <c r="C574" s="131" t="s">
        <v>1036</v>
      </c>
      <c r="D574" s="131" t="s">
        <v>1036</v>
      </c>
      <c r="E574" s="2" t="s">
        <v>295</v>
      </c>
    </row>
    <row r="575" spans="1:5">
      <c r="A575" s="131" t="s">
        <v>1036</v>
      </c>
      <c r="B575" s="131" t="s">
        <v>1036</v>
      </c>
      <c r="C575" s="131" t="s">
        <v>1036</v>
      </c>
      <c r="D575" s="131" t="s">
        <v>1036</v>
      </c>
      <c r="E575" s="2" t="s">
        <v>3</v>
      </c>
    </row>
    <row r="576" spans="1:5">
      <c r="A576" s="131" t="s">
        <v>1036</v>
      </c>
      <c r="B576" s="131" t="s">
        <v>1036</v>
      </c>
      <c r="C576" s="131" t="s">
        <v>1036</v>
      </c>
      <c r="D576" s="131" t="s">
        <v>1036</v>
      </c>
      <c r="E576" s="2" t="s">
        <v>3</v>
      </c>
    </row>
    <row r="577" spans="1:5">
      <c r="A577" s="131" t="s">
        <v>1036</v>
      </c>
      <c r="B577" s="131" t="s">
        <v>1036</v>
      </c>
      <c r="C577" s="131" t="s">
        <v>1036</v>
      </c>
      <c r="D577" s="131" t="s">
        <v>1036</v>
      </c>
      <c r="E577" s="2" t="s">
        <v>3</v>
      </c>
    </row>
    <row r="578" spans="1:5">
      <c r="A578" s="131" t="s">
        <v>1036</v>
      </c>
      <c r="B578" s="131" t="s">
        <v>1036</v>
      </c>
      <c r="C578" s="131" t="s">
        <v>1036</v>
      </c>
      <c r="D578" s="131" t="s">
        <v>1036</v>
      </c>
      <c r="E578" s="2" t="s">
        <v>3</v>
      </c>
    </row>
    <row r="579" spans="1:5">
      <c r="A579" s="131" t="s">
        <v>1036</v>
      </c>
      <c r="B579" s="131" t="s">
        <v>1036</v>
      </c>
      <c r="C579" s="131" t="s">
        <v>1036</v>
      </c>
      <c r="D579" s="131" t="s">
        <v>1036</v>
      </c>
      <c r="E579" s="2" t="s">
        <v>3</v>
      </c>
    </row>
    <row r="580" spans="1:5">
      <c r="A580" s="131" t="s">
        <v>1036</v>
      </c>
      <c r="B580" s="131" t="s">
        <v>1036</v>
      </c>
      <c r="C580" s="131" t="s">
        <v>1036</v>
      </c>
      <c r="D580" s="131" t="s">
        <v>1036</v>
      </c>
      <c r="E580" s="2" t="s">
        <v>296</v>
      </c>
    </row>
    <row r="581" spans="1:5">
      <c r="A581" s="131" t="s">
        <v>1036</v>
      </c>
      <c r="B581" s="131" t="s">
        <v>1036</v>
      </c>
      <c r="C581" s="131" t="s">
        <v>1036</v>
      </c>
      <c r="D581" s="131" t="s">
        <v>1036</v>
      </c>
      <c r="E581" s="2" t="s">
        <v>3</v>
      </c>
    </row>
    <row r="582" spans="1:5">
      <c r="A582" s="131" t="s">
        <v>1036</v>
      </c>
      <c r="B582" s="131" t="s">
        <v>1036</v>
      </c>
      <c r="C582" s="131" t="s">
        <v>1036</v>
      </c>
      <c r="D582" s="131" t="s">
        <v>1036</v>
      </c>
      <c r="E582" s="2" t="s">
        <v>3</v>
      </c>
    </row>
    <row r="583" spans="1:5">
      <c r="A583" s="131" t="s">
        <v>1036</v>
      </c>
      <c r="B583" s="131" t="s">
        <v>1036</v>
      </c>
      <c r="C583" s="131" t="s">
        <v>1036</v>
      </c>
      <c r="D583" s="131" t="s">
        <v>1036</v>
      </c>
      <c r="E583" s="2" t="s">
        <v>3</v>
      </c>
    </row>
    <row r="584" spans="1:5">
      <c r="A584" s="131" t="s">
        <v>1036</v>
      </c>
      <c r="B584" s="131" t="s">
        <v>1036</v>
      </c>
      <c r="C584" s="131" t="s">
        <v>1036</v>
      </c>
      <c r="D584" s="131" t="s">
        <v>1036</v>
      </c>
      <c r="E584" s="2" t="s">
        <v>3</v>
      </c>
    </row>
    <row r="585" spans="1:5">
      <c r="A585" s="131" t="s">
        <v>1036</v>
      </c>
      <c r="B585" s="131" t="s">
        <v>1036</v>
      </c>
      <c r="C585" s="131" t="s">
        <v>1036</v>
      </c>
      <c r="D585" s="131" t="s">
        <v>1036</v>
      </c>
      <c r="E585" s="2" t="s">
        <v>3</v>
      </c>
    </row>
    <row r="586" spans="1:5">
      <c r="A586" s="131" t="s">
        <v>1036</v>
      </c>
      <c r="B586" s="131" t="s">
        <v>1036</v>
      </c>
      <c r="C586" s="131" t="s">
        <v>1036</v>
      </c>
      <c r="D586" s="131" t="s">
        <v>1036</v>
      </c>
      <c r="E586" s="2" t="s">
        <v>297</v>
      </c>
    </row>
    <row r="587" spans="1:5">
      <c r="A587" s="131" t="s">
        <v>1036</v>
      </c>
      <c r="B587" s="131" t="s">
        <v>1036</v>
      </c>
      <c r="C587" s="131" t="s">
        <v>1036</v>
      </c>
      <c r="D587" s="131" t="s">
        <v>1036</v>
      </c>
      <c r="E587" s="2" t="s">
        <v>3</v>
      </c>
    </row>
    <row r="588" spans="1:5">
      <c r="A588" s="131" t="s">
        <v>1036</v>
      </c>
      <c r="B588" s="131" t="s">
        <v>1036</v>
      </c>
      <c r="C588" s="131" t="s">
        <v>1036</v>
      </c>
      <c r="D588" s="131" t="s">
        <v>1036</v>
      </c>
      <c r="E588" s="2" t="s">
        <v>3</v>
      </c>
    </row>
    <row r="589" spans="1:5">
      <c r="A589" s="131" t="s">
        <v>1036</v>
      </c>
      <c r="B589" s="131" t="s">
        <v>1036</v>
      </c>
      <c r="C589" s="131" t="s">
        <v>1036</v>
      </c>
      <c r="D589" s="131" t="s">
        <v>1036</v>
      </c>
      <c r="E589" s="2" t="s">
        <v>3</v>
      </c>
    </row>
    <row r="590" spans="1:5">
      <c r="A590" s="131" t="s">
        <v>1036</v>
      </c>
      <c r="B590" s="131" t="s">
        <v>1036</v>
      </c>
      <c r="C590" s="131" t="s">
        <v>1036</v>
      </c>
      <c r="D590" s="131" t="s">
        <v>1036</v>
      </c>
      <c r="E590" s="2" t="s">
        <v>3</v>
      </c>
    </row>
    <row r="591" spans="1:5">
      <c r="A591" s="131" t="s">
        <v>1036</v>
      </c>
      <c r="B591" s="131" t="s">
        <v>1036</v>
      </c>
      <c r="C591" s="131" t="s">
        <v>1036</v>
      </c>
      <c r="D591" s="131" t="s">
        <v>1036</v>
      </c>
      <c r="E591" s="2" t="s">
        <v>3</v>
      </c>
    </row>
    <row r="592" spans="1:5">
      <c r="A592" s="131" t="s">
        <v>1036</v>
      </c>
      <c r="B592" s="131" t="s">
        <v>1036</v>
      </c>
      <c r="C592" s="131" t="s">
        <v>1036</v>
      </c>
      <c r="D592" s="131" t="s">
        <v>1036</v>
      </c>
      <c r="E592" s="2" t="s">
        <v>298</v>
      </c>
    </row>
    <row r="593" spans="1:5">
      <c r="A593" s="131" t="s">
        <v>1036</v>
      </c>
      <c r="B593" s="131" t="s">
        <v>1036</v>
      </c>
      <c r="C593" s="131" t="s">
        <v>1036</v>
      </c>
      <c r="D593" s="131" t="s">
        <v>1036</v>
      </c>
      <c r="E593" s="2" t="s">
        <v>3</v>
      </c>
    </row>
    <row r="594" spans="1:5">
      <c r="A594" s="131" t="s">
        <v>1036</v>
      </c>
      <c r="B594" s="131" t="s">
        <v>1036</v>
      </c>
      <c r="C594" s="131" t="s">
        <v>1036</v>
      </c>
      <c r="D594" s="131" t="s">
        <v>1036</v>
      </c>
      <c r="E594" s="2" t="s">
        <v>3</v>
      </c>
    </row>
    <row r="595" spans="1:5">
      <c r="A595" s="131" t="s">
        <v>1036</v>
      </c>
      <c r="B595" s="131" t="s">
        <v>1036</v>
      </c>
      <c r="C595" s="131" t="s">
        <v>1036</v>
      </c>
      <c r="D595" s="131" t="s">
        <v>1036</v>
      </c>
      <c r="E595" s="2" t="s">
        <v>3</v>
      </c>
    </row>
    <row r="596" spans="1:5">
      <c r="A596" s="131" t="s">
        <v>1036</v>
      </c>
      <c r="B596" s="131" t="s">
        <v>1036</v>
      </c>
      <c r="C596" s="131" t="s">
        <v>1036</v>
      </c>
      <c r="D596" s="131" t="s">
        <v>1036</v>
      </c>
      <c r="E596" s="2" t="s">
        <v>3</v>
      </c>
    </row>
    <row r="597" spans="1:5">
      <c r="A597" s="131" t="s">
        <v>1036</v>
      </c>
      <c r="B597" s="131" t="s">
        <v>1036</v>
      </c>
      <c r="C597" s="131" t="s">
        <v>1036</v>
      </c>
      <c r="D597" s="131" t="s">
        <v>1036</v>
      </c>
      <c r="E597" s="2" t="s">
        <v>3</v>
      </c>
    </row>
    <row r="598" spans="1:5">
      <c r="A598" s="131" t="s">
        <v>1036</v>
      </c>
      <c r="B598" s="131" t="s">
        <v>1036</v>
      </c>
      <c r="C598" s="131" t="s">
        <v>1036</v>
      </c>
      <c r="D598" s="131" t="s">
        <v>1036</v>
      </c>
      <c r="E598" s="2" t="s">
        <v>299</v>
      </c>
    </row>
    <row r="599" spans="1:5">
      <c r="A599" s="131" t="s">
        <v>1036</v>
      </c>
      <c r="B599" s="131" t="s">
        <v>1036</v>
      </c>
      <c r="C599" s="131" t="s">
        <v>1036</v>
      </c>
      <c r="D599" s="131" t="s">
        <v>1036</v>
      </c>
      <c r="E599" s="2" t="s">
        <v>3</v>
      </c>
    </row>
    <row r="600" spans="1:5">
      <c r="A600" s="131" t="s">
        <v>1036</v>
      </c>
      <c r="B600" s="131" t="s">
        <v>1036</v>
      </c>
      <c r="C600" s="131" t="s">
        <v>1036</v>
      </c>
      <c r="D600" s="131" t="s">
        <v>1036</v>
      </c>
      <c r="E600" s="2" t="s">
        <v>3</v>
      </c>
    </row>
    <row r="601" spans="1:5">
      <c r="A601" s="131" t="s">
        <v>1036</v>
      </c>
      <c r="B601" s="131" t="s">
        <v>1036</v>
      </c>
      <c r="C601" s="131" t="s">
        <v>1036</v>
      </c>
      <c r="D601" s="131" t="s">
        <v>1036</v>
      </c>
      <c r="E601" s="2" t="s">
        <v>3</v>
      </c>
    </row>
    <row r="602" spans="1:5">
      <c r="A602" s="131" t="s">
        <v>1036</v>
      </c>
      <c r="B602" s="131" t="s">
        <v>1036</v>
      </c>
      <c r="C602" s="131" t="s">
        <v>1036</v>
      </c>
      <c r="D602" s="131" t="s">
        <v>1036</v>
      </c>
      <c r="E602" s="2" t="s">
        <v>3</v>
      </c>
    </row>
    <row r="603" spans="1:5">
      <c r="A603" s="131" t="s">
        <v>1036</v>
      </c>
      <c r="B603" s="131" t="s">
        <v>1036</v>
      </c>
      <c r="C603" s="131" t="s">
        <v>1036</v>
      </c>
      <c r="D603" s="131" t="s">
        <v>1036</v>
      </c>
      <c r="E603" s="2" t="s">
        <v>3</v>
      </c>
    </row>
    <row r="604" spans="1:5">
      <c r="A604" s="131" t="s">
        <v>1036</v>
      </c>
      <c r="B604" s="131" t="s">
        <v>1036</v>
      </c>
      <c r="C604" s="131" t="s">
        <v>1036</v>
      </c>
      <c r="D604" s="131" t="s">
        <v>1036</v>
      </c>
      <c r="E604" s="2" t="s">
        <v>300</v>
      </c>
    </row>
    <row r="605" spans="1:5">
      <c r="A605" s="131" t="s">
        <v>1036</v>
      </c>
      <c r="B605" s="131" t="s">
        <v>1036</v>
      </c>
      <c r="C605" s="131" t="s">
        <v>1036</v>
      </c>
      <c r="D605" s="131" t="s">
        <v>1036</v>
      </c>
      <c r="E605" s="2" t="s">
        <v>3</v>
      </c>
    </row>
    <row r="606" spans="1:5">
      <c r="A606" s="131" t="s">
        <v>1036</v>
      </c>
      <c r="B606" s="131" t="s">
        <v>1036</v>
      </c>
      <c r="C606" s="131" t="s">
        <v>1036</v>
      </c>
      <c r="D606" s="131" t="s">
        <v>1036</v>
      </c>
      <c r="E606" s="2" t="s">
        <v>3</v>
      </c>
    </row>
    <row r="607" spans="1:5">
      <c r="A607" s="131" t="s">
        <v>1036</v>
      </c>
      <c r="B607" s="131" t="s">
        <v>1036</v>
      </c>
      <c r="C607" s="131" t="s">
        <v>1036</v>
      </c>
      <c r="D607" s="131" t="s">
        <v>1036</v>
      </c>
      <c r="E607" s="2" t="s">
        <v>3</v>
      </c>
    </row>
    <row r="608" spans="1:5">
      <c r="A608" s="131" t="s">
        <v>1036</v>
      </c>
      <c r="B608" s="131" t="s">
        <v>1036</v>
      </c>
      <c r="C608" s="131" t="s">
        <v>1036</v>
      </c>
      <c r="D608" s="131" t="s">
        <v>1036</v>
      </c>
      <c r="E608" s="2" t="s">
        <v>3</v>
      </c>
    </row>
    <row r="609" spans="1:5">
      <c r="A609" s="131" t="s">
        <v>1036</v>
      </c>
      <c r="B609" s="131" t="s">
        <v>1036</v>
      </c>
      <c r="C609" s="131" t="s">
        <v>1036</v>
      </c>
      <c r="D609" s="131" t="s">
        <v>1036</v>
      </c>
      <c r="E609" s="2" t="s">
        <v>3</v>
      </c>
    </row>
    <row r="610" spans="1:5">
      <c r="A610" s="131" t="s">
        <v>1036</v>
      </c>
      <c r="B610" s="131" t="s">
        <v>1036</v>
      </c>
      <c r="C610" s="131" t="s">
        <v>1036</v>
      </c>
      <c r="D610" s="131" t="s">
        <v>1036</v>
      </c>
      <c r="E610" s="2" t="s">
        <v>301</v>
      </c>
    </row>
    <row r="611" spans="1:5">
      <c r="A611" s="131" t="s">
        <v>1036</v>
      </c>
      <c r="B611" s="131" t="s">
        <v>1036</v>
      </c>
      <c r="C611" s="131" t="s">
        <v>1036</v>
      </c>
      <c r="D611" s="131" t="s">
        <v>1036</v>
      </c>
      <c r="E611" s="2" t="s">
        <v>3</v>
      </c>
    </row>
    <row r="612" spans="1:5">
      <c r="A612" s="131" t="s">
        <v>1036</v>
      </c>
      <c r="B612" s="131" t="s">
        <v>1036</v>
      </c>
      <c r="C612" s="131" t="s">
        <v>1036</v>
      </c>
      <c r="D612" s="131" t="s">
        <v>1036</v>
      </c>
      <c r="E612" s="2" t="s">
        <v>3</v>
      </c>
    </row>
    <row r="613" spans="1:5">
      <c r="A613" s="131" t="s">
        <v>1036</v>
      </c>
      <c r="B613" s="131" t="s">
        <v>1036</v>
      </c>
      <c r="C613" s="131" t="s">
        <v>1036</v>
      </c>
      <c r="D613" s="131" t="s">
        <v>1036</v>
      </c>
      <c r="E613" s="2" t="s">
        <v>3</v>
      </c>
    </row>
    <row r="614" spans="1:5">
      <c r="A614" s="131" t="s">
        <v>1036</v>
      </c>
      <c r="B614" s="131" t="s">
        <v>1036</v>
      </c>
      <c r="C614" s="131" t="s">
        <v>1036</v>
      </c>
      <c r="D614" s="131" t="s">
        <v>1036</v>
      </c>
      <c r="E614" s="2" t="s">
        <v>3</v>
      </c>
    </row>
    <row r="615" spans="1:5">
      <c r="A615" s="131" t="s">
        <v>1036</v>
      </c>
      <c r="B615" s="131" t="s">
        <v>1036</v>
      </c>
      <c r="C615" s="131" t="s">
        <v>1036</v>
      </c>
      <c r="D615" s="131" t="s">
        <v>1036</v>
      </c>
      <c r="E615" s="2" t="s">
        <v>3</v>
      </c>
    </row>
    <row r="616" spans="1:5">
      <c r="A616" s="131" t="s">
        <v>1036</v>
      </c>
      <c r="B616" s="131" t="s">
        <v>1036</v>
      </c>
      <c r="C616" s="131" t="s">
        <v>1036</v>
      </c>
      <c r="D616" s="131" t="s">
        <v>1036</v>
      </c>
      <c r="E616" s="2" t="s">
        <v>302</v>
      </c>
    </row>
    <row r="617" spans="1:5">
      <c r="A617" s="131" t="s">
        <v>1036</v>
      </c>
      <c r="B617" s="131" t="s">
        <v>1036</v>
      </c>
      <c r="C617" s="131" t="s">
        <v>1036</v>
      </c>
      <c r="D617" s="131" t="s">
        <v>1036</v>
      </c>
      <c r="E617" s="2" t="s">
        <v>3</v>
      </c>
    </row>
    <row r="618" spans="1:5">
      <c r="A618" s="131" t="s">
        <v>1036</v>
      </c>
      <c r="B618" s="131" t="s">
        <v>1036</v>
      </c>
      <c r="C618" s="131" t="s">
        <v>1036</v>
      </c>
      <c r="D618" s="131" t="s">
        <v>1036</v>
      </c>
      <c r="E618" s="2" t="s">
        <v>3</v>
      </c>
    </row>
    <row r="619" spans="1:5">
      <c r="A619" s="131" t="s">
        <v>1036</v>
      </c>
      <c r="B619" s="131" t="s">
        <v>1036</v>
      </c>
      <c r="C619" s="131" t="s">
        <v>1036</v>
      </c>
      <c r="D619" s="131" t="s">
        <v>1036</v>
      </c>
      <c r="E619" s="2" t="s">
        <v>3</v>
      </c>
    </row>
    <row r="620" spans="1:5">
      <c r="A620" s="131" t="s">
        <v>1036</v>
      </c>
      <c r="B620" s="131" t="s">
        <v>1036</v>
      </c>
      <c r="C620" s="131" t="s">
        <v>1036</v>
      </c>
      <c r="D620" s="131" t="s">
        <v>1036</v>
      </c>
      <c r="E620" s="2" t="s">
        <v>3</v>
      </c>
    </row>
    <row r="621" spans="1:5">
      <c r="A621" s="131" t="s">
        <v>1036</v>
      </c>
      <c r="B621" s="131" t="s">
        <v>1036</v>
      </c>
      <c r="C621" s="131" t="s">
        <v>1036</v>
      </c>
      <c r="D621" s="131" t="s">
        <v>1036</v>
      </c>
      <c r="E621" s="2" t="s">
        <v>3</v>
      </c>
    </row>
    <row r="622" spans="1:5">
      <c r="A622" s="131" t="s">
        <v>1036</v>
      </c>
      <c r="B622" s="131" t="s">
        <v>1036</v>
      </c>
      <c r="C622" s="131" t="s">
        <v>1036</v>
      </c>
      <c r="D622" s="131" t="s">
        <v>1036</v>
      </c>
      <c r="E622" s="2" t="s">
        <v>303</v>
      </c>
    </row>
    <row r="623" spans="1:5">
      <c r="A623" s="131" t="s">
        <v>1036</v>
      </c>
      <c r="B623" s="131" t="s">
        <v>1036</v>
      </c>
      <c r="C623" s="131" t="s">
        <v>1036</v>
      </c>
      <c r="D623" s="131" t="s">
        <v>1036</v>
      </c>
      <c r="E623" s="2" t="s">
        <v>3</v>
      </c>
    </row>
    <row r="624" spans="1:5">
      <c r="A624" s="131" t="s">
        <v>1036</v>
      </c>
      <c r="B624" s="131" t="s">
        <v>1036</v>
      </c>
      <c r="C624" s="131" t="s">
        <v>1036</v>
      </c>
      <c r="D624" s="131" t="s">
        <v>1036</v>
      </c>
      <c r="E624" s="2" t="s">
        <v>3</v>
      </c>
    </row>
    <row r="625" spans="1:12">
      <c r="A625" s="131" t="s">
        <v>1036</v>
      </c>
      <c r="B625" s="131" t="s">
        <v>1036</v>
      </c>
      <c r="C625" s="131" t="s">
        <v>1036</v>
      </c>
      <c r="D625" s="131" t="s">
        <v>1036</v>
      </c>
      <c r="E625" s="2" t="s">
        <v>3</v>
      </c>
    </row>
    <row r="626" spans="1:12">
      <c r="A626" s="131" t="s">
        <v>1036</v>
      </c>
      <c r="B626" s="131" t="s">
        <v>1036</v>
      </c>
      <c r="C626" s="131" t="s">
        <v>1036</v>
      </c>
      <c r="D626" s="131" t="s">
        <v>1036</v>
      </c>
      <c r="E626" s="2" t="s">
        <v>3</v>
      </c>
    </row>
    <row r="627" spans="1:12">
      <c r="A627" s="131" t="s">
        <v>1036</v>
      </c>
      <c r="B627" s="131" t="s">
        <v>1036</v>
      </c>
      <c r="C627" s="131" t="s">
        <v>1036</v>
      </c>
      <c r="D627" s="131" t="s">
        <v>1036</v>
      </c>
      <c r="E627" s="2" t="s">
        <v>3</v>
      </c>
    </row>
    <row r="628" spans="1:12">
      <c r="A628" s="1" t="s">
        <v>2</v>
      </c>
      <c r="B628" s="55" t="s">
        <v>3</v>
      </c>
      <c r="I628" s="2" t="s">
        <v>304</v>
      </c>
    </row>
    <row r="629" spans="1:12">
      <c r="A629" s="6">
        <v>0</v>
      </c>
      <c r="B629" s="56">
        <v>0</v>
      </c>
      <c r="C629" s="6">
        <v>0</v>
      </c>
      <c r="D629" s="2" t="s">
        <v>3</v>
      </c>
      <c r="F629" s="2" t="s">
        <v>305</v>
      </c>
    </row>
    <row r="630" spans="1:12">
      <c r="A630" s="6">
        <v>0</v>
      </c>
      <c r="B630" s="56">
        <v>0</v>
      </c>
      <c r="C630" s="6">
        <v>0</v>
      </c>
      <c r="D630" s="2" t="s">
        <v>3</v>
      </c>
      <c r="F630" s="2" t="s">
        <v>281</v>
      </c>
    </row>
    <row r="631" spans="1:12">
      <c r="A631" s="6">
        <v>11</v>
      </c>
      <c r="B631" s="2" t="s">
        <v>3</v>
      </c>
      <c r="F631" s="2" t="s">
        <v>1045</v>
      </c>
    </row>
    <row r="632" spans="1:12">
      <c r="A632" s="56">
        <v>8</v>
      </c>
      <c r="B632" s="2" t="s">
        <v>3</v>
      </c>
      <c r="C632" s="2"/>
      <c r="F632" s="2" t="s">
        <v>1177</v>
      </c>
    </row>
    <row r="633" spans="1:12" s="3" customFormat="1">
      <c r="A633" s="34" t="s">
        <v>38</v>
      </c>
      <c r="B633" s="76" t="s">
        <v>32</v>
      </c>
      <c r="C633"/>
      <c r="D633"/>
      <c r="E633"/>
      <c r="F633"/>
      <c r="G633"/>
      <c r="H633"/>
      <c r="I633"/>
      <c r="J633"/>
      <c r="K633"/>
      <c r="L633"/>
    </row>
    <row r="634" spans="1:12" s="3" customFormat="1">
      <c r="A634" s="34" t="s">
        <v>1126</v>
      </c>
      <c r="B634" s="76" t="s">
        <v>1127</v>
      </c>
      <c r="C634"/>
      <c r="D634"/>
      <c r="E634"/>
      <c r="F634"/>
      <c r="G634"/>
      <c r="H634"/>
      <c r="I634"/>
      <c r="J634"/>
      <c r="K634"/>
      <c r="L634"/>
    </row>
    <row r="635" spans="1:12" s="3" customFormat="1" ht="16.5">
      <c r="A635" s="31" t="s">
        <v>56</v>
      </c>
      <c r="B635" s="32" t="s">
        <v>1083</v>
      </c>
      <c r="C635" t="s">
        <v>58</v>
      </c>
      <c r="D635" t="s">
        <v>59</v>
      </c>
      <c r="E635"/>
      <c r="F635"/>
    </row>
    <row r="636" spans="1:12" s="3" customFormat="1" ht="16.5">
      <c r="A636" s="31" t="s">
        <v>60</v>
      </c>
      <c r="B636" s="134" t="s">
        <v>1079</v>
      </c>
      <c r="C636" t="s">
        <v>32</v>
      </c>
      <c r="D636" t="s">
        <v>1044</v>
      </c>
      <c r="E636"/>
      <c r="F636"/>
    </row>
    <row r="637" spans="1:12" s="3" customFormat="1" ht="16.5">
      <c r="A637" s="31" t="s">
        <v>63</v>
      </c>
      <c r="B637" s="134" t="s">
        <v>1125</v>
      </c>
      <c r="C637" t="s">
        <v>32</v>
      </c>
      <c r="D637" t="s">
        <v>1046</v>
      </c>
      <c r="E637"/>
      <c r="F637"/>
    </row>
    <row r="638" spans="1:12" s="3" customFormat="1" ht="16.5">
      <c r="A638" s="31" t="s">
        <v>66</v>
      </c>
      <c r="B638" s="134" t="s">
        <v>1051</v>
      </c>
      <c r="C638" t="s">
        <v>32</v>
      </c>
      <c r="D638" t="s">
        <v>1047</v>
      </c>
      <c r="E638"/>
      <c r="F638"/>
    </row>
    <row r="639" spans="1:12" s="3" customFormat="1" ht="16.5">
      <c r="A639" s="31" t="s">
        <v>69</v>
      </c>
      <c r="B639" s="134" t="s">
        <v>1049</v>
      </c>
      <c r="C639" t="s">
        <v>32</v>
      </c>
      <c r="G639"/>
      <c r="H639"/>
      <c r="I639"/>
      <c r="J639"/>
      <c r="K639"/>
      <c r="L639"/>
    </row>
    <row r="640" spans="1:12" s="3" customFormat="1">
      <c r="A640" s="66" t="s">
        <v>57</v>
      </c>
      <c r="B640" s="134" t="s">
        <v>163</v>
      </c>
      <c r="C640" t="s">
        <v>32</v>
      </c>
      <c r="G640"/>
      <c r="H640"/>
      <c r="L640"/>
    </row>
    <row r="641" spans="1:12" s="3" customFormat="1">
      <c r="A641" s="66" t="s">
        <v>61</v>
      </c>
      <c r="B641" s="134" t="s">
        <v>1081</v>
      </c>
      <c r="C641" t="s">
        <v>32</v>
      </c>
      <c r="L641"/>
    </row>
    <row r="642" spans="1:12" s="3" customFormat="1">
      <c r="A642" s="66" t="s">
        <v>64</v>
      </c>
      <c r="B642" s="134" t="s">
        <v>1052</v>
      </c>
      <c r="C642" t="s">
        <v>32</v>
      </c>
      <c r="L642"/>
    </row>
    <row r="643" spans="1:12" s="3" customFormat="1">
      <c r="A643" s="66" t="s">
        <v>67</v>
      </c>
      <c r="B643" s="134" t="s">
        <v>1059</v>
      </c>
      <c r="C643" t="s">
        <v>73</v>
      </c>
      <c r="L643"/>
    </row>
    <row r="644" spans="1:12" s="3" customFormat="1">
      <c r="A644" s="66" t="s">
        <v>70</v>
      </c>
      <c r="B644" s="134" t="s">
        <v>1058</v>
      </c>
      <c r="C644" t="s">
        <v>32</v>
      </c>
      <c r="L644"/>
    </row>
    <row r="645" spans="1:12" s="3" customFormat="1" ht="16.5">
      <c r="A645" s="32" t="s">
        <v>71</v>
      </c>
      <c r="B645" s="134" t="s">
        <v>1085</v>
      </c>
      <c r="C645" t="s">
        <v>32</v>
      </c>
      <c r="L645"/>
    </row>
    <row r="646" spans="1:12" s="3" customFormat="1" ht="16.5">
      <c r="A646" s="32" t="s">
        <v>74</v>
      </c>
      <c r="B646" s="134" t="s">
        <v>1084</v>
      </c>
      <c r="C646" t="s">
        <v>32</v>
      </c>
      <c r="L646"/>
    </row>
    <row r="647" spans="1:12" s="3" customFormat="1" ht="16.5">
      <c r="A647" s="32" t="s">
        <v>76</v>
      </c>
      <c r="B647" s="134" t="s">
        <v>161</v>
      </c>
      <c r="C647" t="s">
        <v>32</v>
      </c>
      <c r="L647"/>
    </row>
    <row r="648" spans="1:12" s="3" customFormat="1" ht="16.5">
      <c r="A648" s="32" t="s">
        <v>78</v>
      </c>
      <c r="B648" s="134" t="s">
        <v>1078</v>
      </c>
      <c r="C648" t="s">
        <v>32</v>
      </c>
      <c r="L648"/>
    </row>
    <row r="649" spans="1:12" s="3" customFormat="1" ht="16.5">
      <c r="A649" s="32" t="s">
        <v>80</v>
      </c>
      <c r="B649" s="134" t="s">
        <v>1124</v>
      </c>
      <c r="C649" t="s">
        <v>32</v>
      </c>
      <c r="L649"/>
    </row>
    <row r="650" spans="1:12" s="3" customFormat="1">
      <c r="A650" s="66" t="s">
        <v>72</v>
      </c>
      <c r="B650" s="134" t="s">
        <v>1053</v>
      </c>
      <c r="C650" t="s">
        <v>32</v>
      </c>
      <c r="L650"/>
    </row>
    <row r="651" spans="1:12" s="3" customFormat="1">
      <c r="A651" s="66" t="s">
        <v>75</v>
      </c>
      <c r="B651" s="134" t="s">
        <v>1082</v>
      </c>
      <c r="C651" t="s">
        <v>84</v>
      </c>
      <c r="L651"/>
    </row>
    <row r="652" spans="1:12" s="3" customFormat="1">
      <c r="A652" s="66" t="s">
        <v>77</v>
      </c>
      <c r="B652" s="134" t="s">
        <v>1080</v>
      </c>
      <c r="C652" t="s">
        <v>32</v>
      </c>
      <c r="L652"/>
    </row>
    <row r="653" spans="1:12" s="3" customFormat="1">
      <c r="A653" s="66" t="s">
        <v>79</v>
      </c>
      <c r="B653" s="134" t="s">
        <v>1061</v>
      </c>
      <c r="C653" t="s">
        <v>32</v>
      </c>
      <c r="L653"/>
    </row>
    <row r="654" spans="1:12" s="3" customFormat="1">
      <c r="A654" s="66" t="s">
        <v>81</v>
      </c>
      <c r="B654" s="134" t="s">
        <v>1060</v>
      </c>
      <c r="C654" t="s">
        <v>32</v>
      </c>
      <c r="G654"/>
      <c r="H654"/>
      <c r="L654"/>
    </row>
    <row r="655" spans="1:12" s="3" customFormat="1" ht="16.5">
      <c r="A655" s="32" t="s">
        <v>82</v>
      </c>
      <c r="B655" s="134" t="s">
        <v>1057</v>
      </c>
      <c r="C655" t="s">
        <v>32</v>
      </c>
      <c r="G655"/>
      <c r="H655"/>
      <c r="L655"/>
    </row>
    <row r="656" spans="1:12" s="3" customFormat="1" ht="16.5">
      <c r="A656" s="32" t="s">
        <v>85</v>
      </c>
      <c r="B656" s="134" t="s">
        <v>1056</v>
      </c>
      <c r="C656" t="s">
        <v>32</v>
      </c>
      <c r="G656"/>
      <c r="H656"/>
      <c r="L656"/>
    </row>
    <row r="657" spans="1:12" s="3" customFormat="1" ht="16.5">
      <c r="A657" s="32" t="s">
        <v>87</v>
      </c>
      <c r="B657" s="134" t="s">
        <v>1096</v>
      </c>
      <c r="C657" t="s">
        <v>32</v>
      </c>
      <c r="G657"/>
      <c r="H657"/>
      <c r="L657"/>
    </row>
    <row r="658" spans="1:12" s="3" customFormat="1" ht="16.5">
      <c r="A658" s="32" t="s">
        <v>89</v>
      </c>
      <c r="B658" s="134" t="s">
        <v>1113</v>
      </c>
      <c r="C658" t="s">
        <v>32</v>
      </c>
      <c r="G658"/>
      <c r="H658"/>
      <c r="L658"/>
    </row>
    <row r="659" spans="1:12" s="3" customFormat="1" ht="16.5">
      <c r="A659" s="32" t="s">
        <v>91</v>
      </c>
      <c r="B659" s="134" t="s">
        <v>1112</v>
      </c>
      <c r="C659" t="s">
        <v>95</v>
      </c>
      <c r="G659"/>
      <c r="H659"/>
      <c r="L659"/>
    </row>
    <row r="660" spans="1:12" s="3" customFormat="1">
      <c r="A660" s="66" t="s">
        <v>83</v>
      </c>
      <c r="B660" s="134" t="s">
        <v>1094</v>
      </c>
      <c r="C660" t="s">
        <v>32</v>
      </c>
      <c r="G660"/>
      <c r="H660"/>
      <c r="L660"/>
    </row>
    <row r="661" spans="1:12" s="3" customFormat="1">
      <c r="A661" s="66" t="s">
        <v>86</v>
      </c>
      <c r="B661" s="134" t="s">
        <v>1095</v>
      </c>
      <c r="C661" t="s">
        <v>32</v>
      </c>
      <c r="G661"/>
      <c r="H661"/>
      <c r="L661"/>
    </row>
    <row r="662" spans="1:12" s="3" customFormat="1">
      <c r="A662" s="66" t="s">
        <v>88</v>
      </c>
      <c r="B662" s="134" t="s">
        <v>1091</v>
      </c>
      <c r="C662" t="s">
        <v>32</v>
      </c>
      <c r="H662"/>
      <c r="L662"/>
    </row>
    <row r="663" spans="1:12" s="3" customFormat="1">
      <c r="A663" s="66" t="s">
        <v>90</v>
      </c>
      <c r="B663" s="134" t="s">
        <v>1092</v>
      </c>
      <c r="C663" t="s">
        <v>32</v>
      </c>
      <c r="H663"/>
      <c r="L663"/>
    </row>
    <row r="664" spans="1:12" s="3" customFormat="1">
      <c r="A664" s="66" t="s">
        <v>92</v>
      </c>
      <c r="B664" s="134" t="s">
        <v>1090</v>
      </c>
      <c r="C664" t="s">
        <v>32</v>
      </c>
      <c r="H664"/>
      <c r="L664"/>
    </row>
    <row r="665" spans="1:12" s="3" customFormat="1" ht="16.5">
      <c r="A665" s="32" t="s">
        <v>93</v>
      </c>
      <c r="B665" s="134" t="s">
        <v>1101</v>
      </c>
      <c r="C665" t="s">
        <v>32</v>
      </c>
      <c r="H665"/>
      <c r="L665"/>
    </row>
    <row r="666" spans="1:12" s="3" customFormat="1" ht="16.5">
      <c r="A666" s="32" t="s">
        <v>96</v>
      </c>
      <c r="B666" s="134" t="s">
        <v>1100</v>
      </c>
      <c r="C666" t="s">
        <v>32</v>
      </c>
      <c r="H666"/>
      <c r="L666"/>
    </row>
    <row r="667" spans="1:12" s="3" customFormat="1" ht="16.5">
      <c r="A667" s="32" t="s">
        <v>98</v>
      </c>
      <c r="B667" s="134" t="s">
        <v>1099</v>
      </c>
      <c r="C667" t="s">
        <v>106</v>
      </c>
      <c r="H667"/>
      <c r="L667"/>
    </row>
    <row r="668" spans="1:12" s="3" customFormat="1" ht="16.5">
      <c r="A668" s="32" t="s">
        <v>100</v>
      </c>
      <c r="B668" s="134" t="s">
        <v>1098</v>
      </c>
      <c r="C668" t="s">
        <v>32</v>
      </c>
      <c r="H668"/>
      <c r="L668"/>
    </row>
    <row r="669" spans="1:12" s="3" customFormat="1" ht="16.5">
      <c r="A669" s="32" t="s">
        <v>102</v>
      </c>
      <c r="B669" s="134" t="s">
        <v>1121</v>
      </c>
      <c r="C669" t="s">
        <v>32</v>
      </c>
      <c r="H669"/>
      <c r="L669"/>
    </row>
    <row r="670" spans="1:12" s="3" customFormat="1">
      <c r="A670" s="66" t="s">
        <v>94</v>
      </c>
      <c r="B670" s="134" t="s">
        <v>1097</v>
      </c>
      <c r="C670" t="s">
        <v>32</v>
      </c>
      <c r="H670"/>
      <c r="L670"/>
    </row>
    <row r="671" spans="1:12" s="3" customFormat="1">
      <c r="A671" s="66" t="s">
        <v>97</v>
      </c>
      <c r="B671" s="134" t="s">
        <v>1120</v>
      </c>
      <c r="C671" t="s">
        <v>32</v>
      </c>
      <c r="H671"/>
      <c r="L671"/>
    </row>
    <row r="672" spans="1:12" s="3" customFormat="1">
      <c r="A672" s="66" t="s">
        <v>99</v>
      </c>
      <c r="B672" s="134" t="s">
        <v>1093</v>
      </c>
      <c r="C672" t="s">
        <v>32</v>
      </c>
      <c r="H672"/>
      <c r="L672"/>
    </row>
    <row r="673" spans="1:12" s="3" customFormat="1">
      <c r="A673" s="66" t="s">
        <v>101</v>
      </c>
      <c r="B673" s="134" t="s">
        <v>1129</v>
      </c>
      <c r="C673" t="s">
        <v>32</v>
      </c>
      <c r="H673"/>
      <c r="L673"/>
    </row>
    <row r="674" spans="1:12" s="3" customFormat="1">
      <c r="A674" s="66" t="s">
        <v>103</v>
      </c>
      <c r="B674" s="134" t="s">
        <v>1130</v>
      </c>
      <c r="C674" t="s">
        <v>32</v>
      </c>
      <c r="H674"/>
      <c r="L674"/>
    </row>
    <row r="675" spans="1:12" s="3" customFormat="1" ht="16.5">
      <c r="A675" s="32" t="s">
        <v>104</v>
      </c>
      <c r="B675" s="134" t="s">
        <v>1131</v>
      </c>
      <c r="C675" t="s">
        <v>117</v>
      </c>
    </row>
    <row r="676" spans="1:12" s="3" customFormat="1" ht="16.5">
      <c r="A676" s="32" t="s">
        <v>107</v>
      </c>
      <c r="B676" s="134" t="s">
        <v>1132</v>
      </c>
      <c r="C676" t="s">
        <v>32</v>
      </c>
    </row>
    <row r="677" spans="1:12" s="3" customFormat="1" ht="16.5">
      <c r="A677" s="32" t="s">
        <v>109</v>
      </c>
      <c r="B677" s="134" t="s">
        <v>1133</v>
      </c>
      <c r="C677" t="s">
        <v>32</v>
      </c>
    </row>
    <row r="678" spans="1:12" s="3" customFormat="1" ht="16.5">
      <c r="A678" s="32" t="s">
        <v>111</v>
      </c>
      <c r="B678" s="134" t="s">
        <v>1134</v>
      </c>
      <c r="C678" t="s">
        <v>32</v>
      </c>
    </row>
    <row r="679" spans="1:12" s="3" customFormat="1" ht="16.5">
      <c r="A679" s="32" t="s">
        <v>113</v>
      </c>
      <c r="B679" s="134" t="s">
        <v>1135</v>
      </c>
      <c r="C679" t="s">
        <v>32</v>
      </c>
      <c r="G679"/>
      <c r="H679"/>
      <c r="I679"/>
      <c r="J679"/>
      <c r="K679"/>
      <c r="L679"/>
    </row>
    <row r="680" spans="1:12" s="3" customFormat="1">
      <c r="A680" s="66" t="s">
        <v>105</v>
      </c>
      <c r="B680" s="134" t="s">
        <v>1136</v>
      </c>
      <c r="C680" t="s">
        <v>32</v>
      </c>
      <c r="G680"/>
      <c r="H680"/>
      <c r="I680"/>
      <c r="J680"/>
      <c r="K680"/>
      <c r="L680"/>
    </row>
    <row r="681" spans="1:12" s="3" customFormat="1">
      <c r="A681" s="66" t="s">
        <v>108</v>
      </c>
      <c r="B681" s="134" t="s">
        <v>1137</v>
      </c>
      <c r="C681" t="s">
        <v>32</v>
      </c>
      <c r="G681"/>
      <c r="H681"/>
      <c r="I681"/>
      <c r="J681"/>
      <c r="K681"/>
      <c r="L681"/>
    </row>
    <row r="682" spans="1:12" s="3" customFormat="1">
      <c r="A682" s="66" t="s">
        <v>110</v>
      </c>
      <c r="B682" s="134" t="s">
        <v>1138</v>
      </c>
      <c r="C682" t="s">
        <v>32</v>
      </c>
      <c r="G682"/>
      <c r="H682"/>
      <c r="I682"/>
      <c r="J682"/>
      <c r="K682"/>
      <c r="L682"/>
    </row>
    <row r="683" spans="1:12" s="3" customFormat="1">
      <c r="A683" s="66" t="s">
        <v>112</v>
      </c>
      <c r="B683" s="134" t="s">
        <v>1139</v>
      </c>
      <c r="C683" t="s">
        <v>127</v>
      </c>
      <c r="D683" s="65"/>
      <c r="E683" s="133"/>
      <c r="F683"/>
      <c r="G683"/>
      <c r="H683"/>
      <c r="I683"/>
      <c r="J683"/>
      <c r="K683"/>
      <c r="L683"/>
    </row>
    <row r="684" spans="1:12" s="3" customFormat="1">
      <c r="A684" s="66" t="s">
        <v>114</v>
      </c>
      <c r="B684" s="134" t="s">
        <v>1140</v>
      </c>
      <c r="C684" t="s">
        <v>32</v>
      </c>
      <c r="D684" s="65"/>
      <c r="E684" s="133"/>
      <c r="F684"/>
      <c r="G684"/>
      <c r="H684"/>
      <c r="I684"/>
      <c r="J684"/>
      <c r="K684"/>
      <c r="L684"/>
    </row>
    <row r="685" spans="1:12" s="3" customFormat="1" ht="16.5">
      <c r="A685" s="32" t="s">
        <v>115</v>
      </c>
      <c r="B685" s="134" t="s">
        <v>1141</v>
      </c>
      <c r="C685" t="s">
        <v>32</v>
      </c>
      <c r="D685" s="65"/>
      <c r="E685" s="133"/>
      <c r="F685"/>
      <c r="G685"/>
      <c r="H685"/>
      <c r="I685"/>
      <c r="J685"/>
      <c r="K685"/>
      <c r="L685"/>
    </row>
    <row r="686" spans="1:12" s="3" customFormat="1" ht="16.5">
      <c r="A686" s="32" t="s">
        <v>118</v>
      </c>
      <c r="B686" s="134" t="s">
        <v>1142</v>
      </c>
      <c r="C686" t="s">
        <v>32</v>
      </c>
      <c r="D686" s="65"/>
      <c r="E686" s="133"/>
      <c r="F686"/>
      <c r="G686"/>
      <c r="H686"/>
      <c r="I686"/>
      <c r="J686"/>
      <c r="K686"/>
      <c r="L686"/>
    </row>
    <row r="687" spans="1:12" s="3" customFormat="1" ht="16.5">
      <c r="A687" s="32" t="s">
        <v>120</v>
      </c>
      <c r="B687" s="134" t="s">
        <v>1143</v>
      </c>
      <c r="C687" t="s">
        <v>32</v>
      </c>
      <c r="D687" s="65"/>
      <c r="J687"/>
      <c r="K687"/>
      <c r="L687"/>
    </row>
    <row r="688" spans="1:12" s="3" customFormat="1" ht="16.5">
      <c r="A688" s="32" t="s">
        <v>122</v>
      </c>
      <c r="B688" s="134" t="s">
        <v>1144</v>
      </c>
      <c r="C688" t="s">
        <v>32</v>
      </c>
      <c r="D688" s="65"/>
      <c r="J688"/>
      <c r="K688"/>
      <c r="L688"/>
    </row>
    <row r="689" spans="1:12" s="3" customFormat="1">
      <c r="A689" s="8">
        <v>192</v>
      </c>
      <c r="B689" s="134" t="s">
        <v>1145</v>
      </c>
      <c r="C689" t="s">
        <v>32</v>
      </c>
      <c r="D689" s="65"/>
      <c r="J689"/>
      <c r="K689"/>
      <c r="L689"/>
    </row>
    <row r="690" spans="1:12" s="3" customFormat="1">
      <c r="A690" s="66" t="s">
        <v>116</v>
      </c>
      <c r="B690" s="134" t="s">
        <v>1146</v>
      </c>
      <c r="C690" t="s">
        <v>32</v>
      </c>
      <c r="D690" s="65"/>
      <c r="J690"/>
      <c r="K690"/>
      <c r="L690"/>
    </row>
    <row r="691" spans="1:12" s="3" customFormat="1">
      <c r="A691" s="66" t="s">
        <v>119</v>
      </c>
      <c r="B691" s="134" t="s">
        <v>1147</v>
      </c>
      <c r="C691" t="s">
        <v>138</v>
      </c>
      <c r="D691" s="65"/>
      <c r="E691" s="133"/>
      <c r="F691"/>
      <c r="G691"/>
      <c r="H691"/>
      <c r="I691"/>
      <c r="J691"/>
      <c r="K691"/>
      <c r="L691"/>
    </row>
    <row r="692" spans="1:12" s="3" customFormat="1">
      <c r="A692" s="66" t="s">
        <v>121</v>
      </c>
      <c r="B692" s="134" t="s">
        <v>1148</v>
      </c>
      <c r="C692" t="s">
        <v>32</v>
      </c>
      <c r="D692" s="65"/>
      <c r="E692" s="133"/>
      <c r="F692"/>
      <c r="G692"/>
      <c r="H692"/>
      <c r="I692"/>
      <c r="J692"/>
      <c r="K692"/>
      <c r="L692"/>
    </row>
    <row r="693" spans="1:12" s="3" customFormat="1">
      <c r="A693" s="66" t="s">
        <v>123</v>
      </c>
      <c r="B693" s="134" t="s">
        <v>1149</v>
      </c>
      <c r="C693" t="s">
        <v>32</v>
      </c>
      <c r="D693" s="65"/>
      <c r="E693" s="133"/>
      <c r="F693"/>
      <c r="G693"/>
      <c r="H693"/>
      <c r="I693"/>
      <c r="J693"/>
      <c r="K693"/>
      <c r="L693"/>
    </row>
    <row r="694" spans="1:12" s="3" customFormat="1">
      <c r="A694" s="66" t="s">
        <v>124</v>
      </c>
      <c r="B694" s="134" t="s">
        <v>1150</v>
      </c>
      <c r="C694" t="s">
        <v>32</v>
      </c>
      <c r="D694" s="65"/>
      <c r="E694" s="133"/>
      <c r="F694"/>
      <c r="G694"/>
      <c r="H694"/>
      <c r="I694"/>
      <c r="J694"/>
      <c r="K694"/>
      <c r="L694"/>
    </row>
    <row r="695" spans="1:12" s="3" customFormat="1" ht="16.5">
      <c r="A695" s="32" t="s">
        <v>125</v>
      </c>
      <c r="B695" s="134" t="s">
        <v>1151</v>
      </c>
      <c r="C695" t="s">
        <v>32</v>
      </c>
      <c r="D695" s="65"/>
      <c r="E695" s="133"/>
      <c r="F695"/>
      <c r="G695"/>
      <c r="H695"/>
      <c r="I695"/>
      <c r="J695"/>
      <c r="K695"/>
      <c r="L695"/>
    </row>
    <row r="696" spans="1:12" s="3" customFormat="1" ht="16.5">
      <c r="A696" s="32" t="s">
        <v>128</v>
      </c>
      <c r="B696" s="134" t="s">
        <v>325</v>
      </c>
      <c r="C696" t="s">
        <v>32</v>
      </c>
      <c r="D696" s="65"/>
      <c r="E696" s="133"/>
      <c r="F696"/>
      <c r="G696"/>
      <c r="H696"/>
      <c r="I696"/>
      <c r="J696"/>
      <c r="K696"/>
      <c r="L696"/>
    </row>
    <row r="697" spans="1:12" s="3" customFormat="1" ht="16.5">
      <c r="A697" s="32" t="s">
        <v>130</v>
      </c>
      <c r="B697" s="134" t="s">
        <v>1152</v>
      </c>
      <c r="C697" t="s">
        <v>32</v>
      </c>
      <c r="D697" s="65"/>
      <c r="E697" s="133"/>
      <c r="F697"/>
      <c r="G697"/>
      <c r="H697"/>
      <c r="I697"/>
      <c r="J697"/>
      <c r="K697"/>
      <c r="L697"/>
    </row>
    <row r="698" spans="1:12" s="3" customFormat="1" ht="16.5">
      <c r="A698" s="32" t="s">
        <v>132</v>
      </c>
      <c r="B698" s="134" t="s">
        <v>1153</v>
      </c>
      <c r="C698" t="s">
        <v>32</v>
      </c>
      <c r="D698" s="65"/>
      <c r="E698" s="133"/>
      <c r="F698"/>
      <c r="G698"/>
      <c r="H698"/>
      <c r="I698"/>
      <c r="J698"/>
      <c r="K698"/>
      <c r="L698"/>
    </row>
    <row r="699" spans="1:12" s="3" customFormat="1" ht="16.5">
      <c r="A699" s="32" t="s">
        <v>134</v>
      </c>
      <c r="B699" s="134" t="s">
        <v>1154</v>
      </c>
      <c r="C699" t="s">
        <v>149</v>
      </c>
      <c r="D699" s="65"/>
      <c r="E699" s="133"/>
      <c r="F699"/>
      <c r="G699"/>
      <c r="H699"/>
      <c r="I699"/>
      <c r="J699"/>
      <c r="K699"/>
      <c r="L699"/>
    </row>
    <row r="700" spans="1:12" s="3" customFormat="1">
      <c r="A700" s="66" t="s">
        <v>126</v>
      </c>
      <c r="B700" s="134" t="s">
        <v>1155</v>
      </c>
      <c r="C700" t="s">
        <v>32</v>
      </c>
      <c r="D700" s="65"/>
      <c r="E700" s="133"/>
      <c r="F700"/>
      <c r="G700"/>
      <c r="H700"/>
      <c r="I700"/>
      <c r="J700"/>
      <c r="K700"/>
      <c r="L700"/>
    </row>
    <row r="701" spans="1:12" s="3" customFormat="1">
      <c r="A701" s="66" t="s">
        <v>129</v>
      </c>
      <c r="B701" s="134" t="s">
        <v>1156</v>
      </c>
      <c r="C701" t="s">
        <v>32</v>
      </c>
      <c r="D701" s="65"/>
      <c r="E701" s="133"/>
      <c r="F701"/>
      <c r="G701"/>
      <c r="H701"/>
      <c r="I701"/>
      <c r="J701"/>
      <c r="K701"/>
      <c r="L701"/>
    </row>
    <row r="702" spans="1:12" s="3" customFormat="1">
      <c r="A702" s="66" t="s">
        <v>131</v>
      </c>
      <c r="B702" s="134" t="s">
        <v>1157</v>
      </c>
      <c r="C702" t="s">
        <v>32</v>
      </c>
      <c r="D702" s="65"/>
      <c r="E702" s="133"/>
      <c r="F702"/>
      <c r="G702"/>
      <c r="H702"/>
      <c r="I702"/>
      <c r="J702"/>
      <c r="K702"/>
      <c r="L702"/>
    </row>
    <row r="703" spans="1:12" s="3" customFormat="1">
      <c r="A703" s="66" t="s">
        <v>133</v>
      </c>
      <c r="B703" s="134" t="s">
        <v>1158</v>
      </c>
      <c r="C703" t="s">
        <v>32</v>
      </c>
      <c r="D703" s="65"/>
      <c r="E703" s="133"/>
      <c r="F703"/>
      <c r="G703"/>
      <c r="H703"/>
      <c r="I703"/>
      <c r="J703"/>
      <c r="K703"/>
      <c r="L703"/>
    </row>
    <row r="704" spans="1:12" s="3" customFormat="1">
      <c r="A704" s="66" t="s">
        <v>135</v>
      </c>
      <c r="B704" s="134" t="s">
        <v>1159</v>
      </c>
      <c r="C704" t="s">
        <v>32</v>
      </c>
      <c r="D704" s="65"/>
      <c r="E704" s="133"/>
      <c r="F704"/>
      <c r="G704"/>
      <c r="H704"/>
      <c r="I704"/>
      <c r="J704"/>
      <c r="K704"/>
      <c r="L704"/>
    </row>
    <row r="705" spans="1:12" s="3" customFormat="1" ht="16.5">
      <c r="A705" s="32" t="s">
        <v>136</v>
      </c>
      <c r="B705" s="134" t="s">
        <v>1160</v>
      </c>
      <c r="C705" t="s">
        <v>32</v>
      </c>
      <c r="D705" s="65"/>
      <c r="E705" s="133"/>
      <c r="F705"/>
      <c r="G705"/>
      <c r="H705"/>
      <c r="I705"/>
      <c r="J705"/>
      <c r="K705"/>
      <c r="L705"/>
    </row>
    <row r="706" spans="1:12" s="3" customFormat="1" ht="16.5">
      <c r="A706" s="32" t="s">
        <v>139</v>
      </c>
      <c r="B706" s="134" t="s">
        <v>1161</v>
      </c>
      <c r="C706" t="s">
        <v>32</v>
      </c>
      <c r="D706" s="65"/>
      <c r="E706" s="133"/>
      <c r="K706"/>
      <c r="L706"/>
    </row>
    <row r="707" spans="1:12" s="3" customFormat="1" ht="16.5">
      <c r="A707" s="32" t="s">
        <v>141</v>
      </c>
      <c r="B707" s="134" t="s">
        <v>1162</v>
      </c>
      <c r="C707" t="s">
        <v>158</v>
      </c>
      <c r="D707" s="65"/>
      <c r="E707" s="133"/>
      <c r="K707"/>
      <c r="L707"/>
    </row>
    <row r="708" spans="1:12" s="3" customFormat="1" ht="16.5">
      <c r="A708" s="32" t="s">
        <v>143</v>
      </c>
      <c r="B708" s="134" t="s">
        <v>1163</v>
      </c>
      <c r="C708" t="s">
        <v>32</v>
      </c>
      <c r="D708" s="65"/>
      <c r="E708" s="133"/>
      <c r="K708"/>
      <c r="L708"/>
    </row>
    <row r="709" spans="1:12" s="3" customFormat="1" ht="16.5">
      <c r="A709" s="32" t="s">
        <v>145</v>
      </c>
      <c r="B709" s="134" t="s">
        <v>1164</v>
      </c>
      <c r="C709" t="s">
        <v>32</v>
      </c>
      <c r="D709" s="65"/>
      <c r="E709" s="133"/>
      <c r="K709"/>
      <c r="L709"/>
    </row>
    <row r="710" spans="1:12" s="3" customFormat="1">
      <c r="A710" s="66" t="s">
        <v>137</v>
      </c>
      <c r="B710" s="134" t="s">
        <v>1165</v>
      </c>
      <c r="C710" t="s">
        <v>32</v>
      </c>
      <c r="D710" s="65"/>
      <c r="E710" s="133"/>
      <c r="F710"/>
      <c r="G710"/>
      <c r="H710"/>
      <c r="I710"/>
      <c r="J710"/>
      <c r="K710"/>
      <c r="L710"/>
    </row>
    <row r="711" spans="1:12" s="3" customFormat="1">
      <c r="A711" s="66" t="s">
        <v>140</v>
      </c>
      <c r="B711" s="134" t="s">
        <v>1166</v>
      </c>
      <c r="C711" t="s">
        <v>32</v>
      </c>
      <c r="D711" s="65"/>
      <c r="E711" s="133"/>
      <c r="F711"/>
      <c r="G711"/>
      <c r="H711"/>
      <c r="I711"/>
      <c r="J711"/>
      <c r="K711"/>
      <c r="L711"/>
    </row>
    <row r="712" spans="1:12" s="3" customFormat="1">
      <c r="A712" s="66" t="s">
        <v>142</v>
      </c>
      <c r="B712" s="134" t="s">
        <v>1167</v>
      </c>
      <c r="C712" t="s">
        <v>32</v>
      </c>
      <c r="D712" s="65"/>
      <c r="E712" s="133"/>
      <c r="F712"/>
      <c r="G712"/>
      <c r="H712"/>
      <c r="I712"/>
      <c r="J712"/>
      <c r="K712"/>
      <c r="L712"/>
    </row>
    <row r="713" spans="1:12" s="3" customFormat="1">
      <c r="A713" s="66" t="s">
        <v>144</v>
      </c>
      <c r="B713" s="134" t="s">
        <v>1168</v>
      </c>
      <c r="C713" t="s">
        <v>32</v>
      </c>
      <c r="D713" s="65"/>
      <c r="E713" s="133"/>
      <c r="F713"/>
      <c r="G713"/>
      <c r="H713"/>
      <c r="I713"/>
      <c r="J713"/>
      <c r="K713"/>
      <c r="L713"/>
    </row>
    <row r="714" spans="1:12" s="3" customFormat="1">
      <c r="A714" s="66" t="s">
        <v>146</v>
      </c>
      <c r="B714" s="134" t="s">
        <v>1169</v>
      </c>
      <c r="C714" t="s">
        <v>32</v>
      </c>
      <c r="D714" s="65"/>
      <c r="E714" s="133"/>
      <c r="F714"/>
      <c r="G714"/>
      <c r="H714"/>
      <c r="I714"/>
      <c r="J714"/>
      <c r="K714"/>
      <c r="L714"/>
    </row>
    <row r="715" spans="1:12" s="3" customFormat="1" ht="16.5">
      <c r="A715" s="32" t="s">
        <v>147</v>
      </c>
      <c r="B715" s="134" t="s">
        <v>1170</v>
      </c>
      <c r="C715" t="s">
        <v>241</v>
      </c>
      <c r="D715" s="65"/>
      <c r="E715" s="133"/>
      <c r="F715"/>
      <c r="G715"/>
      <c r="H715"/>
      <c r="I715"/>
      <c r="J715"/>
      <c r="K715"/>
      <c r="L715"/>
    </row>
    <row r="716" spans="1:12" s="3" customFormat="1" ht="16.5">
      <c r="A716" s="32" t="s">
        <v>151</v>
      </c>
      <c r="B716" s="134" t="s">
        <v>1171</v>
      </c>
      <c r="C716" t="s">
        <v>32</v>
      </c>
      <c r="D716" s="65"/>
      <c r="E716" s="133"/>
      <c r="F716"/>
      <c r="G716"/>
      <c r="H716"/>
      <c r="I716"/>
      <c r="J716"/>
      <c r="K716"/>
      <c r="L716"/>
    </row>
    <row r="717" spans="1:12" s="3" customFormat="1" ht="16.5">
      <c r="A717" s="32" t="s">
        <v>154</v>
      </c>
      <c r="B717" s="134" t="s">
        <v>1172</v>
      </c>
      <c r="C717" t="s">
        <v>32</v>
      </c>
      <c r="D717" s="65"/>
      <c r="E717" s="133"/>
      <c r="F717"/>
      <c r="G717"/>
      <c r="H717"/>
      <c r="I717"/>
      <c r="J717"/>
      <c r="K717"/>
      <c r="L717"/>
    </row>
    <row r="718" spans="1:12" s="3" customFormat="1" ht="16.5">
      <c r="A718" s="32" t="s">
        <v>156</v>
      </c>
      <c r="B718" s="134" t="s">
        <v>1173</v>
      </c>
      <c r="C718" t="s">
        <v>32</v>
      </c>
      <c r="D718" s="65"/>
      <c r="E718" s="133"/>
      <c r="F718"/>
      <c r="G718"/>
      <c r="H718"/>
      <c r="I718"/>
      <c r="J718"/>
      <c r="K718"/>
      <c r="L718"/>
    </row>
    <row r="719" spans="1:12" s="3" customFormat="1" ht="16.5">
      <c r="A719" s="32" t="s">
        <v>157</v>
      </c>
      <c r="B719" s="134" t="s">
        <v>1174</v>
      </c>
      <c r="C719" t="s">
        <v>32</v>
      </c>
      <c r="D719" s="65"/>
      <c r="E719" s="133"/>
      <c r="F719"/>
      <c r="G719"/>
      <c r="H719"/>
      <c r="I719"/>
      <c r="J719"/>
      <c r="K719"/>
      <c r="L719"/>
    </row>
    <row r="720" spans="1:12" s="3" customFormat="1">
      <c r="A720" s="66" t="s">
        <v>148</v>
      </c>
      <c r="B720" s="134" t="s">
        <v>1175</v>
      </c>
      <c r="C720" t="s">
        <v>32</v>
      </c>
      <c r="D720" s="65"/>
      <c r="E720" s="133"/>
      <c r="F720"/>
      <c r="G720"/>
      <c r="H720"/>
      <c r="I720"/>
      <c r="J720"/>
      <c r="K720"/>
      <c r="L720"/>
    </row>
    <row r="721" spans="1:20" s="3" customFormat="1">
      <c r="A721" s="8"/>
      <c r="B721" s="24"/>
      <c r="C721" t="s">
        <v>32</v>
      </c>
      <c r="D721" s="65"/>
      <c r="E721" s="133"/>
      <c r="F721"/>
      <c r="G721"/>
      <c r="H721"/>
      <c r="I721"/>
      <c r="J721"/>
      <c r="K721"/>
      <c r="L721"/>
    </row>
    <row r="722" spans="1:20" s="3" customFormat="1">
      <c r="A722" s="8"/>
      <c r="B722" s="24"/>
      <c r="C722" t="s">
        <v>32</v>
      </c>
      <c r="D722" s="65"/>
      <c r="J722"/>
      <c r="K722"/>
      <c r="L722"/>
    </row>
    <row r="723" spans="1:20" s="3" customFormat="1">
      <c r="A723" s="8"/>
      <c r="B723" s="24"/>
      <c r="C723" t="s">
        <v>242</v>
      </c>
      <c r="D723" s="65"/>
      <c r="J723"/>
      <c r="K723"/>
      <c r="L723"/>
    </row>
    <row r="724" spans="1:20" s="3" customFormat="1">
      <c r="A724" s="8"/>
      <c r="B724" s="24"/>
      <c r="C724" t="s">
        <v>152</v>
      </c>
      <c r="D724" s="65"/>
      <c r="J724"/>
      <c r="K724"/>
      <c r="L724"/>
    </row>
    <row r="725" spans="1:20" s="3" customFormat="1">
      <c r="A725" s="8"/>
      <c r="B725" s="24"/>
      <c r="C725" t="s">
        <v>152</v>
      </c>
      <c r="D725" s="65"/>
      <c r="J725"/>
      <c r="K725"/>
      <c r="L725"/>
    </row>
    <row r="726" spans="1:20" s="3" customFormat="1">
      <c r="A726" s="61"/>
      <c r="B726" s="24"/>
      <c r="C726" t="s">
        <v>152</v>
      </c>
      <c r="D726" s="65"/>
      <c r="E726" s="133"/>
      <c r="F726"/>
      <c r="G726"/>
      <c r="H726"/>
      <c r="I726"/>
      <c r="J726"/>
      <c r="K726"/>
      <c r="L726"/>
    </row>
    <row r="727" spans="1:20" s="3" customFormat="1">
      <c r="A727" s="61"/>
      <c r="B727" s="23"/>
      <c r="C727" t="s">
        <v>152</v>
      </c>
      <c r="D727" s="65"/>
      <c r="E727" s="133"/>
      <c r="F727"/>
      <c r="G727"/>
      <c r="H727"/>
      <c r="I727"/>
      <c r="J727"/>
      <c r="K727"/>
      <c r="L727"/>
    </row>
    <row r="728" spans="1:20" s="3" customFormat="1">
      <c r="A728" s="61"/>
      <c r="B728" s="23"/>
      <c r="C728" t="s">
        <v>152</v>
      </c>
      <c r="D728" s="65"/>
      <c r="E728" s="133"/>
      <c r="F728"/>
      <c r="G728"/>
      <c r="H728"/>
      <c r="I728"/>
      <c r="J728"/>
      <c r="K728"/>
      <c r="L728"/>
    </row>
    <row r="729" spans="1:20" s="3" customFormat="1">
      <c r="A729" s="67"/>
      <c r="B729" s="23"/>
      <c r="C729" t="s">
        <v>152</v>
      </c>
      <c r="D729" s="65"/>
      <c r="E729" s="133"/>
      <c r="F729"/>
      <c r="G729"/>
      <c r="H729"/>
      <c r="I729"/>
      <c r="J729"/>
      <c r="K729"/>
      <c r="L729"/>
    </row>
    <row r="730" spans="1:20" s="3" customFormat="1">
      <c r="A730" s="61"/>
      <c r="B730" s="23"/>
      <c r="C730" t="s">
        <v>152</v>
      </c>
      <c r="D730" s="65"/>
      <c r="E730" s="133"/>
      <c r="F730"/>
      <c r="G730"/>
      <c r="H730"/>
      <c r="I730"/>
      <c r="J730"/>
      <c r="K730"/>
      <c r="L730"/>
    </row>
    <row r="731" spans="1:20" s="3" customFormat="1">
      <c r="A731" t="s">
        <v>38</v>
      </c>
      <c r="B731" t="s">
        <v>32</v>
      </c>
      <c r="C731"/>
      <c r="D731"/>
      <c r="E731"/>
      <c r="F731"/>
      <c r="G731"/>
      <c r="H731"/>
      <c r="I731"/>
      <c r="J731"/>
      <c r="K731"/>
      <c r="L731"/>
    </row>
    <row r="732" spans="1:20" s="3" customFormat="1">
      <c r="A732" t="s">
        <v>1128</v>
      </c>
      <c r="B732"/>
      <c r="C732"/>
      <c r="D732"/>
      <c r="E732"/>
      <c r="F732"/>
      <c r="G732"/>
      <c r="H732"/>
      <c r="I732"/>
      <c r="J732"/>
      <c r="K732"/>
      <c r="L732"/>
    </row>
    <row r="733" spans="1:20" s="3" customFormat="1">
      <c r="A733" t="s">
        <v>1176</v>
      </c>
      <c r="B733" t="s">
        <v>1127</v>
      </c>
      <c r="C733"/>
      <c r="D733"/>
      <c r="G733"/>
      <c r="H733"/>
      <c r="I733"/>
      <c r="J733"/>
      <c r="K733"/>
      <c r="L733"/>
    </row>
    <row r="734" spans="1:20" s="3" customFormat="1">
      <c r="A734" s="8">
        <v>32</v>
      </c>
      <c r="B734" s="78" t="s">
        <v>1073</v>
      </c>
      <c r="C734" t="s">
        <v>58</v>
      </c>
      <c r="D734"/>
      <c r="E734" t="s">
        <v>162</v>
      </c>
      <c r="F734"/>
      <c r="G734"/>
      <c r="H734"/>
      <c r="T734"/>
    </row>
    <row r="735" spans="1:20" s="3" customFormat="1">
      <c r="A735" s="8">
        <v>33</v>
      </c>
      <c r="B735" s="78" t="s">
        <v>1062</v>
      </c>
      <c r="C735" t="s">
        <v>32</v>
      </c>
      <c r="D735"/>
      <c r="E735"/>
      <c r="F735"/>
      <c r="G735"/>
      <c r="H735"/>
      <c r="T735"/>
    </row>
    <row r="736" spans="1:20" s="3" customFormat="1">
      <c r="A736" s="8">
        <v>34</v>
      </c>
      <c r="B736" s="78" t="s">
        <v>1076</v>
      </c>
      <c r="C736" t="s">
        <v>32</v>
      </c>
      <c r="D736"/>
      <c r="E736" t="s">
        <v>150</v>
      </c>
      <c r="F736"/>
      <c r="G736"/>
      <c r="I736"/>
      <c r="T736"/>
    </row>
    <row r="737" spans="1:20" s="3" customFormat="1">
      <c r="A737" s="8">
        <v>35</v>
      </c>
      <c r="B737" s="78" t="s">
        <v>1070</v>
      </c>
      <c r="C737" t="s">
        <v>32</v>
      </c>
      <c r="D737"/>
      <c r="E737" t="s">
        <v>153</v>
      </c>
      <c r="F737"/>
      <c r="G737"/>
      <c r="I737"/>
      <c r="T737"/>
    </row>
    <row r="738" spans="1:20" s="3" customFormat="1">
      <c r="A738" s="8">
        <v>36</v>
      </c>
      <c r="B738" s="78" t="s">
        <v>1054</v>
      </c>
      <c r="C738" t="s">
        <v>32</v>
      </c>
      <c r="D738"/>
      <c r="E738"/>
      <c r="F738"/>
      <c r="G738"/>
      <c r="I738"/>
      <c r="T738"/>
    </row>
    <row r="739" spans="1:20" s="3" customFormat="1">
      <c r="A739" s="61">
        <v>37</v>
      </c>
      <c r="B739" s="78" t="s">
        <v>1178</v>
      </c>
      <c r="C739" t="s">
        <v>32</v>
      </c>
      <c r="D739"/>
      <c r="E739"/>
      <c r="F739"/>
      <c r="G739"/>
      <c r="I739"/>
      <c r="T739"/>
    </row>
    <row r="740" spans="1:20" s="3" customFormat="1">
      <c r="A740" s="61">
        <v>38</v>
      </c>
      <c r="B740" s="78" t="s">
        <v>1069</v>
      </c>
      <c r="C740" t="s">
        <v>32</v>
      </c>
      <c r="D740"/>
      <c r="E740"/>
      <c r="F740"/>
      <c r="G740"/>
      <c r="I740"/>
      <c r="T740"/>
    </row>
    <row r="741" spans="1:20" s="3" customFormat="1">
      <c r="A741" s="61">
        <v>39</v>
      </c>
      <c r="B741" s="78" t="s">
        <v>1068</v>
      </c>
      <c r="C741" t="s">
        <v>32</v>
      </c>
      <c r="D741"/>
      <c r="E741"/>
      <c r="F741"/>
      <c r="G741"/>
      <c r="I741"/>
      <c r="T741"/>
    </row>
    <row r="742" spans="1:20" s="3" customFormat="1">
      <c r="A742" s="61">
        <v>40</v>
      </c>
      <c r="B742" s="78" t="s">
        <v>1065</v>
      </c>
      <c r="C742" t="s">
        <v>73</v>
      </c>
      <c r="D742"/>
      <c r="E742"/>
      <c r="F742"/>
      <c r="G742"/>
      <c r="I742"/>
      <c r="T742"/>
    </row>
    <row r="743" spans="1:20" s="3" customFormat="1">
      <c r="A743" s="61">
        <v>41</v>
      </c>
      <c r="B743" s="78" t="s">
        <v>1123</v>
      </c>
      <c r="C743" t="s">
        <v>32</v>
      </c>
      <c r="D743"/>
      <c r="E743" t="s">
        <v>155</v>
      </c>
      <c r="F743"/>
      <c r="G743"/>
      <c r="I743"/>
      <c r="T743"/>
    </row>
    <row r="744" spans="1:20" s="3" customFormat="1">
      <c r="A744" s="8">
        <v>42</v>
      </c>
      <c r="B744" s="78" t="s">
        <v>1074</v>
      </c>
      <c r="C744" t="s">
        <v>32</v>
      </c>
      <c r="E744" t="s">
        <v>68</v>
      </c>
      <c r="F744"/>
      <c r="G744"/>
      <c r="I744"/>
      <c r="T744"/>
    </row>
    <row r="745" spans="1:20" s="3" customFormat="1">
      <c r="A745" s="8">
        <v>43</v>
      </c>
      <c r="B745" s="78" t="s">
        <v>1064</v>
      </c>
      <c r="C745" t="s">
        <v>32</v>
      </c>
      <c r="T745"/>
    </row>
    <row r="746" spans="1:20" s="3" customFormat="1">
      <c r="A746" s="8">
        <v>44</v>
      </c>
      <c r="B746" s="78" t="s">
        <v>1063</v>
      </c>
      <c r="C746" t="s">
        <v>32</v>
      </c>
      <c r="H746"/>
      <c r="I746"/>
      <c r="J746"/>
      <c r="K746"/>
      <c r="T746"/>
    </row>
    <row r="747" spans="1:20" s="3" customFormat="1">
      <c r="A747" s="8">
        <v>45</v>
      </c>
      <c r="B747" s="78" t="s">
        <v>1077</v>
      </c>
      <c r="C747" t="s">
        <v>32</v>
      </c>
      <c r="H747"/>
      <c r="I747"/>
      <c r="J747"/>
      <c r="K747"/>
      <c r="T747"/>
    </row>
    <row r="748" spans="1:20" s="3" customFormat="1">
      <c r="A748" s="8">
        <v>46</v>
      </c>
      <c r="B748" s="78" t="s">
        <v>1075</v>
      </c>
      <c r="C748" t="s">
        <v>32</v>
      </c>
      <c r="H748"/>
      <c r="I748"/>
      <c r="J748"/>
      <c r="K748"/>
      <c r="T748"/>
    </row>
    <row r="749" spans="1:20" s="3" customFormat="1">
      <c r="A749" s="61">
        <v>47</v>
      </c>
      <c r="B749" s="78" t="s">
        <v>1086</v>
      </c>
      <c r="C749" t="s">
        <v>32</v>
      </c>
      <c r="F749"/>
      <c r="H749"/>
      <c r="I749"/>
      <c r="J749"/>
      <c r="K749"/>
      <c r="T749"/>
    </row>
    <row r="750" spans="1:20" s="3" customFormat="1">
      <c r="A750" s="61">
        <v>48</v>
      </c>
      <c r="B750" s="78" t="s">
        <v>1089</v>
      </c>
      <c r="C750" t="s">
        <v>288</v>
      </c>
      <c r="D750"/>
      <c r="H750"/>
      <c r="I750"/>
      <c r="J750"/>
      <c r="K750"/>
      <c r="T750"/>
    </row>
    <row r="751" spans="1:20" s="3" customFormat="1">
      <c r="A751" s="61">
        <v>49</v>
      </c>
      <c r="B751" s="78" t="s">
        <v>1088</v>
      </c>
      <c r="C751" t="s">
        <v>32</v>
      </c>
      <c r="D751"/>
      <c r="H751"/>
      <c r="I751"/>
      <c r="J751"/>
      <c r="K751"/>
      <c r="T751"/>
    </row>
    <row r="752" spans="1:20" s="3" customFormat="1">
      <c r="A752" s="61">
        <v>50</v>
      </c>
      <c r="B752" s="78" t="s">
        <v>1087</v>
      </c>
      <c r="C752" t="s">
        <v>32</v>
      </c>
      <c r="H752"/>
      <c r="I752"/>
      <c r="J752"/>
      <c r="K752"/>
      <c r="T752"/>
    </row>
    <row r="753" spans="1:20" s="3" customFormat="1">
      <c r="A753" s="61">
        <v>51</v>
      </c>
      <c r="B753" s="78" t="s">
        <v>1055</v>
      </c>
      <c r="C753" t="s">
        <v>32</v>
      </c>
      <c r="H753"/>
      <c r="I753"/>
      <c r="J753"/>
      <c r="K753"/>
      <c r="T753"/>
    </row>
    <row r="754" spans="1:20" s="3" customFormat="1">
      <c r="A754" s="8">
        <v>52</v>
      </c>
      <c r="B754" s="78" t="s">
        <v>1067</v>
      </c>
      <c r="C754" t="s">
        <v>32</v>
      </c>
      <c r="H754"/>
      <c r="I754"/>
      <c r="J754"/>
      <c r="K754"/>
      <c r="T754"/>
    </row>
    <row r="755" spans="1:20" s="3" customFormat="1">
      <c r="A755" s="8">
        <v>53</v>
      </c>
      <c r="B755" s="78" t="s">
        <v>1179</v>
      </c>
      <c r="C755" t="s">
        <v>32</v>
      </c>
      <c r="H755"/>
      <c r="I755"/>
      <c r="J755"/>
      <c r="K755"/>
      <c r="T755"/>
    </row>
    <row r="756" spans="1:20" s="3" customFormat="1">
      <c r="A756" s="8">
        <v>54</v>
      </c>
      <c r="B756" s="78" t="s">
        <v>1180</v>
      </c>
      <c r="C756" t="s">
        <v>32</v>
      </c>
      <c r="H756"/>
      <c r="I756"/>
      <c r="J756"/>
      <c r="K756"/>
      <c r="T756"/>
    </row>
    <row r="757" spans="1:20" s="3" customFormat="1">
      <c r="A757" s="8">
        <v>55</v>
      </c>
      <c r="B757" s="78" t="s">
        <v>1066</v>
      </c>
      <c r="C757" t="s">
        <v>32</v>
      </c>
      <c r="F757"/>
      <c r="H757"/>
      <c r="I757"/>
      <c r="J757"/>
      <c r="K757"/>
      <c r="T757"/>
    </row>
    <row r="758" spans="1:20" s="3" customFormat="1">
      <c r="A758" s="8">
        <v>61</v>
      </c>
      <c r="B758" s="78" t="s">
        <v>1071</v>
      </c>
      <c r="C758" t="s">
        <v>253</v>
      </c>
      <c r="D758"/>
      <c r="H758"/>
      <c r="I758"/>
      <c r="J758"/>
      <c r="K758"/>
      <c r="T758"/>
    </row>
    <row r="759" spans="1:20" s="3" customFormat="1">
      <c r="A759" s="61">
        <v>62</v>
      </c>
      <c r="B759" s="78" t="s">
        <v>1072</v>
      </c>
      <c r="C759" t="s">
        <v>32</v>
      </c>
      <c r="D759"/>
      <c r="H759"/>
      <c r="I759"/>
      <c r="J759"/>
      <c r="K759"/>
      <c r="T759"/>
    </row>
    <row r="760" spans="1:20" s="3" customFormat="1">
      <c r="A760" s="61">
        <v>63</v>
      </c>
      <c r="B760" s="78" t="s">
        <v>1122</v>
      </c>
      <c r="C760" t="s">
        <v>32</v>
      </c>
      <c r="H760"/>
      <c r="I760"/>
      <c r="J760"/>
      <c r="K760"/>
      <c r="T760"/>
    </row>
    <row r="761" spans="1:20" s="3" customFormat="1">
      <c r="A761" s="61">
        <v>96</v>
      </c>
      <c r="B761" s="78" t="s">
        <v>1108</v>
      </c>
      <c r="C761" t="s">
        <v>32</v>
      </c>
      <c r="H761"/>
      <c r="I761"/>
      <c r="J761"/>
      <c r="K761"/>
      <c r="T761"/>
    </row>
    <row r="762" spans="1:20" s="3" customFormat="1">
      <c r="A762" s="61">
        <v>97</v>
      </c>
      <c r="B762" s="78" t="s">
        <v>1107</v>
      </c>
      <c r="C762" t="s">
        <v>32</v>
      </c>
      <c r="H762"/>
      <c r="I762"/>
      <c r="J762"/>
      <c r="K762"/>
      <c r="T762"/>
    </row>
    <row r="763" spans="1:20" s="3" customFormat="1">
      <c r="A763" s="61">
        <v>98</v>
      </c>
      <c r="B763" s="78" t="s">
        <v>1111</v>
      </c>
      <c r="C763" t="s">
        <v>32</v>
      </c>
      <c r="H763"/>
      <c r="I763"/>
      <c r="J763"/>
      <c r="K763"/>
      <c r="T763"/>
    </row>
    <row r="764" spans="1:20" s="3" customFormat="1">
      <c r="A764" s="8">
        <v>99</v>
      </c>
      <c r="B764" s="78" t="s">
        <v>1106</v>
      </c>
      <c r="C764" t="s">
        <v>32</v>
      </c>
      <c r="H764"/>
      <c r="I764"/>
      <c r="J764"/>
      <c r="K764"/>
    </row>
    <row r="765" spans="1:20" s="3" customFormat="1">
      <c r="A765" s="8">
        <v>100</v>
      </c>
      <c r="B765" s="78" t="s">
        <v>1105</v>
      </c>
      <c r="C765" t="s">
        <v>32</v>
      </c>
      <c r="F765"/>
      <c r="H765"/>
      <c r="I765"/>
      <c r="J765"/>
      <c r="K765"/>
      <c r="T765"/>
    </row>
    <row r="766" spans="1:20" s="3" customFormat="1">
      <c r="A766" s="8">
        <v>101</v>
      </c>
      <c r="B766" s="78" t="s">
        <v>1104</v>
      </c>
      <c r="C766" t="s">
        <v>254</v>
      </c>
      <c r="D766"/>
      <c r="H766"/>
      <c r="I766"/>
      <c r="J766"/>
      <c r="K766"/>
      <c r="T766"/>
    </row>
    <row r="767" spans="1:20" s="3" customFormat="1">
      <c r="A767" s="8">
        <v>102</v>
      </c>
      <c r="B767" s="77" t="s">
        <v>1103</v>
      </c>
      <c r="C767" t="s">
        <v>32</v>
      </c>
      <c r="D767"/>
      <c r="H767"/>
      <c r="I767"/>
      <c r="J767"/>
      <c r="K767"/>
      <c r="T767"/>
    </row>
    <row r="768" spans="1:20" s="3" customFormat="1">
      <c r="A768" s="8">
        <v>103</v>
      </c>
      <c r="B768" s="77" t="s">
        <v>1102</v>
      </c>
      <c r="C768" t="s">
        <v>32</v>
      </c>
      <c r="H768"/>
      <c r="I768"/>
      <c r="J768"/>
      <c r="K768"/>
      <c r="T768"/>
    </row>
    <row r="769" spans="1:20" s="3" customFormat="1">
      <c r="A769" s="61">
        <v>104</v>
      </c>
      <c r="B769" s="78" t="s">
        <v>1118</v>
      </c>
      <c r="C769" t="s">
        <v>32</v>
      </c>
      <c r="H769"/>
      <c r="I769"/>
      <c r="J769"/>
      <c r="K769"/>
      <c r="T769"/>
    </row>
    <row r="770" spans="1:20" s="3" customFormat="1">
      <c r="A770" s="61">
        <v>105</v>
      </c>
      <c r="B770" s="78" t="s">
        <v>1117</v>
      </c>
      <c r="C770" t="s">
        <v>32</v>
      </c>
      <c r="H770"/>
      <c r="I770"/>
      <c r="J770"/>
      <c r="K770"/>
      <c r="T770"/>
    </row>
    <row r="771" spans="1:20" s="3" customFormat="1">
      <c r="A771" s="61">
        <v>106</v>
      </c>
      <c r="B771" s="78" t="s">
        <v>1115</v>
      </c>
      <c r="C771" t="s">
        <v>32</v>
      </c>
      <c r="H771"/>
      <c r="I771"/>
      <c r="J771"/>
      <c r="K771"/>
      <c r="T771"/>
    </row>
    <row r="772" spans="1:20" s="3" customFormat="1">
      <c r="A772" s="61">
        <v>107</v>
      </c>
      <c r="B772" s="77" t="s">
        <v>1116</v>
      </c>
      <c r="C772" t="s">
        <v>32</v>
      </c>
      <c r="H772"/>
      <c r="I772"/>
      <c r="J772"/>
      <c r="K772"/>
      <c r="T772"/>
    </row>
    <row r="773" spans="1:20" s="3" customFormat="1">
      <c r="A773" s="61">
        <v>108</v>
      </c>
      <c r="B773" s="77" t="s">
        <v>1119</v>
      </c>
      <c r="C773" t="s">
        <v>32</v>
      </c>
      <c r="F773"/>
      <c r="H773"/>
      <c r="I773"/>
      <c r="J773"/>
      <c r="K773"/>
      <c r="T773"/>
    </row>
    <row r="774" spans="1:20" s="3" customFormat="1">
      <c r="A774" s="8">
        <v>109</v>
      </c>
      <c r="B774" s="77" t="s">
        <v>1114</v>
      </c>
      <c r="C774" t="s">
        <v>236</v>
      </c>
      <c r="D774"/>
      <c r="H774"/>
      <c r="I774"/>
      <c r="J774"/>
      <c r="K774"/>
      <c r="T774"/>
    </row>
    <row r="775" spans="1:20" s="3" customFormat="1">
      <c r="A775" s="8">
        <v>110</v>
      </c>
      <c r="B775" s="77" t="s">
        <v>1110</v>
      </c>
      <c r="C775" t="s">
        <v>32</v>
      </c>
      <c r="D775"/>
      <c r="H775"/>
      <c r="I775"/>
      <c r="J775"/>
      <c r="K775"/>
      <c r="T775"/>
    </row>
    <row r="776" spans="1:20" s="3" customFormat="1">
      <c r="A776" s="8">
        <v>111</v>
      </c>
      <c r="B776" s="77" t="s">
        <v>1109</v>
      </c>
      <c r="C776" t="s">
        <v>32</v>
      </c>
      <c r="H776"/>
      <c r="I776"/>
      <c r="J776"/>
      <c r="K776"/>
      <c r="T776"/>
    </row>
    <row r="777" spans="1:20" s="3" customFormat="1">
      <c r="A777" s="8">
        <v>160</v>
      </c>
      <c r="B777" s="77" t="s">
        <v>1181</v>
      </c>
      <c r="C777" t="s">
        <v>32</v>
      </c>
      <c r="H777"/>
      <c r="I777"/>
      <c r="J777"/>
      <c r="K777"/>
      <c r="T777"/>
    </row>
    <row r="778" spans="1:20" s="3" customFormat="1">
      <c r="A778" s="8">
        <v>161</v>
      </c>
      <c r="B778" s="77" t="s">
        <v>1182</v>
      </c>
      <c r="C778" t="s">
        <v>32</v>
      </c>
      <c r="H778"/>
      <c r="I778"/>
      <c r="J778"/>
      <c r="K778"/>
      <c r="T778"/>
    </row>
    <row r="779" spans="1:20" s="3" customFormat="1">
      <c r="A779" s="61">
        <v>162</v>
      </c>
      <c r="B779" s="77" t="s">
        <v>1183</v>
      </c>
      <c r="C779" t="s">
        <v>32</v>
      </c>
      <c r="H779"/>
      <c r="I779"/>
      <c r="J779"/>
      <c r="K779"/>
      <c r="T779"/>
    </row>
    <row r="780" spans="1:20" s="3" customFormat="1">
      <c r="A780" s="61">
        <v>163</v>
      </c>
      <c r="B780" s="77" t="s">
        <v>1184</v>
      </c>
      <c r="C780" t="s">
        <v>32</v>
      </c>
      <c r="H780"/>
      <c r="I780"/>
      <c r="J780"/>
      <c r="K780"/>
      <c r="T780"/>
    </row>
    <row r="781" spans="1:20" s="3" customFormat="1">
      <c r="A781" s="61">
        <v>164</v>
      </c>
      <c r="B781" s="77" t="s">
        <v>1185</v>
      </c>
      <c r="C781" t="s">
        <v>32</v>
      </c>
      <c r="F781"/>
      <c r="H781"/>
      <c r="I781"/>
      <c r="J781"/>
      <c r="K781"/>
      <c r="T781"/>
    </row>
    <row r="782" spans="1:20" s="3" customFormat="1">
      <c r="A782" s="61">
        <v>165</v>
      </c>
      <c r="B782" s="77" t="s">
        <v>1186</v>
      </c>
      <c r="C782" t="s">
        <v>237</v>
      </c>
      <c r="D782"/>
      <c r="H782"/>
      <c r="I782"/>
      <c r="J782"/>
      <c r="K782"/>
      <c r="T782"/>
    </row>
    <row r="783" spans="1:20" s="3" customFormat="1">
      <c r="A783" s="61">
        <v>166</v>
      </c>
      <c r="B783" s="77" t="s">
        <v>1187</v>
      </c>
      <c r="C783" t="s">
        <v>32</v>
      </c>
      <c r="D783"/>
      <c r="H783"/>
      <c r="I783"/>
      <c r="J783"/>
      <c r="K783"/>
      <c r="T783"/>
    </row>
    <row r="784" spans="1:20" s="3" customFormat="1">
      <c r="A784" s="8">
        <v>167</v>
      </c>
      <c r="B784" s="77" t="s">
        <v>1188</v>
      </c>
      <c r="C784" t="s">
        <v>32</v>
      </c>
      <c r="H784"/>
      <c r="I784"/>
      <c r="J784"/>
      <c r="K784"/>
      <c r="T784"/>
    </row>
    <row r="785" spans="1:20" s="3" customFormat="1">
      <c r="A785" s="8">
        <v>168</v>
      </c>
      <c r="B785" s="77" t="s">
        <v>1189</v>
      </c>
      <c r="C785" t="s">
        <v>32</v>
      </c>
      <c r="H785"/>
      <c r="I785"/>
      <c r="J785"/>
      <c r="K785"/>
      <c r="T785"/>
    </row>
    <row r="786" spans="1:20" s="3" customFormat="1">
      <c r="A786" s="8">
        <v>169</v>
      </c>
      <c r="B786" s="77" t="s">
        <v>1190</v>
      </c>
      <c r="C786" t="s">
        <v>32</v>
      </c>
      <c r="H786"/>
      <c r="I786"/>
      <c r="J786"/>
      <c r="K786"/>
      <c r="T786"/>
    </row>
    <row r="787" spans="1:20" s="3" customFormat="1">
      <c r="A787" s="8">
        <v>170</v>
      </c>
      <c r="B787" s="77" t="s">
        <v>1191</v>
      </c>
      <c r="C787" t="s">
        <v>32</v>
      </c>
      <c r="H787"/>
      <c r="I787"/>
      <c r="J787"/>
      <c r="K787"/>
      <c r="T787"/>
    </row>
    <row r="788" spans="1:20" s="3" customFormat="1">
      <c r="A788" s="8">
        <v>171</v>
      </c>
      <c r="B788" s="77" t="s">
        <v>1192</v>
      </c>
      <c r="C788" t="s">
        <v>32</v>
      </c>
      <c r="H788"/>
      <c r="I788"/>
      <c r="J788"/>
      <c r="K788"/>
      <c r="T788"/>
    </row>
    <row r="789" spans="1:20" s="3" customFormat="1">
      <c r="A789" s="61">
        <v>172</v>
      </c>
      <c r="B789" s="77" t="s">
        <v>1193</v>
      </c>
      <c r="C789" t="s">
        <v>32</v>
      </c>
      <c r="F789"/>
      <c r="H789"/>
      <c r="I789"/>
      <c r="J789"/>
      <c r="K789"/>
      <c r="T789"/>
    </row>
    <row r="790" spans="1:20" s="3" customFormat="1">
      <c r="A790" s="61">
        <v>173</v>
      </c>
      <c r="B790" s="77" t="s">
        <v>1194</v>
      </c>
      <c r="C790" t="s">
        <v>238</v>
      </c>
      <c r="D790"/>
      <c r="H790"/>
      <c r="I790"/>
      <c r="J790"/>
      <c r="K790"/>
      <c r="T790"/>
    </row>
    <row r="791" spans="1:20" s="3" customFormat="1">
      <c r="A791" s="61">
        <v>174</v>
      </c>
      <c r="B791" s="77" t="s">
        <v>1195</v>
      </c>
      <c r="C791" t="s">
        <v>32</v>
      </c>
      <c r="D791"/>
      <c r="H791"/>
      <c r="I791"/>
      <c r="J791"/>
      <c r="K791"/>
      <c r="T791"/>
    </row>
    <row r="792" spans="1:20" s="3" customFormat="1">
      <c r="A792" s="61">
        <v>175</v>
      </c>
      <c r="B792" s="77" t="s">
        <v>1196</v>
      </c>
      <c r="C792" t="s">
        <v>32</v>
      </c>
      <c r="H792"/>
      <c r="I792"/>
      <c r="J792"/>
      <c r="K792"/>
      <c r="T792"/>
    </row>
    <row r="793" spans="1:20" s="3" customFormat="1">
      <c r="A793" s="8"/>
      <c r="B793" s="8"/>
      <c r="C793" t="s">
        <v>32</v>
      </c>
      <c r="H793"/>
      <c r="I793"/>
      <c r="J793"/>
      <c r="K793"/>
      <c r="T793"/>
    </row>
    <row r="794" spans="1:20" s="3" customFormat="1">
      <c r="A794" s="8"/>
      <c r="B794" s="8"/>
      <c r="C794" t="s">
        <v>32</v>
      </c>
      <c r="H794"/>
      <c r="I794"/>
      <c r="J794"/>
      <c r="K794"/>
    </row>
    <row r="795" spans="1:20" s="3" customFormat="1">
      <c r="A795" s="8"/>
      <c r="B795" s="8"/>
      <c r="C795" t="s">
        <v>32</v>
      </c>
      <c r="H795"/>
      <c r="I795"/>
      <c r="J795"/>
      <c r="K795"/>
      <c r="T795"/>
    </row>
    <row r="796" spans="1:20" s="3" customFormat="1">
      <c r="A796" s="8"/>
      <c r="B796" s="8"/>
      <c r="C796" t="s">
        <v>32</v>
      </c>
      <c r="H796"/>
      <c r="I796"/>
      <c r="J796"/>
      <c r="K796"/>
      <c r="T796"/>
    </row>
    <row r="797" spans="1:20" s="3" customFormat="1">
      <c r="A797" s="8"/>
      <c r="B797" s="8"/>
      <c r="C797" t="s">
        <v>32</v>
      </c>
      <c r="F797"/>
      <c r="H797"/>
      <c r="I797"/>
      <c r="J797"/>
      <c r="K797"/>
      <c r="T797"/>
    </row>
    <row r="798" spans="1:20" s="3" customFormat="1">
      <c r="A798" s="8"/>
      <c r="B798" s="8"/>
      <c r="C798" t="s">
        <v>239</v>
      </c>
      <c r="D798"/>
      <c r="H798"/>
      <c r="I798"/>
      <c r="J798"/>
      <c r="K798"/>
      <c r="T798"/>
    </row>
    <row r="799" spans="1:20" s="3" customFormat="1">
      <c r="A799" s="8"/>
      <c r="B799" s="8"/>
      <c r="C799" t="s">
        <v>32</v>
      </c>
      <c r="D799"/>
      <c r="H799"/>
      <c r="I799"/>
      <c r="J799"/>
      <c r="K799"/>
      <c r="T799"/>
    </row>
    <row r="800" spans="1:20" s="3" customFormat="1">
      <c r="A800" s="8"/>
      <c r="B800" s="8"/>
      <c r="C800" t="s">
        <v>32</v>
      </c>
      <c r="H800"/>
      <c r="I800"/>
      <c r="J800"/>
      <c r="K800"/>
      <c r="T800"/>
    </row>
    <row r="801" spans="1:20" s="3" customFormat="1">
      <c r="A801" s="8"/>
      <c r="B801" s="8"/>
      <c r="C801" t="s">
        <v>32</v>
      </c>
      <c r="H801"/>
      <c r="I801"/>
      <c r="J801"/>
      <c r="K801"/>
      <c r="T801"/>
    </row>
    <row r="802" spans="1:20" s="3" customFormat="1">
      <c r="A802" s="8"/>
      <c r="B802" s="8"/>
      <c r="C802" t="s">
        <v>32</v>
      </c>
      <c r="H802"/>
      <c r="I802"/>
      <c r="J802"/>
      <c r="K802"/>
      <c r="T802"/>
    </row>
    <row r="803" spans="1:20" s="3" customFormat="1">
      <c r="A803" s="8"/>
      <c r="B803" s="8"/>
      <c r="C803" t="s">
        <v>32</v>
      </c>
      <c r="H803"/>
      <c r="I803"/>
      <c r="J803"/>
      <c r="K803"/>
      <c r="T803"/>
    </row>
    <row r="804" spans="1:20" s="3" customFormat="1">
      <c r="A804" s="8"/>
      <c r="B804" s="8"/>
      <c r="C804" t="s">
        <v>32</v>
      </c>
      <c r="H804"/>
      <c r="I804"/>
      <c r="J804"/>
      <c r="K804"/>
      <c r="T804"/>
    </row>
    <row r="805" spans="1:20" s="3" customFormat="1">
      <c r="A805" s="8"/>
      <c r="B805" s="8"/>
      <c r="C805" t="s">
        <v>32</v>
      </c>
      <c r="F805"/>
      <c r="H805"/>
      <c r="I805"/>
      <c r="J805"/>
      <c r="K805"/>
      <c r="T805"/>
    </row>
    <row r="806" spans="1:20" s="3" customFormat="1">
      <c r="A806" s="8"/>
      <c r="B806" s="8"/>
      <c r="C806" t="s">
        <v>240</v>
      </c>
      <c r="D806"/>
      <c r="H806"/>
      <c r="I806"/>
      <c r="J806"/>
      <c r="K806"/>
      <c r="T806"/>
    </row>
    <row r="807" spans="1:20" s="3" customFormat="1">
      <c r="A807" s="8"/>
      <c r="B807" s="8"/>
      <c r="C807" t="s">
        <v>32</v>
      </c>
      <c r="D807"/>
      <c r="H807"/>
      <c r="I807"/>
      <c r="J807"/>
      <c r="K807"/>
      <c r="T807"/>
    </row>
    <row r="808" spans="1:20" s="3" customFormat="1">
      <c r="A808" s="8"/>
      <c r="B808" s="8"/>
      <c r="C808" t="s">
        <v>32</v>
      </c>
      <c r="H808"/>
      <c r="I808"/>
      <c r="J808"/>
      <c r="K808"/>
      <c r="T808"/>
    </row>
    <row r="809" spans="1:20" s="3" customFormat="1">
      <c r="A809" s="8"/>
      <c r="B809" s="8"/>
      <c r="C809" t="s">
        <v>32</v>
      </c>
      <c r="H809"/>
      <c r="I809"/>
      <c r="J809"/>
      <c r="K809"/>
      <c r="T809"/>
    </row>
    <row r="810" spans="1:20" s="3" customFormat="1">
      <c r="A810" s="8"/>
      <c r="B810" s="8"/>
      <c r="C810" t="s">
        <v>32</v>
      </c>
      <c r="H810"/>
      <c r="I810"/>
      <c r="J810"/>
      <c r="K810"/>
      <c r="T810"/>
    </row>
    <row r="811" spans="1:20" s="3" customFormat="1">
      <c r="A811" s="8"/>
      <c r="B811" s="8"/>
      <c r="C811" t="s">
        <v>32</v>
      </c>
      <c r="H811"/>
      <c r="I811"/>
      <c r="J811"/>
      <c r="K811"/>
      <c r="T811"/>
    </row>
    <row r="812" spans="1:20" s="3" customFormat="1">
      <c r="A812" s="8"/>
      <c r="B812" s="8"/>
      <c r="C812" t="s">
        <v>32</v>
      </c>
      <c r="H812"/>
      <c r="I812"/>
      <c r="J812"/>
      <c r="K812"/>
      <c r="T812"/>
    </row>
    <row r="813" spans="1:20" s="3" customFormat="1">
      <c r="A813" s="8"/>
      <c r="B813" s="8"/>
      <c r="C813" t="s">
        <v>32</v>
      </c>
      <c r="F813"/>
      <c r="H813"/>
      <c r="I813"/>
      <c r="J813"/>
      <c r="K813"/>
      <c r="T813"/>
    </row>
    <row r="814" spans="1:20">
      <c r="A814" s="1" t="s">
        <v>2</v>
      </c>
      <c r="B814" s="55" t="s">
        <v>3</v>
      </c>
      <c r="I814" s="2" t="s">
        <v>306</v>
      </c>
    </row>
    <row r="815" spans="1:20">
      <c r="A815" s="6">
        <v>0</v>
      </c>
      <c r="B815" s="56">
        <v>0</v>
      </c>
      <c r="C815" s="6">
        <v>0</v>
      </c>
      <c r="D815" s="2" t="s">
        <v>3</v>
      </c>
      <c r="F815" s="2" t="s">
        <v>307</v>
      </c>
    </row>
    <row r="816" spans="1:20">
      <c r="A816" s="6">
        <v>0</v>
      </c>
      <c r="B816" s="56">
        <v>0</v>
      </c>
      <c r="C816" s="6">
        <v>0</v>
      </c>
      <c r="D816" s="2" t="s">
        <v>3</v>
      </c>
      <c r="F816" s="2" t="s">
        <v>281</v>
      </c>
    </row>
    <row r="817" spans="1:9">
      <c r="A817" s="6">
        <v>0</v>
      </c>
      <c r="B817" s="56">
        <v>0</v>
      </c>
      <c r="C817" s="6">
        <v>0</v>
      </c>
      <c r="D817" s="2" t="s">
        <v>3</v>
      </c>
      <c r="F817" s="2" t="s">
        <v>308</v>
      </c>
    </row>
    <row r="818" spans="1:9">
      <c r="A818" s="69" t="s">
        <v>290</v>
      </c>
      <c r="B818" s="2" t="s">
        <v>3</v>
      </c>
      <c r="F818" s="2" t="s">
        <v>11</v>
      </c>
    </row>
    <row r="819" spans="1:9">
      <c r="A819" s="69" t="s">
        <v>290</v>
      </c>
      <c r="B819" s="2" t="s">
        <v>3</v>
      </c>
      <c r="F819" s="2" t="s">
        <v>11</v>
      </c>
    </row>
    <row r="820" spans="1:9">
      <c r="A820" s="69" t="s">
        <v>290</v>
      </c>
      <c r="B820" s="2" t="s">
        <v>3</v>
      </c>
      <c r="F820" s="2" t="s">
        <v>11</v>
      </c>
    </row>
    <row r="821" spans="1:9">
      <c r="A821" s="69" t="s">
        <v>290</v>
      </c>
      <c r="B821" s="2" t="s">
        <v>3</v>
      </c>
      <c r="F821" s="2" t="s">
        <v>11</v>
      </c>
    </row>
    <row r="822" spans="1:9">
      <c r="A822" s="69" t="s">
        <v>309</v>
      </c>
      <c r="B822" s="2" t="s">
        <v>3</v>
      </c>
      <c r="F822" s="2" t="s">
        <v>11</v>
      </c>
    </row>
    <row r="823" spans="1:9">
      <c r="A823" s="69" t="s">
        <v>290</v>
      </c>
      <c r="B823" s="2" t="s">
        <v>3</v>
      </c>
      <c r="F823" s="2" t="s">
        <v>11</v>
      </c>
    </row>
    <row r="824" spans="1:9">
      <c r="A824" s="69" t="s">
        <v>290</v>
      </c>
      <c r="B824" s="2" t="s">
        <v>3</v>
      </c>
      <c r="F824" s="2" t="s">
        <v>11</v>
      </c>
    </row>
    <row r="825" spans="1:9">
      <c r="A825" s="2" t="s">
        <v>176</v>
      </c>
      <c r="B825" s="2" t="s">
        <v>3</v>
      </c>
    </row>
    <row r="826" spans="1:9">
      <c r="A826" s="2" t="s">
        <v>310</v>
      </c>
    </row>
    <row r="827" spans="1:9">
      <c r="A827" s="6">
        <f>HEX2DEC(40)</f>
        <v>64</v>
      </c>
      <c r="B827" s="6">
        <f>HEX2DEC(80)</f>
        <v>128</v>
      </c>
      <c r="C827" s="6">
        <f>HEX2DEC(30)</f>
        <v>48</v>
      </c>
      <c r="D827" s="6">
        <f>HEX2DEC(30)</f>
        <v>48</v>
      </c>
      <c r="E827" s="6">
        <f>HEX2DEC(30)</f>
        <v>48</v>
      </c>
      <c r="F827" s="6">
        <v>0</v>
      </c>
      <c r="G827" s="6">
        <v>0</v>
      </c>
      <c r="H827" s="6">
        <v>0</v>
      </c>
      <c r="I827" t="s">
        <v>311</v>
      </c>
    </row>
    <row r="828" spans="1:9">
      <c r="A828" s="6">
        <f t="shared" ref="A828:A834" si="15">HEX2DEC(40)</f>
        <v>64</v>
      </c>
      <c r="B828" s="6">
        <f t="shared" ref="B828:B834" si="16">HEX2DEC(80)</f>
        <v>128</v>
      </c>
      <c r="C828" s="6">
        <f t="shared" ref="C828:E834" si="17">HEX2DEC(30)</f>
        <v>48</v>
      </c>
      <c r="D828" s="6">
        <f t="shared" si="17"/>
        <v>48</v>
      </c>
      <c r="E828" s="6">
        <f t="shared" si="17"/>
        <v>48</v>
      </c>
      <c r="F828" s="6">
        <v>0</v>
      </c>
      <c r="G828" s="6">
        <v>0</v>
      </c>
      <c r="H828" s="6">
        <v>0</v>
      </c>
      <c r="I828" t="s">
        <v>312</v>
      </c>
    </row>
    <row r="829" spans="1:9">
      <c r="A829" s="6">
        <f t="shared" si="15"/>
        <v>64</v>
      </c>
      <c r="B829" s="6">
        <f t="shared" si="16"/>
        <v>128</v>
      </c>
      <c r="C829" s="6">
        <f t="shared" si="17"/>
        <v>48</v>
      </c>
      <c r="D829" s="6">
        <f t="shared" si="17"/>
        <v>48</v>
      </c>
      <c r="E829" s="6">
        <f t="shared" si="17"/>
        <v>48</v>
      </c>
      <c r="F829" s="6">
        <v>0</v>
      </c>
      <c r="G829" s="6">
        <v>0</v>
      </c>
      <c r="H829" s="6">
        <v>0</v>
      </c>
      <c r="I829" t="s">
        <v>313</v>
      </c>
    </row>
    <row r="830" spans="1:9">
      <c r="A830" s="6">
        <f t="shared" si="15"/>
        <v>64</v>
      </c>
      <c r="B830" s="6">
        <f t="shared" si="16"/>
        <v>128</v>
      </c>
      <c r="C830" s="6">
        <f t="shared" si="17"/>
        <v>48</v>
      </c>
      <c r="D830" s="6">
        <f t="shared" si="17"/>
        <v>48</v>
      </c>
      <c r="E830" s="6">
        <f t="shared" si="17"/>
        <v>48</v>
      </c>
      <c r="F830" s="6">
        <v>0</v>
      </c>
      <c r="G830" s="6">
        <v>0</v>
      </c>
      <c r="H830" s="6">
        <v>0</v>
      </c>
      <c r="I830" t="s">
        <v>314</v>
      </c>
    </row>
    <row r="831" spans="1:9">
      <c r="A831" s="6">
        <f t="shared" si="15"/>
        <v>64</v>
      </c>
      <c r="B831" s="6">
        <f t="shared" si="16"/>
        <v>128</v>
      </c>
      <c r="C831" s="6">
        <f t="shared" si="17"/>
        <v>48</v>
      </c>
      <c r="D831" s="6">
        <f t="shared" si="17"/>
        <v>48</v>
      </c>
      <c r="E831" s="6">
        <f t="shared" si="17"/>
        <v>48</v>
      </c>
      <c r="F831" s="6">
        <v>0</v>
      </c>
      <c r="G831" s="6">
        <v>0</v>
      </c>
      <c r="H831" s="6">
        <v>0</v>
      </c>
      <c r="I831" t="s">
        <v>315</v>
      </c>
    </row>
    <row r="832" spans="1:9">
      <c r="A832" s="6">
        <f t="shared" si="15"/>
        <v>64</v>
      </c>
      <c r="B832" s="6">
        <f t="shared" si="16"/>
        <v>128</v>
      </c>
      <c r="C832" s="6">
        <f t="shared" si="17"/>
        <v>48</v>
      </c>
      <c r="D832" s="6">
        <f t="shared" si="17"/>
        <v>48</v>
      </c>
      <c r="E832" s="6">
        <f t="shared" si="17"/>
        <v>48</v>
      </c>
      <c r="F832" s="6">
        <v>0</v>
      </c>
      <c r="G832" s="6">
        <v>0</v>
      </c>
      <c r="H832" s="6">
        <v>0</v>
      </c>
      <c r="I832" t="s">
        <v>186</v>
      </c>
    </row>
    <row r="833" spans="1:9">
      <c r="A833" s="6">
        <f t="shared" si="15"/>
        <v>64</v>
      </c>
      <c r="B833" s="6">
        <f t="shared" si="16"/>
        <v>128</v>
      </c>
      <c r="C833" s="6">
        <f t="shared" si="17"/>
        <v>48</v>
      </c>
      <c r="D833" s="6">
        <f t="shared" si="17"/>
        <v>48</v>
      </c>
      <c r="E833" s="6">
        <f t="shared" si="17"/>
        <v>48</v>
      </c>
      <c r="F833" s="6">
        <v>0</v>
      </c>
      <c r="G833" s="6">
        <v>0</v>
      </c>
      <c r="H833" s="6">
        <v>0</v>
      </c>
      <c r="I833" t="s">
        <v>187</v>
      </c>
    </row>
    <row r="834" spans="1:9">
      <c r="A834" s="6">
        <f t="shared" si="15"/>
        <v>64</v>
      </c>
      <c r="B834" s="6">
        <f t="shared" si="16"/>
        <v>128</v>
      </c>
      <c r="C834" s="6">
        <f t="shared" si="17"/>
        <v>48</v>
      </c>
      <c r="D834" s="6">
        <f t="shared" si="17"/>
        <v>48</v>
      </c>
      <c r="E834" s="6">
        <f t="shared" si="17"/>
        <v>48</v>
      </c>
      <c r="F834" s="6">
        <v>0</v>
      </c>
      <c r="G834" s="6">
        <v>0</v>
      </c>
      <c r="H834" s="6">
        <v>0</v>
      </c>
      <c r="I834" t="s">
        <v>188</v>
      </c>
    </row>
    <row r="835" spans="1:9">
      <c r="A835" s="1" t="s">
        <v>2</v>
      </c>
      <c r="B835" s="55" t="s">
        <v>3</v>
      </c>
      <c r="I835" s="2" t="s">
        <v>316</v>
      </c>
    </row>
    <row r="836" spans="1:9">
      <c r="A836" s="6">
        <v>0</v>
      </c>
      <c r="B836" s="56">
        <v>0</v>
      </c>
      <c r="C836" s="6">
        <v>0</v>
      </c>
      <c r="D836" s="2" t="s">
        <v>3</v>
      </c>
      <c r="F836" s="2" t="s">
        <v>307</v>
      </c>
    </row>
    <row r="837" spans="1:9">
      <c r="A837" s="6">
        <v>0</v>
      </c>
      <c r="B837" s="56">
        <v>0</v>
      </c>
      <c r="C837" s="6">
        <v>0</v>
      </c>
      <c r="D837" s="2" t="s">
        <v>3</v>
      </c>
      <c r="F837" s="2" t="s">
        <v>281</v>
      </c>
    </row>
    <row r="838" spans="1:9">
      <c r="A838" s="6">
        <v>0</v>
      </c>
      <c r="B838" s="2" t="s">
        <v>3</v>
      </c>
      <c r="C838" s="7"/>
      <c r="D838" s="2"/>
      <c r="F838" s="2"/>
    </row>
    <row r="839" spans="1:9">
      <c r="A839" s="6">
        <v>0</v>
      </c>
      <c r="B839" s="2" t="s">
        <v>3</v>
      </c>
      <c r="C839" s="7"/>
      <c r="D839" s="2"/>
      <c r="F839" s="2"/>
    </row>
    <row r="840" spans="1:9">
      <c r="A840" s="1" t="s">
        <v>2</v>
      </c>
      <c r="B840" s="55" t="s">
        <v>3</v>
      </c>
      <c r="I840" s="2" t="s">
        <v>317</v>
      </c>
    </row>
    <row r="841" spans="1:9">
      <c r="A841" s="6">
        <v>0</v>
      </c>
      <c r="B841" s="56">
        <v>0</v>
      </c>
      <c r="C841" s="6">
        <v>0</v>
      </c>
      <c r="D841" s="2" t="s">
        <v>3</v>
      </c>
      <c r="F841" s="2" t="s">
        <v>318</v>
      </c>
    </row>
    <row r="842" spans="1:9">
      <c r="A842" s="6">
        <v>0</v>
      </c>
      <c r="B842" s="56">
        <v>0</v>
      </c>
      <c r="C842" s="6">
        <v>0</v>
      </c>
      <c r="D842" s="2" t="s">
        <v>3</v>
      </c>
      <c r="F842" s="2" t="s">
        <v>319</v>
      </c>
    </row>
    <row r="843" spans="1:9">
      <c r="A843" s="6">
        <v>0</v>
      </c>
      <c r="B843" s="2" t="s">
        <v>3</v>
      </c>
      <c r="C843" s="7"/>
      <c r="D843" s="2"/>
      <c r="F843" s="2"/>
    </row>
    <row r="844" spans="1:9">
      <c r="A844" s="6">
        <v>0</v>
      </c>
      <c r="B844" s="2" t="s">
        <v>3</v>
      </c>
      <c r="C844" s="7"/>
      <c r="D844" s="2"/>
      <c r="F844" s="2"/>
    </row>
    <row r="845" spans="1:9">
      <c r="A845" s="1" t="s">
        <v>2</v>
      </c>
      <c r="B845" s="55" t="s">
        <v>3</v>
      </c>
      <c r="I845" s="2" t="s">
        <v>320</v>
      </c>
    </row>
    <row r="846" spans="1:9">
      <c r="A846" s="6">
        <v>0</v>
      </c>
      <c r="B846" s="56">
        <v>0</v>
      </c>
      <c r="C846" s="6">
        <v>0</v>
      </c>
      <c r="D846" s="2" t="s">
        <v>3</v>
      </c>
      <c r="F846" s="2" t="s">
        <v>321</v>
      </c>
    </row>
    <row r="847" spans="1:9">
      <c r="A847" s="6">
        <v>0</v>
      </c>
      <c r="B847" s="56">
        <v>0</v>
      </c>
      <c r="C847" s="6">
        <v>0</v>
      </c>
      <c r="D847" s="2" t="s">
        <v>3</v>
      </c>
      <c r="F847" s="2" t="s">
        <v>322</v>
      </c>
    </row>
    <row r="848" spans="1:9">
      <c r="A848" s="6">
        <v>0</v>
      </c>
      <c r="B848" s="56">
        <v>0</v>
      </c>
      <c r="C848" s="6">
        <v>0</v>
      </c>
      <c r="D848" s="2" t="s">
        <v>3</v>
      </c>
      <c r="F848" s="2" t="s">
        <v>323</v>
      </c>
    </row>
    <row r="849" spans="1:17">
      <c r="A849" s="6">
        <v>0</v>
      </c>
      <c r="B849" s="2" t="s">
        <v>3</v>
      </c>
      <c r="C849" s="7"/>
      <c r="D849" s="2"/>
      <c r="F849" s="2" t="s">
        <v>11</v>
      </c>
    </row>
    <row r="850" spans="1:17">
      <c r="A850" s="6">
        <v>0</v>
      </c>
      <c r="B850" s="2" t="s">
        <v>3</v>
      </c>
      <c r="C850" s="7"/>
      <c r="D850" s="2"/>
      <c r="F850" s="2" t="s">
        <v>11</v>
      </c>
    </row>
    <row r="851" spans="1:17">
      <c r="A851" s="6">
        <v>0</v>
      </c>
      <c r="B851" s="2" t="s">
        <v>3</v>
      </c>
      <c r="C851" s="7"/>
      <c r="D851" s="2"/>
      <c r="F851" s="2" t="s">
        <v>11</v>
      </c>
    </row>
    <row r="852" spans="1:17">
      <c r="A852" s="6">
        <v>0</v>
      </c>
      <c r="B852" s="2" t="s">
        <v>3</v>
      </c>
      <c r="C852" s="7"/>
      <c r="D852" s="2"/>
      <c r="F852" s="2" t="s">
        <v>11</v>
      </c>
    </row>
    <row r="853" spans="1:17">
      <c r="A853" s="6">
        <v>0</v>
      </c>
      <c r="B853" s="2" t="s">
        <v>3</v>
      </c>
      <c r="C853" s="7"/>
      <c r="D853" s="2"/>
      <c r="F853" s="2" t="s">
        <v>11</v>
      </c>
    </row>
    <row r="854" spans="1:17">
      <c r="A854" s="6">
        <v>0</v>
      </c>
      <c r="B854" s="2" t="s">
        <v>3</v>
      </c>
      <c r="C854" s="7"/>
      <c r="D854" s="2"/>
      <c r="F854" s="2" t="s">
        <v>11</v>
      </c>
    </row>
    <row r="855" spans="1:17">
      <c r="A855" s="6">
        <v>0</v>
      </c>
      <c r="B855" s="2" t="s">
        <v>3</v>
      </c>
      <c r="C855" s="7"/>
      <c r="D855" s="2"/>
      <c r="F855" s="2" t="s">
        <v>11</v>
      </c>
    </row>
    <row r="856" spans="1:17">
      <c r="A856" s="10" t="s">
        <v>277</v>
      </c>
      <c r="B856" s="54">
        <f>B418+1</f>
        <v>9</v>
      </c>
      <c r="C856" s="10" t="s">
        <v>324</v>
      </c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</row>
    <row r="857" spans="1:17">
      <c r="A857" s="1" t="s">
        <v>2</v>
      </c>
      <c r="B857" s="55" t="s">
        <v>3</v>
      </c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spans="1:17">
      <c r="A858" s="6">
        <v>64</v>
      </c>
      <c r="B858" s="56">
        <v>120</v>
      </c>
      <c r="C858" s="6">
        <v>192</v>
      </c>
      <c r="D858" s="2" t="s">
        <v>3</v>
      </c>
      <c r="E858" s="3"/>
      <c r="F858" s="3" t="s">
        <v>326</v>
      </c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spans="1:17">
      <c r="A859" s="6">
        <v>0</v>
      </c>
      <c r="B859" s="63" t="s">
        <v>3</v>
      </c>
      <c r="C859" s="7"/>
      <c r="D859" s="2"/>
      <c r="E859" s="3"/>
      <c r="F859" s="3" t="s">
        <v>11</v>
      </c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spans="1:17">
      <c r="A860" s="6">
        <v>0</v>
      </c>
      <c r="B860" s="63" t="s">
        <v>3</v>
      </c>
      <c r="C860" s="7"/>
      <c r="D860" s="2"/>
      <c r="E860" s="3"/>
      <c r="F860" s="3" t="s">
        <v>11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spans="1:17">
      <c r="A861" s="6">
        <v>0</v>
      </c>
      <c r="B861" s="63" t="s">
        <v>3</v>
      </c>
      <c r="C861" s="7"/>
      <c r="D861" s="2"/>
      <c r="E861" s="3"/>
      <c r="F861" s="3" t="s">
        <v>11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spans="1:17">
      <c r="A862" s="6">
        <v>0</v>
      </c>
      <c r="B862" s="63" t="s">
        <v>3</v>
      </c>
      <c r="C862" s="7"/>
      <c r="D862" s="2"/>
      <c r="E862" s="3"/>
      <c r="F862" s="3" t="s">
        <v>11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spans="1:17">
      <c r="A863" s="6">
        <v>0</v>
      </c>
      <c r="B863" s="63" t="s">
        <v>3</v>
      </c>
      <c r="C863" s="7"/>
      <c r="D863" s="2"/>
      <c r="E863" s="3"/>
      <c r="F863" s="3" t="s">
        <v>11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spans="1:17">
      <c r="A864" s="22" t="s">
        <v>3</v>
      </c>
      <c r="C864" s="7"/>
      <c r="D864" s="2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spans="1:16">
      <c r="A865" s="10" t="s">
        <v>277</v>
      </c>
      <c r="B865" s="54">
        <f>B856+1</f>
        <v>10</v>
      </c>
      <c r="C865" s="10" t="s">
        <v>327</v>
      </c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</row>
    <row r="866" spans="1:16">
      <c r="A866" s="1" t="s">
        <v>2</v>
      </c>
      <c r="B866" s="55" t="s">
        <v>3</v>
      </c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spans="1:16">
      <c r="A867" s="6">
        <v>64</v>
      </c>
      <c r="B867" s="56">
        <v>120</v>
      </c>
      <c r="C867" s="6">
        <v>192</v>
      </c>
      <c r="D867" s="2" t="s">
        <v>3</v>
      </c>
      <c r="E867" s="3"/>
      <c r="F867" s="3" t="s">
        <v>328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spans="1:16">
      <c r="A868" s="6">
        <v>0</v>
      </c>
      <c r="B868" s="63" t="s">
        <v>3</v>
      </c>
      <c r="C868" s="7"/>
      <c r="D868" s="2"/>
      <c r="E868" s="3"/>
      <c r="F868" s="3" t="s">
        <v>11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spans="1:16">
      <c r="A869" s="6">
        <v>0</v>
      </c>
      <c r="B869" s="63" t="s">
        <v>3</v>
      </c>
      <c r="C869" s="7"/>
      <c r="D869" s="2"/>
      <c r="E869" s="3"/>
      <c r="F869" s="3" t="s">
        <v>11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spans="1:16">
      <c r="A870" s="6">
        <v>0</v>
      </c>
      <c r="B870" s="63" t="s">
        <v>3</v>
      </c>
      <c r="C870" s="7"/>
      <c r="D870" s="2"/>
      <c r="E870" s="3"/>
      <c r="F870" s="3" t="s">
        <v>11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spans="1:16">
      <c r="A871" s="6">
        <v>0</v>
      </c>
      <c r="B871" s="63" t="s">
        <v>3</v>
      </c>
      <c r="C871" s="7"/>
      <c r="D871" s="2"/>
      <c r="E871" s="3"/>
      <c r="F871" s="3" t="s">
        <v>11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spans="1:16">
      <c r="A872" s="6">
        <v>0</v>
      </c>
      <c r="B872" s="63" t="s">
        <v>3</v>
      </c>
      <c r="C872" s="7"/>
      <c r="D872" s="2"/>
      <c r="E872" s="3"/>
      <c r="F872" s="3" t="s">
        <v>11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spans="1:16" ht="16.5">
      <c r="A873" s="35" t="s">
        <v>990</v>
      </c>
      <c r="B873" s="70"/>
      <c r="D873" s="33"/>
      <c r="E873" s="33"/>
    </row>
    <row r="874" spans="1:16">
      <c r="A874" s="37" t="s">
        <v>1535</v>
      </c>
      <c r="B874" s="70" t="s">
        <v>329</v>
      </c>
      <c r="C874" t="s">
        <v>988</v>
      </c>
      <c r="D874" s="189" t="s">
        <v>1536</v>
      </c>
      <c r="E874" s="189" t="s">
        <v>1537</v>
      </c>
      <c r="F874" s="34"/>
      <c r="J874" s="127"/>
    </row>
    <row r="875" spans="1:16">
      <c r="A875" s="79">
        <v>1</v>
      </c>
      <c r="B875" s="79">
        <v>1543</v>
      </c>
      <c r="C875" s="118" t="s">
        <v>1538</v>
      </c>
      <c r="D875" s="190">
        <v>11</v>
      </c>
      <c r="E875" s="190">
        <v>75</v>
      </c>
      <c r="F875" t="s">
        <v>989</v>
      </c>
      <c r="G875" s="38" t="s">
        <v>1539</v>
      </c>
      <c r="J875" s="191"/>
    </row>
    <row r="876" spans="1:16">
      <c r="A876" s="79">
        <v>2</v>
      </c>
      <c r="B876" s="79">
        <v>1542</v>
      </c>
      <c r="C876" s="118" t="s">
        <v>925</v>
      </c>
      <c r="D876" s="190">
        <v>12</v>
      </c>
      <c r="E876" s="190">
        <v>76</v>
      </c>
      <c r="F876" t="s">
        <v>989</v>
      </c>
      <c r="G876" s="38" t="s">
        <v>330</v>
      </c>
      <c r="J876" s="191"/>
    </row>
    <row r="877" spans="1:16">
      <c r="A877" s="79">
        <v>3</v>
      </c>
      <c r="B877" s="79">
        <v>1541</v>
      </c>
      <c r="C877" s="118" t="s">
        <v>926</v>
      </c>
      <c r="D877" s="190">
        <v>13</v>
      </c>
      <c r="E877" s="190">
        <v>77</v>
      </c>
      <c r="F877" t="s">
        <v>1540</v>
      </c>
      <c r="G877" s="38" t="s">
        <v>1541</v>
      </c>
      <c r="J877" s="191"/>
    </row>
    <row r="878" spans="1:16">
      <c r="A878" s="79">
        <v>4</v>
      </c>
      <c r="B878" s="79">
        <v>1540</v>
      </c>
      <c r="C878" s="118" t="s">
        <v>927</v>
      </c>
      <c r="D878" s="190">
        <v>14</v>
      </c>
      <c r="E878" s="190">
        <v>78</v>
      </c>
      <c r="F878" t="s">
        <v>1540</v>
      </c>
      <c r="G878" s="38" t="s">
        <v>331</v>
      </c>
      <c r="J878" s="191"/>
    </row>
    <row r="879" spans="1:16">
      <c r="A879" s="79">
        <v>5</v>
      </c>
      <c r="B879" s="79">
        <v>1539</v>
      </c>
      <c r="C879" s="118" t="s">
        <v>928</v>
      </c>
      <c r="D879" s="190">
        <v>15</v>
      </c>
      <c r="E879" s="190">
        <v>79</v>
      </c>
      <c r="F879" t="s">
        <v>1540</v>
      </c>
      <c r="G879" s="38" t="s">
        <v>1542</v>
      </c>
      <c r="J879" s="191"/>
    </row>
    <row r="880" spans="1:16">
      <c r="A880" s="79">
        <v>6</v>
      </c>
      <c r="B880" s="79">
        <v>1538</v>
      </c>
      <c r="C880" s="118" t="s">
        <v>929</v>
      </c>
      <c r="D880" s="190">
        <v>16</v>
      </c>
      <c r="E880" s="190">
        <v>80</v>
      </c>
      <c r="F880" t="s">
        <v>989</v>
      </c>
      <c r="G880" s="38" t="s">
        <v>1543</v>
      </c>
      <c r="J880" s="191"/>
    </row>
    <row r="881" spans="1:10">
      <c r="A881" s="79">
        <v>7</v>
      </c>
      <c r="B881" s="79">
        <v>1537</v>
      </c>
      <c r="C881" s="118" t="s">
        <v>930</v>
      </c>
      <c r="D881" s="190">
        <v>17</v>
      </c>
      <c r="E881" s="190">
        <v>81</v>
      </c>
      <c r="F881" t="s">
        <v>989</v>
      </c>
      <c r="G881" s="38" t="s">
        <v>332</v>
      </c>
      <c r="J881" s="191"/>
    </row>
    <row r="882" spans="1:10">
      <c r="A882" s="79">
        <v>8</v>
      </c>
      <c r="B882" s="79">
        <v>1536</v>
      </c>
      <c r="C882" s="118" t="s">
        <v>931</v>
      </c>
      <c r="D882" s="190">
        <v>18</v>
      </c>
      <c r="E882" s="190">
        <v>82</v>
      </c>
      <c r="F882" t="s">
        <v>1540</v>
      </c>
      <c r="G882" s="38" t="s">
        <v>1544</v>
      </c>
      <c r="J882" s="191"/>
    </row>
    <row r="883" spans="1:10">
      <c r="A883" s="79">
        <v>9</v>
      </c>
      <c r="B883" s="79">
        <v>1551</v>
      </c>
      <c r="C883" s="118" t="s">
        <v>932</v>
      </c>
      <c r="D883" s="190">
        <v>19</v>
      </c>
      <c r="E883" s="190">
        <v>83</v>
      </c>
      <c r="F883" t="s">
        <v>989</v>
      </c>
      <c r="G883" s="38" t="s">
        <v>1545</v>
      </c>
      <c r="J883" s="191"/>
    </row>
    <row r="884" spans="1:10">
      <c r="A884" s="79">
        <v>10</v>
      </c>
      <c r="B884" s="79">
        <v>1550</v>
      </c>
      <c r="C884" s="118" t="s">
        <v>933</v>
      </c>
      <c r="D884" s="190">
        <v>20</v>
      </c>
      <c r="E884" s="190">
        <v>84</v>
      </c>
      <c r="F884" t="s">
        <v>1546</v>
      </c>
      <c r="G884" s="38" t="s">
        <v>1547</v>
      </c>
      <c r="J884" s="191"/>
    </row>
    <row r="885" spans="1:10">
      <c r="A885" s="79">
        <v>11</v>
      </c>
      <c r="B885" s="79">
        <v>1549</v>
      </c>
      <c r="C885" s="118" t="s">
        <v>934</v>
      </c>
      <c r="D885" s="190">
        <v>21</v>
      </c>
      <c r="E885" s="190">
        <v>85</v>
      </c>
      <c r="F885" t="s">
        <v>1548</v>
      </c>
      <c r="G885" s="39" t="s">
        <v>1549</v>
      </c>
      <c r="J885" s="191"/>
    </row>
    <row r="886" spans="1:10">
      <c r="A886" s="79">
        <v>12</v>
      </c>
      <c r="B886" s="79">
        <v>1548</v>
      </c>
      <c r="C886" s="118" t="s">
        <v>935</v>
      </c>
      <c r="D886" s="190">
        <v>22</v>
      </c>
      <c r="E886" s="190">
        <v>86</v>
      </c>
      <c r="F886" t="s">
        <v>1540</v>
      </c>
      <c r="G886" s="38" t="s">
        <v>333</v>
      </c>
      <c r="J886" s="191"/>
    </row>
    <row r="887" spans="1:10">
      <c r="A887" s="79">
        <v>13</v>
      </c>
      <c r="B887" s="79">
        <v>1547</v>
      </c>
      <c r="C887" s="118" t="s">
        <v>936</v>
      </c>
      <c r="D887" s="190">
        <v>23</v>
      </c>
      <c r="E887" s="190">
        <v>87</v>
      </c>
      <c r="F887" t="s">
        <v>989</v>
      </c>
      <c r="G887" s="39" t="s">
        <v>1550</v>
      </c>
      <c r="J887" s="191"/>
    </row>
    <row r="888" spans="1:10">
      <c r="A888" s="79">
        <v>14</v>
      </c>
      <c r="B888" s="79">
        <v>1546</v>
      </c>
      <c r="C888" s="118" t="s">
        <v>937</v>
      </c>
      <c r="D888" s="190">
        <v>24</v>
      </c>
      <c r="E888" s="190">
        <v>88</v>
      </c>
      <c r="F888" t="s">
        <v>1548</v>
      </c>
      <c r="G888" s="39" t="s">
        <v>1551</v>
      </c>
      <c r="J888" s="191"/>
    </row>
    <row r="889" spans="1:10">
      <c r="A889" s="79">
        <v>15</v>
      </c>
      <c r="B889" s="79">
        <v>1545</v>
      </c>
      <c r="C889" s="118" t="s">
        <v>938</v>
      </c>
      <c r="D889" s="190">
        <v>25</v>
      </c>
      <c r="E889" s="190">
        <v>89</v>
      </c>
      <c r="F889" t="s">
        <v>1546</v>
      </c>
      <c r="G889" s="39" t="s">
        <v>1552</v>
      </c>
      <c r="J889" s="191"/>
    </row>
    <row r="890" spans="1:10">
      <c r="A890" s="79">
        <v>16</v>
      </c>
      <c r="B890" s="79">
        <v>1544</v>
      </c>
      <c r="C890" s="118" t="s">
        <v>939</v>
      </c>
      <c r="D890" s="190">
        <v>26</v>
      </c>
      <c r="E890" s="190">
        <v>90</v>
      </c>
      <c r="F890" t="s">
        <v>989</v>
      </c>
      <c r="G890" s="38" t="s">
        <v>334</v>
      </c>
      <c r="J890" s="191"/>
    </row>
    <row r="891" spans="1:10">
      <c r="A891" s="79">
        <v>17</v>
      </c>
      <c r="B891" s="79">
        <v>1559</v>
      </c>
      <c r="C891" s="118" t="s">
        <v>940</v>
      </c>
      <c r="D891" s="190">
        <v>27</v>
      </c>
      <c r="E891" s="190">
        <v>91</v>
      </c>
      <c r="F891" t="s">
        <v>1540</v>
      </c>
      <c r="G891" s="38" t="s">
        <v>1553</v>
      </c>
      <c r="J891" s="191"/>
    </row>
    <row r="892" spans="1:10">
      <c r="A892" s="79">
        <v>18</v>
      </c>
      <c r="B892" s="79">
        <v>1558</v>
      </c>
      <c r="C892" s="118" t="s">
        <v>941</v>
      </c>
      <c r="D892" s="190">
        <v>28</v>
      </c>
      <c r="E892" s="190">
        <v>92</v>
      </c>
      <c r="F892" t="s">
        <v>1546</v>
      </c>
      <c r="G892" s="38" t="s">
        <v>335</v>
      </c>
      <c r="J892" s="191"/>
    </row>
    <row r="893" spans="1:10">
      <c r="A893" s="79">
        <v>19</v>
      </c>
      <c r="B893" s="79">
        <v>1557</v>
      </c>
      <c r="C893" s="118" t="s">
        <v>942</v>
      </c>
      <c r="D893" s="190">
        <v>29</v>
      </c>
      <c r="E893" s="190">
        <v>93</v>
      </c>
      <c r="F893" t="s">
        <v>989</v>
      </c>
      <c r="G893" s="38" t="s">
        <v>336</v>
      </c>
      <c r="J893" s="191"/>
    </row>
    <row r="894" spans="1:10">
      <c r="A894" s="79">
        <v>20</v>
      </c>
      <c r="B894" s="79">
        <v>1556</v>
      </c>
      <c r="C894" s="118" t="s">
        <v>943</v>
      </c>
      <c r="D894" s="190">
        <v>30</v>
      </c>
      <c r="E894" s="190">
        <v>94</v>
      </c>
      <c r="F894" t="s">
        <v>1546</v>
      </c>
      <c r="G894" s="39" t="s">
        <v>1554</v>
      </c>
      <c r="J894" s="191"/>
    </row>
    <row r="895" spans="1:10">
      <c r="A895" s="79">
        <v>21</v>
      </c>
      <c r="B895" s="79">
        <v>1555</v>
      </c>
      <c r="C895" s="118" t="s">
        <v>944</v>
      </c>
      <c r="D895" s="190">
        <v>31</v>
      </c>
      <c r="E895" s="190">
        <v>95</v>
      </c>
      <c r="F895" t="s">
        <v>1548</v>
      </c>
      <c r="G895" s="39" t="s">
        <v>1555</v>
      </c>
      <c r="J895" s="191"/>
    </row>
    <row r="896" spans="1:10">
      <c r="A896" s="79">
        <v>22</v>
      </c>
      <c r="B896" s="79">
        <v>1554</v>
      </c>
      <c r="C896" s="118" t="s">
        <v>945</v>
      </c>
      <c r="D896" s="190">
        <v>32</v>
      </c>
      <c r="E896" s="190">
        <v>96</v>
      </c>
      <c r="F896" t="s">
        <v>989</v>
      </c>
      <c r="G896" s="38" t="s">
        <v>1556</v>
      </c>
      <c r="J896" s="191"/>
    </row>
    <row r="897" spans="1:10">
      <c r="A897" s="79">
        <v>23</v>
      </c>
      <c r="B897" s="79">
        <v>1553</v>
      </c>
      <c r="C897" s="118" t="s">
        <v>946</v>
      </c>
      <c r="D897" s="190">
        <v>33</v>
      </c>
      <c r="E897" s="190">
        <v>97</v>
      </c>
      <c r="F897" t="s">
        <v>1546</v>
      </c>
      <c r="G897" s="39" t="s">
        <v>1557</v>
      </c>
      <c r="J897" s="191"/>
    </row>
    <row r="898" spans="1:10">
      <c r="A898" s="79">
        <v>24</v>
      </c>
      <c r="B898" s="79">
        <v>1552</v>
      </c>
      <c r="C898" s="118" t="s">
        <v>947</v>
      </c>
      <c r="D898" s="190">
        <v>34</v>
      </c>
      <c r="E898" s="190">
        <v>98</v>
      </c>
      <c r="F898" t="s">
        <v>1540</v>
      </c>
      <c r="G898" s="39" t="s">
        <v>1558</v>
      </c>
      <c r="J898" s="191"/>
    </row>
    <row r="899" spans="1:10">
      <c r="A899" s="79">
        <v>25</v>
      </c>
      <c r="B899" s="79">
        <v>1567</v>
      </c>
      <c r="C899" s="118" t="s">
        <v>948</v>
      </c>
      <c r="D899" s="190">
        <v>35</v>
      </c>
      <c r="E899" s="190">
        <v>99</v>
      </c>
      <c r="F899" t="s">
        <v>1546</v>
      </c>
      <c r="G899" s="38" t="s">
        <v>1559</v>
      </c>
      <c r="J899" s="191"/>
    </row>
    <row r="900" spans="1:10" ht="16.5">
      <c r="A900" s="79">
        <v>26</v>
      </c>
      <c r="B900" s="192">
        <v>1566</v>
      </c>
      <c r="C900" s="118" t="s">
        <v>949</v>
      </c>
      <c r="D900" s="190">
        <v>36</v>
      </c>
      <c r="E900" s="190">
        <v>100</v>
      </c>
      <c r="F900" t="s">
        <v>1548</v>
      </c>
      <c r="G900" s="38" t="s">
        <v>1560</v>
      </c>
      <c r="J900" s="193"/>
    </row>
    <row r="901" spans="1:10">
      <c r="A901" s="79">
        <v>27</v>
      </c>
      <c r="B901" s="79">
        <v>1565</v>
      </c>
      <c r="C901" s="118" t="s">
        <v>950</v>
      </c>
      <c r="D901" s="190">
        <v>37</v>
      </c>
      <c r="E901" s="190">
        <v>101</v>
      </c>
      <c r="F901" t="s">
        <v>1546</v>
      </c>
      <c r="G901" s="34" t="s">
        <v>337</v>
      </c>
      <c r="J901" s="191"/>
    </row>
    <row r="902" spans="1:10">
      <c r="A902" s="79">
        <v>28</v>
      </c>
      <c r="B902" s="79">
        <v>1564</v>
      </c>
      <c r="C902" s="118" t="s">
        <v>951</v>
      </c>
      <c r="D902" s="190">
        <v>38</v>
      </c>
      <c r="E902" s="190">
        <v>102</v>
      </c>
      <c r="F902" t="s">
        <v>1546</v>
      </c>
      <c r="G902" s="38" t="s">
        <v>1561</v>
      </c>
      <c r="J902" s="191"/>
    </row>
    <row r="903" spans="1:10" ht="16.5">
      <c r="A903" s="79">
        <v>29</v>
      </c>
      <c r="B903" s="192">
        <v>1563</v>
      </c>
      <c r="C903" s="118" t="s">
        <v>952</v>
      </c>
      <c r="D903" s="190">
        <v>39</v>
      </c>
      <c r="E903" s="190">
        <v>103</v>
      </c>
      <c r="F903" t="s">
        <v>1546</v>
      </c>
      <c r="G903" s="38" t="s">
        <v>1562</v>
      </c>
      <c r="J903" s="193"/>
    </row>
    <row r="904" spans="1:10" ht="16.5">
      <c r="A904" s="79">
        <v>30</v>
      </c>
      <c r="B904" s="192">
        <v>1562</v>
      </c>
      <c r="C904" s="118" t="s">
        <v>953</v>
      </c>
      <c r="D904" s="190">
        <v>40</v>
      </c>
      <c r="E904" s="190">
        <v>104</v>
      </c>
      <c r="F904" t="s">
        <v>1546</v>
      </c>
      <c r="G904" s="38" t="s">
        <v>1563</v>
      </c>
      <c r="J904" s="193"/>
    </row>
    <row r="905" spans="1:10" ht="16.5">
      <c r="A905" s="79">
        <v>31</v>
      </c>
      <c r="B905" s="192">
        <v>1561</v>
      </c>
      <c r="C905" s="118" t="s">
        <v>954</v>
      </c>
      <c r="D905" s="190">
        <v>41</v>
      </c>
      <c r="E905" s="190">
        <v>105</v>
      </c>
      <c r="F905" t="s">
        <v>1546</v>
      </c>
      <c r="G905" s="38" t="s">
        <v>1564</v>
      </c>
      <c r="J905" s="193"/>
    </row>
    <row r="906" spans="1:10">
      <c r="A906" s="79">
        <v>32</v>
      </c>
      <c r="B906" s="79">
        <v>1560</v>
      </c>
      <c r="C906" s="118" t="s">
        <v>955</v>
      </c>
      <c r="D906" s="190">
        <v>42</v>
      </c>
      <c r="E906" s="190">
        <v>106</v>
      </c>
      <c r="F906" t="s">
        <v>1546</v>
      </c>
      <c r="G906" s="38" t="s">
        <v>339</v>
      </c>
      <c r="J906" s="191"/>
    </row>
    <row r="907" spans="1:10" ht="16.5">
      <c r="A907" s="79">
        <v>33</v>
      </c>
      <c r="B907" s="192">
        <v>1575</v>
      </c>
      <c r="C907" s="118" t="s">
        <v>956</v>
      </c>
      <c r="D907" s="190">
        <v>43</v>
      </c>
      <c r="E907" s="190">
        <v>107</v>
      </c>
      <c r="F907" t="s">
        <v>989</v>
      </c>
      <c r="G907" s="38" t="s">
        <v>1565</v>
      </c>
      <c r="J907" s="193"/>
    </row>
    <row r="908" spans="1:10" ht="16.5">
      <c r="A908" s="79">
        <v>34</v>
      </c>
      <c r="B908" s="192">
        <v>1574</v>
      </c>
      <c r="C908" s="118" t="s">
        <v>957</v>
      </c>
      <c r="D908" s="190">
        <v>44</v>
      </c>
      <c r="E908" s="190">
        <v>108</v>
      </c>
      <c r="F908" t="s">
        <v>1546</v>
      </c>
      <c r="G908" s="38" t="s">
        <v>1563</v>
      </c>
      <c r="J908" s="193"/>
    </row>
    <row r="909" spans="1:10" ht="16.5">
      <c r="A909" s="79">
        <v>35</v>
      </c>
      <c r="B909" s="192">
        <v>1573</v>
      </c>
      <c r="C909" s="118" t="s">
        <v>958</v>
      </c>
      <c r="D909" s="190">
        <v>45</v>
      </c>
      <c r="E909" s="190">
        <v>109</v>
      </c>
      <c r="F909" t="s">
        <v>1546</v>
      </c>
      <c r="G909" s="38" t="s">
        <v>1563</v>
      </c>
      <c r="J909" s="193"/>
    </row>
    <row r="910" spans="1:10" ht="16.5">
      <c r="A910" s="79">
        <v>36</v>
      </c>
      <c r="B910" s="192">
        <v>1572</v>
      </c>
      <c r="C910" s="118" t="s">
        <v>959</v>
      </c>
      <c r="D910" s="190">
        <v>46</v>
      </c>
      <c r="E910" s="190">
        <v>110</v>
      </c>
      <c r="F910" t="s">
        <v>1546</v>
      </c>
      <c r="G910" s="38" t="s">
        <v>1565</v>
      </c>
      <c r="J910" s="193"/>
    </row>
    <row r="911" spans="1:10" ht="16.5">
      <c r="A911" s="79">
        <v>37</v>
      </c>
      <c r="B911" s="192">
        <v>1571</v>
      </c>
      <c r="C911" s="118" t="s">
        <v>960</v>
      </c>
      <c r="D911" s="190">
        <v>47</v>
      </c>
      <c r="E911" s="190">
        <v>111</v>
      </c>
      <c r="F911" t="s">
        <v>1540</v>
      </c>
      <c r="G911" s="38" t="s">
        <v>1565</v>
      </c>
      <c r="J911" s="193"/>
    </row>
    <row r="912" spans="1:10">
      <c r="A912" s="79">
        <v>38</v>
      </c>
      <c r="B912" s="79">
        <v>1570</v>
      </c>
      <c r="C912" s="118" t="s">
        <v>961</v>
      </c>
      <c r="D912" s="190">
        <v>48</v>
      </c>
      <c r="E912" s="190">
        <v>112</v>
      </c>
      <c r="F912" t="s">
        <v>1546</v>
      </c>
      <c r="G912" s="39" t="s">
        <v>1566</v>
      </c>
      <c r="J912" s="191"/>
    </row>
    <row r="913" spans="1:10">
      <c r="A913" s="79">
        <v>39</v>
      </c>
      <c r="B913" s="79">
        <v>1569</v>
      </c>
      <c r="C913" s="118" t="s">
        <v>962</v>
      </c>
      <c r="D913" s="190">
        <v>49</v>
      </c>
      <c r="E913" s="190">
        <v>113</v>
      </c>
      <c r="F913" t="s">
        <v>1546</v>
      </c>
      <c r="G913" s="38" t="s">
        <v>1567</v>
      </c>
      <c r="J913" s="191"/>
    </row>
    <row r="914" spans="1:10">
      <c r="A914" s="79">
        <v>40</v>
      </c>
      <c r="B914" s="79">
        <v>1568</v>
      </c>
      <c r="C914" s="118" t="s">
        <v>963</v>
      </c>
      <c r="D914" s="190">
        <v>50</v>
      </c>
      <c r="E914" s="190">
        <v>114</v>
      </c>
      <c r="F914" t="s">
        <v>1546</v>
      </c>
      <c r="G914" s="38" t="s">
        <v>1568</v>
      </c>
      <c r="J914" s="191"/>
    </row>
    <row r="915" spans="1:10">
      <c r="A915" s="79">
        <v>41</v>
      </c>
      <c r="B915" s="79">
        <v>1583</v>
      </c>
      <c r="C915" s="118" t="s">
        <v>964</v>
      </c>
      <c r="D915" s="190">
        <v>51</v>
      </c>
      <c r="E915" s="190">
        <v>115</v>
      </c>
      <c r="F915" t="s">
        <v>1546</v>
      </c>
      <c r="G915" s="38" t="s">
        <v>1569</v>
      </c>
      <c r="J915" s="191"/>
    </row>
    <row r="916" spans="1:10">
      <c r="A916" s="79">
        <v>42</v>
      </c>
      <c r="B916" s="79">
        <v>1582</v>
      </c>
      <c r="C916" s="118" t="s">
        <v>965</v>
      </c>
      <c r="D916" s="190">
        <v>52</v>
      </c>
      <c r="E916" s="190">
        <v>116</v>
      </c>
      <c r="F916" t="s">
        <v>1546</v>
      </c>
      <c r="G916" s="38" t="s">
        <v>1570</v>
      </c>
      <c r="J916" s="191"/>
    </row>
    <row r="917" spans="1:10">
      <c r="A917" s="79">
        <v>43</v>
      </c>
      <c r="B917" s="79">
        <v>1581</v>
      </c>
      <c r="C917" s="118" t="s">
        <v>966</v>
      </c>
      <c r="D917" s="190">
        <v>53</v>
      </c>
      <c r="E917" s="190">
        <v>117</v>
      </c>
      <c r="F917" t="s">
        <v>1546</v>
      </c>
      <c r="G917" s="38" t="s">
        <v>1571</v>
      </c>
      <c r="J917" s="191"/>
    </row>
    <row r="918" spans="1:10">
      <c r="A918" s="79">
        <v>44</v>
      </c>
      <c r="B918" s="79">
        <v>1580</v>
      </c>
      <c r="C918" s="118" t="s">
        <v>967</v>
      </c>
      <c r="D918" s="190">
        <v>54</v>
      </c>
      <c r="E918" s="190">
        <v>118</v>
      </c>
      <c r="F918" t="s">
        <v>1546</v>
      </c>
      <c r="G918" s="38" t="s">
        <v>1572</v>
      </c>
      <c r="J918" s="191"/>
    </row>
    <row r="919" spans="1:10">
      <c r="A919" s="79">
        <v>45</v>
      </c>
      <c r="B919" s="79">
        <v>1579</v>
      </c>
      <c r="C919" s="118" t="s">
        <v>968</v>
      </c>
      <c r="D919" s="190">
        <v>55</v>
      </c>
      <c r="E919" s="190">
        <v>119</v>
      </c>
      <c r="F919" t="s">
        <v>1546</v>
      </c>
      <c r="G919" s="38" t="s">
        <v>1573</v>
      </c>
      <c r="J919" s="191"/>
    </row>
    <row r="920" spans="1:10">
      <c r="A920" s="79">
        <v>46</v>
      </c>
      <c r="B920" s="79">
        <v>1578</v>
      </c>
      <c r="C920" s="118" t="s">
        <v>969</v>
      </c>
      <c r="D920" s="190">
        <v>56</v>
      </c>
      <c r="E920" s="190">
        <v>120</v>
      </c>
      <c r="F920" t="s">
        <v>1546</v>
      </c>
      <c r="G920" s="38" t="s">
        <v>1574</v>
      </c>
      <c r="J920" s="191"/>
    </row>
    <row r="921" spans="1:10">
      <c r="A921" s="79">
        <v>47</v>
      </c>
      <c r="B921" s="79">
        <v>1577</v>
      </c>
      <c r="C921" s="118" t="s">
        <v>970</v>
      </c>
      <c r="D921" s="190">
        <v>57</v>
      </c>
      <c r="E921" s="190">
        <v>121</v>
      </c>
      <c r="F921" t="s">
        <v>1546</v>
      </c>
      <c r="G921" s="38" t="s">
        <v>340</v>
      </c>
      <c r="J921" s="191"/>
    </row>
    <row r="922" spans="1:10">
      <c r="A922" s="79">
        <v>48</v>
      </c>
      <c r="B922" s="79">
        <v>1576</v>
      </c>
      <c r="C922" s="118" t="s">
        <v>971</v>
      </c>
      <c r="D922" s="190">
        <v>58</v>
      </c>
      <c r="E922" s="190">
        <v>122</v>
      </c>
      <c r="F922" t="s">
        <v>1546</v>
      </c>
      <c r="G922" s="38" t="s">
        <v>1575</v>
      </c>
      <c r="J922" s="191"/>
    </row>
    <row r="923" spans="1:10">
      <c r="A923" s="79">
        <v>49</v>
      </c>
      <c r="B923" s="79">
        <v>1591</v>
      </c>
      <c r="C923" s="118" t="s">
        <v>972</v>
      </c>
      <c r="D923" s="190">
        <v>59</v>
      </c>
      <c r="E923" s="190">
        <v>123</v>
      </c>
      <c r="F923" t="s">
        <v>1546</v>
      </c>
      <c r="G923" s="38" t="s">
        <v>341</v>
      </c>
      <c r="J923" s="191"/>
    </row>
    <row r="924" spans="1:10">
      <c r="A924" s="79">
        <v>50</v>
      </c>
      <c r="B924" s="79">
        <v>1590</v>
      </c>
      <c r="C924" s="118" t="s">
        <v>973</v>
      </c>
      <c r="D924" s="190">
        <v>60</v>
      </c>
      <c r="E924" s="190">
        <v>124</v>
      </c>
      <c r="F924" t="s">
        <v>989</v>
      </c>
      <c r="G924" s="38" t="s">
        <v>1576</v>
      </c>
      <c r="J924" s="191"/>
    </row>
    <row r="925" spans="1:10">
      <c r="A925" s="79">
        <v>51</v>
      </c>
      <c r="B925" s="79">
        <v>1589</v>
      </c>
      <c r="C925" s="118" t="s">
        <v>974</v>
      </c>
      <c r="D925" s="190">
        <v>61</v>
      </c>
      <c r="E925" s="190">
        <v>125</v>
      </c>
      <c r="F925" t="s">
        <v>1546</v>
      </c>
      <c r="G925" s="38" t="s">
        <v>1577</v>
      </c>
      <c r="J925" s="191"/>
    </row>
    <row r="926" spans="1:10">
      <c r="A926" s="79">
        <v>52</v>
      </c>
      <c r="B926" s="79">
        <v>1588</v>
      </c>
      <c r="C926" s="118" t="s">
        <v>975</v>
      </c>
      <c r="D926" s="190">
        <v>62</v>
      </c>
      <c r="E926" s="190">
        <v>126</v>
      </c>
      <c r="F926" t="s">
        <v>1546</v>
      </c>
      <c r="G926" s="38" t="s">
        <v>1578</v>
      </c>
      <c r="J926" s="191"/>
    </row>
    <row r="927" spans="1:10">
      <c r="A927" s="79">
        <v>53</v>
      </c>
      <c r="B927" s="79">
        <v>1587</v>
      </c>
      <c r="C927" s="118" t="s">
        <v>976</v>
      </c>
      <c r="D927" s="190">
        <v>63</v>
      </c>
      <c r="E927" s="190">
        <v>127</v>
      </c>
      <c r="F927" t="s">
        <v>1540</v>
      </c>
      <c r="G927" s="38" t="s">
        <v>1579</v>
      </c>
      <c r="J927" s="191"/>
    </row>
    <row r="928" spans="1:10">
      <c r="A928" s="79">
        <v>54</v>
      </c>
      <c r="B928" s="79">
        <v>1586</v>
      </c>
      <c r="C928" s="118" t="s">
        <v>977</v>
      </c>
      <c r="D928" s="190">
        <v>64</v>
      </c>
      <c r="E928" s="190">
        <v>128</v>
      </c>
      <c r="F928" t="s">
        <v>1546</v>
      </c>
      <c r="G928" s="38" t="s">
        <v>1580</v>
      </c>
      <c r="J928" s="191"/>
    </row>
    <row r="929" spans="1:14">
      <c r="A929" s="79">
        <v>55</v>
      </c>
      <c r="B929" s="79">
        <v>1585</v>
      </c>
      <c r="C929" s="118" t="s">
        <v>978</v>
      </c>
      <c r="D929" s="190">
        <v>65</v>
      </c>
      <c r="E929" s="190">
        <v>129</v>
      </c>
      <c r="F929" t="s">
        <v>1546</v>
      </c>
      <c r="G929" s="38" t="s">
        <v>1581</v>
      </c>
      <c r="J929" s="191"/>
    </row>
    <row r="930" spans="1:14">
      <c r="A930" s="79">
        <v>56</v>
      </c>
      <c r="B930" s="79">
        <v>1584</v>
      </c>
      <c r="C930" s="118" t="s">
        <v>979</v>
      </c>
      <c r="D930" s="190">
        <v>66</v>
      </c>
      <c r="E930" s="190">
        <v>130</v>
      </c>
      <c r="F930" t="s">
        <v>1546</v>
      </c>
      <c r="G930" s="38" t="s">
        <v>1582</v>
      </c>
      <c r="J930" s="191"/>
    </row>
    <row r="931" spans="1:14">
      <c r="A931" s="79">
        <v>57</v>
      </c>
      <c r="B931" s="79">
        <v>1599</v>
      </c>
      <c r="C931" s="118" t="s">
        <v>980</v>
      </c>
      <c r="D931" s="190">
        <v>67</v>
      </c>
      <c r="E931" s="190">
        <v>131</v>
      </c>
      <c r="F931" t="s">
        <v>1546</v>
      </c>
      <c r="G931" s="39" t="s">
        <v>1583</v>
      </c>
      <c r="J931" s="191"/>
    </row>
    <row r="932" spans="1:14" ht="16.5">
      <c r="A932" s="79">
        <v>58</v>
      </c>
      <c r="B932" s="192">
        <v>1598</v>
      </c>
      <c r="C932" s="118" t="s">
        <v>981</v>
      </c>
      <c r="D932" s="190">
        <v>68</v>
      </c>
      <c r="E932" s="190">
        <v>132</v>
      </c>
      <c r="F932" t="s">
        <v>1546</v>
      </c>
      <c r="G932" s="38" t="s">
        <v>1564</v>
      </c>
      <c r="J932" s="193"/>
    </row>
    <row r="933" spans="1:14" ht="16.5">
      <c r="A933" s="79">
        <v>59</v>
      </c>
      <c r="B933" s="192">
        <v>1597</v>
      </c>
      <c r="C933" s="118" t="s">
        <v>982</v>
      </c>
      <c r="D933" s="190">
        <v>69</v>
      </c>
      <c r="E933" s="190">
        <v>133</v>
      </c>
      <c r="F933" t="s">
        <v>1546</v>
      </c>
      <c r="G933" s="38" t="s">
        <v>1565</v>
      </c>
      <c r="J933" s="193"/>
    </row>
    <row r="934" spans="1:14" ht="16.5">
      <c r="A934" s="79">
        <v>60</v>
      </c>
      <c r="B934" s="192">
        <v>1596</v>
      </c>
      <c r="C934" s="118" t="s">
        <v>983</v>
      </c>
      <c r="D934" s="190">
        <v>70</v>
      </c>
      <c r="E934" s="190">
        <v>134</v>
      </c>
      <c r="F934" t="s">
        <v>1548</v>
      </c>
      <c r="G934" s="38" t="s">
        <v>338</v>
      </c>
      <c r="J934" s="133"/>
    </row>
    <row r="935" spans="1:14" ht="16.5">
      <c r="A935" s="79">
        <v>61</v>
      </c>
      <c r="B935" s="192">
        <v>1595</v>
      </c>
      <c r="C935" s="118" t="s">
        <v>984</v>
      </c>
      <c r="D935" s="190">
        <v>71</v>
      </c>
      <c r="E935" s="190">
        <v>135</v>
      </c>
      <c r="F935" t="s">
        <v>1546</v>
      </c>
      <c r="G935" s="38" t="s">
        <v>1565</v>
      </c>
      <c r="J935" s="133"/>
    </row>
    <row r="936" spans="1:14" ht="16.5">
      <c r="A936" s="79">
        <v>62</v>
      </c>
      <c r="B936" s="192">
        <v>1594</v>
      </c>
      <c r="C936" s="118" t="s">
        <v>985</v>
      </c>
      <c r="D936" s="190">
        <v>72</v>
      </c>
      <c r="E936" s="190">
        <v>136</v>
      </c>
      <c r="F936" t="s">
        <v>1546</v>
      </c>
      <c r="G936" s="38" t="s">
        <v>1565</v>
      </c>
    </row>
    <row r="937" spans="1:14" ht="16.5">
      <c r="A937" s="79">
        <v>63</v>
      </c>
      <c r="B937" s="192">
        <v>1593</v>
      </c>
      <c r="C937" s="118" t="s">
        <v>986</v>
      </c>
      <c r="D937" s="190">
        <v>73</v>
      </c>
      <c r="E937" s="190">
        <v>137</v>
      </c>
      <c r="F937" t="s">
        <v>989</v>
      </c>
      <c r="G937" s="38" t="s">
        <v>1565</v>
      </c>
    </row>
    <row r="938" spans="1:14" ht="18" customHeight="1">
      <c r="A938" s="79">
        <v>64</v>
      </c>
      <c r="B938" s="192">
        <v>1592</v>
      </c>
      <c r="C938" s="118" t="s">
        <v>987</v>
      </c>
      <c r="D938" s="190">
        <v>74</v>
      </c>
      <c r="E938" s="190">
        <v>138</v>
      </c>
      <c r="F938" t="s">
        <v>1546</v>
      </c>
      <c r="G938" s="38" t="s">
        <v>1565</v>
      </c>
    </row>
    <row r="939" spans="1:14" s="3" customFormat="1" ht="18" customHeight="1">
      <c r="A939" s="1" t="s">
        <v>2</v>
      </c>
      <c r="B939" s="2" t="s">
        <v>342</v>
      </c>
      <c r="C939"/>
      <c r="D939"/>
      <c r="E939" s="80" t="s">
        <v>343</v>
      </c>
      <c r="F939" s="38"/>
      <c r="G939" s="38"/>
      <c r="H939"/>
      <c r="I939"/>
      <c r="J939"/>
      <c r="K939"/>
      <c r="L939"/>
      <c r="M939" t="s">
        <v>344</v>
      </c>
      <c r="N939"/>
    </row>
    <row r="940" spans="1:14" s="3" customFormat="1" ht="18" customHeight="1">
      <c r="A940" s="6">
        <v>1</v>
      </c>
      <c r="B940" s="6">
        <v>2</v>
      </c>
      <c r="C940" s="6">
        <v>9</v>
      </c>
      <c r="D940" s="6">
        <v>7</v>
      </c>
      <c r="E940" s="6">
        <v>10</v>
      </c>
      <c r="F940" s="6">
        <v>23</v>
      </c>
      <c r="G940" s="6">
        <v>14</v>
      </c>
      <c r="H940" s="6">
        <v>15</v>
      </c>
      <c r="I940" t="s">
        <v>345</v>
      </c>
      <c r="J940"/>
      <c r="K940" t="s">
        <v>346</v>
      </c>
      <c r="L940"/>
      <c r="M940" s="2" t="s">
        <v>1015</v>
      </c>
      <c r="N940"/>
    </row>
    <row r="941" spans="1:14" s="3" customFormat="1" ht="18" customHeight="1">
      <c r="A941" s="6">
        <v>5</v>
      </c>
      <c r="B941" s="6">
        <v>6</v>
      </c>
      <c r="C941" s="6">
        <v>4</v>
      </c>
      <c r="D941" s="6">
        <v>8</v>
      </c>
      <c r="E941" s="6">
        <v>3</v>
      </c>
      <c r="F941" s="6">
        <v>28</v>
      </c>
      <c r="G941" s="6">
        <v>57</v>
      </c>
      <c r="H941" s="6">
        <v>12</v>
      </c>
      <c r="I941" t="s">
        <v>347</v>
      </c>
      <c r="J941"/>
      <c r="K941" t="s">
        <v>348</v>
      </c>
      <c r="L941"/>
      <c r="M941" s="2" t="s">
        <v>1016</v>
      </c>
      <c r="N941"/>
    </row>
    <row r="942" spans="1:14" s="3" customFormat="1" ht="18" customHeight="1">
      <c r="A942" s="6">
        <v>13</v>
      </c>
      <c r="B942" s="6">
        <v>39</v>
      </c>
      <c r="C942" s="6">
        <v>24</v>
      </c>
      <c r="D942" s="6">
        <v>17</v>
      </c>
      <c r="E942" s="6">
        <v>40</v>
      </c>
      <c r="F942" s="6">
        <v>41</v>
      </c>
      <c r="G942" s="6">
        <v>42</v>
      </c>
      <c r="H942" s="6">
        <v>43</v>
      </c>
      <c r="I942" t="s">
        <v>349</v>
      </c>
      <c r="J942"/>
      <c r="K942" t="s">
        <v>350</v>
      </c>
      <c r="L942"/>
      <c r="M942" t="s">
        <v>1017</v>
      </c>
      <c r="N942"/>
    </row>
    <row r="943" spans="1:14" s="3" customFormat="1" ht="18" customHeight="1">
      <c r="A943" s="6">
        <v>48</v>
      </c>
      <c r="B943" s="6">
        <v>49</v>
      </c>
      <c r="C943" s="6">
        <v>50</v>
      </c>
      <c r="D943" s="6">
        <v>51</v>
      </c>
      <c r="E943" s="6">
        <v>52</v>
      </c>
      <c r="F943" s="6">
        <v>44</v>
      </c>
      <c r="G943" s="6">
        <v>45</v>
      </c>
      <c r="H943" s="6">
        <v>46</v>
      </c>
      <c r="I943" t="s">
        <v>351</v>
      </c>
      <c r="J943"/>
      <c r="K943" t="s">
        <v>352</v>
      </c>
      <c r="L943"/>
      <c r="M943" t="s">
        <v>1018</v>
      </c>
      <c r="N943"/>
    </row>
    <row r="944" spans="1:14" s="3" customFormat="1" ht="18" customHeight="1">
      <c r="A944" s="6">
        <v>47</v>
      </c>
      <c r="B944" s="6">
        <v>53</v>
      </c>
      <c r="C944" s="6">
        <v>54</v>
      </c>
      <c r="D944" s="6">
        <v>55</v>
      </c>
      <c r="E944" s="6">
        <v>56</v>
      </c>
      <c r="F944" s="6">
        <v>27</v>
      </c>
      <c r="G944" s="6">
        <v>29</v>
      </c>
      <c r="H944" s="6">
        <v>30</v>
      </c>
      <c r="I944" t="s">
        <v>353</v>
      </c>
      <c r="J944"/>
      <c r="K944" t="s">
        <v>354</v>
      </c>
      <c r="L944"/>
      <c r="M944"/>
      <c r="N944"/>
    </row>
    <row r="945" spans="1:14" s="3" customFormat="1" ht="18" customHeight="1">
      <c r="A945" s="6">
        <v>64</v>
      </c>
      <c r="B945" s="6">
        <v>31</v>
      </c>
      <c r="C945" s="6">
        <v>33</v>
      </c>
      <c r="D945" s="6">
        <v>34</v>
      </c>
      <c r="E945" s="6">
        <v>35</v>
      </c>
      <c r="F945" s="6">
        <v>25</v>
      </c>
      <c r="G945" s="6">
        <v>26</v>
      </c>
      <c r="H945" s="6">
        <v>36</v>
      </c>
      <c r="I945" t="s">
        <v>355</v>
      </c>
      <c r="J945"/>
      <c r="K945" t="s">
        <v>356</v>
      </c>
      <c r="L945"/>
      <c r="M945"/>
      <c r="N945"/>
    </row>
    <row r="946" spans="1:14" s="3" customFormat="1" ht="18" customHeight="1">
      <c r="A946" s="6">
        <v>61</v>
      </c>
      <c r="B946" s="6">
        <v>255</v>
      </c>
      <c r="C946" s="6">
        <v>255</v>
      </c>
      <c r="D946" s="6">
        <v>255</v>
      </c>
      <c r="E946" s="6">
        <v>255</v>
      </c>
      <c r="F946" s="6">
        <v>255</v>
      </c>
      <c r="G946" s="6">
        <v>255</v>
      </c>
      <c r="H946" s="6">
        <v>255</v>
      </c>
      <c r="I946" t="s">
        <v>357</v>
      </c>
      <c r="J946"/>
      <c r="K946" t="s">
        <v>358</v>
      </c>
      <c r="L946"/>
      <c r="M946"/>
    </row>
    <row r="947" spans="1:14" s="3" customFormat="1" ht="18" customHeight="1">
      <c r="A947" s="6">
        <v>255</v>
      </c>
      <c r="B947" s="6">
        <v>255</v>
      </c>
      <c r="C947" s="6">
        <v>255</v>
      </c>
      <c r="D947" s="6">
        <v>255</v>
      </c>
      <c r="E947" s="6">
        <v>255</v>
      </c>
      <c r="F947" s="6">
        <v>255</v>
      </c>
      <c r="G947" s="6">
        <v>255</v>
      </c>
      <c r="H947" s="6">
        <v>255</v>
      </c>
      <c r="I947" t="s">
        <v>359</v>
      </c>
      <c r="J947"/>
      <c r="K947" t="s">
        <v>360</v>
      </c>
      <c r="L947"/>
      <c r="M947"/>
    </row>
    <row r="948" spans="1:14" s="3" customFormat="1" ht="18" customHeight="1">
      <c r="A948" s="2" t="s">
        <v>3</v>
      </c>
      <c r="B948"/>
      <c r="C948"/>
      <c r="D948"/>
      <c r="E948"/>
      <c r="F948" s="38"/>
      <c r="G948" s="38"/>
      <c r="H948"/>
      <c r="J948"/>
      <c r="K948"/>
      <c r="L948"/>
      <c r="M948"/>
    </row>
    <row r="949" spans="1:14" s="3" customFormat="1" ht="18" customHeight="1">
      <c r="A949" s="1" t="s">
        <v>2</v>
      </c>
      <c r="B949" s="2" t="s">
        <v>3</v>
      </c>
      <c r="C949"/>
      <c r="D949"/>
      <c r="E949"/>
      <c r="F949" s="38"/>
      <c r="G949" s="38"/>
      <c r="H949"/>
      <c r="J949"/>
      <c r="K949"/>
      <c r="L949"/>
    </row>
    <row r="950" spans="1:14" s="3" customFormat="1" ht="18" customHeight="1">
      <c r="A950" s="6">
        <v>1</v>
      </c>
      <c r="B950" s="6">
        <v>2</v>
      </c>
      <c r="C950" s="6">
        <v>9</v>
      </c>
      <c r="D950" s="6">
        <v>7</v>
      </c>
      <c r="E950" s="6">
        <v>10</v>
      </c>
      <c r="F950" s="6">
        <v>23</v>
      </c>
      <c r="G950" s="6">
        <v>14</v>
      </c>
      <c r="H950" s="6">
        <v>15</v>
      </c>
      <c r="I950" t="s">
        <v>345</v>
      </c>
      <c r="J950"/>
      <c r="K950" t="s">
        <v>346</v>
      </c>
      <c r="L950"/>
      <c r="M950" t="s">
        <v>362</v>
      </c>
    </row>
    <row r="951" spans="1:14" s="3" customFormat="1" ht="18" customHeight="1">
      <c r="A951" s="6">
        <v>5</v>
      </c>
      <c r="B951" s="6">
        <v>6</v>
      </c>
      <c r="C951" s="6">
        <v>4</v>
      </c>
      <c r="D951" s="6">
        <v>8</v>
      </c>
      <c r="E951" s="6">
        <v>3</v>
      </c>
      <c r="F951" s="6">
        <v>28</v>
      </c>
      <c r="G951" s="6">
        <v>57</v>
      </c>
      <c r="H951" s="6">
        <v>12</v>
      </c>
      <c r="I951" t="s">
        <v>347</v>
      </c>
      <c r="J951"/>
      <c r="K951" t="s">
        <v>348</v>
      </c>
      <c r="L951"/>
      <c r="M951"/>
    </row>
    <row r="952" spans="1:14" s="3" customFormat="1" ht="18" customHeight="1">
      <c r="A952" s="6">
        <v>13</v>
      </c>
      <c r="B952" s="6">
        <v>39</v>
      </c>
      <c r="C952" s="6">
        <v>24</v>
      </c>
      <c r="D952" s="6">
        <v>17</v>
      </c>
      <c r="E952" s="6">
        <v>40</v>
      </c>
      <c r="F952" s="6">
        <v>41</v>
      </c>
      <c r="G952" s="6">
        <v>42</v>
      </c>
      <c r="H952" s="6">
        <v>43</v>
      </c>
      <c r="I952" t="s">
        <v>349</v>
      </c>
      <c r="J952"/>
      <c r="K952" t="s">
        <v>350</v>
      </c>
      <c r="L952"/>
      <c r="M952"/>
    </row>
    <row r="953" spans="1:14" s="3" customFormat="1" ht="18" customHeight="1">
      <c r="A953" s="6">
        <v>48</v>
      </c>
      <c r="B953" s="6">
        <v>49</v>
      </c>
      <c r="C953" s="6">
        <v>50</v>
      </c>
      <c r="D953" s="6">
        <v>51</v>
      </c>
      <c r="E953" s="6">
        <v>52</v>
      </c>
      <c r="F953" s="6">
        <v>44</v>
      </c>
      <c r="G953" s="6">
        <v>45</v>
      </c>
      <c r="H953" s="6">
        <v>46</v>
      </c>
      <c r="I953" t="s">
        <v>351</v>
      </c>
      <c r="J953"/>
      <c r="K953" t="s">
        <v>352</v>
      </c>
      <c r="L953"/>
      <c r="M953"/>
    </row>
    <row r="954" spans="1:14" s="3" customFormat="1" ht="18" customHeight="1">
      <c r="A954" s="6">
        <v>47</v>
      </c>
      <c r="B954" s="6">
        <v>53</v>
      </c>
      <c r="C954" s="6">
        <v>54</v>
      </c>
      <c r="D954" s="6">
        <v>55</v>
      </c>
      <c r="E954" s="6">
        <v>56</v>
      </c>
      <c r="F954" s="6">
        <v>27</v>
      </c>
      <c r="G954" s="6">
        <v>29</v>
      </c>
      <c r="H954" s="6">
        <v>30</v>
      </c>
      <c r="I954" t="s">
        <v>353</v>
      </c>
      <c r="J954"/>
      <c r="K954" t="s">
        <v>354</v>
      </c>
      <c r="L954"/>
      <c r="M954"/>
    </row>
    <row r="955" spans="1:14" s="3" customFormat="1" ht="18" customHeight="1">
      <c r="A955" s="6">
        <v>64</v>
      </c>
      <c r="B955" s="6">
        <v>31</v>
      </c>
      <c r="C955" s="6">
        <v>32</v>
      </c>
      <c r="D955" s="6">
        <v>33</v>
      </c>
      <c r="E955" s="6">
        <v>34</v>
      </c>
      <c r="F955" s="6">
        <v>35</v>
      </c>
      <c r="G955" s="6">
        <v>25</v>
      </c>
      <c r="H955" s="6">
        <v>26</v>
      </c>
      <c r="I955" t="s">
        <v>355</v>
      </c>
      <c r="J955"/>
      <c r="K955" t="s">
        <v>356</v>
      </c>
      <c r="L955"/>
      <c r="M955"/>
    </row>
    <row r="956" spans="1:14" s="3" customFormat="1" ht="18" customHeight="1">
      <c r="A956" s="6">
        <v>36</v>
      </c>
      <c r="B956" s="6">
        <v>61</v>
      </c>
      <c r="C956" s="6">
        <v>255</v>
      </c>
      <c r="D956" s="6">
        <v>255</v>
      </c>
      <c r="E956" s="6">
        <v>255</v>
      </c>
      <c r="F956" s="6">
        <v>255</v>
      </c>
      <c r="G956" s="6">
        <v>255</v>
      </c>
      <c r="H956" s="6">
        <v>255</v>
      </c>
      <c r="I956" t="s">
        <v>357</v>
      </c>
      <c r="J956"/>
      <c r="K956" t="s">
        <v>358</v>
      </c>
      <c r="L956"/>
      <c r="M956"/>
    </row>
    <row r="957" spans="1:14" s="3" customFormat="1" ht="18" customHeight="1">
      <c r="A957" s="6">
        <v>255</v>
      </c>
      <c r="B957" s="6">
        <v>255</v>
      </c>
      <c r="C957" s="6">
        <v>255</v>
      </c>
      <c r="D957" s="6">
        <v>255</v>
      </c>
      <c r="E957" s="6">
        <v>255</v>
      </c>
      <c r="F957" s="6">
        <v>255</v>
      </c>
      <c r="G957" s="6">
        <v>255</v>
      </c>
      <c r="H957" s="6">
        <v>255</v>
      </c>
      <c r="I957" t="s">
        <v>359</v>
      </c>
      <c r="J957"/>
      <c r="K957" t="s">
        <v>360</v>
      </c>
      <c r="L957"/>
      <c r="M957"/>
    </row>
    <row r="958" spans="1:14" s="3" customFormat="1" ht="18" customHeight="1">
      <c r="A958" s="2" t="s">
        <v>3</v>
      </c>
      <c r="B958"/>
      <c r="C958"/>
      <c r="D958"/>
      <c r="E958"/>
      <c r="F958" s="38"/>
      <c r="G958" s="38"/>
      <c r="H958"/>
      <c r="I958" s="2" t="s">
        <v>361</v>
      </c>
      <c r="J958"/>
      <c r="K958"/>
      <c r="L958"/>
      <c r="M958"/>
    </row>
    <row r="959" spans="1:14" s="3" customFormat="1" ht="18" customHeight="1">
      <c r="A959" s="1" t="s">
        <v>2</v>
      </c>
      <c r="B959" s="2" t="s">
        <v>3</v>
      </c>
      <c r="C959"/>
      <c r="D959"/>
      <c r="E959"/>
      <c r="F959" s="38"/>
      <c r="G959" s="38"/>
      <c r="H959"/>
      <c r="I959" s="2"/>
      <c r="J959"/>
      <c r="K959"/>
      <c r="L959"/>
      <c r="M959" t="s">
        <v>363</v>
      </c>
    </row>
    <row r="960" spans="1:14" s="3" customFormat="1" ht="18" customHeight="1">
      <c r="A960" s="6">
        <v>1</v>
      </c>
      <c r="B960" s="6">
        <v>2</v>
      </c>
      <c r="C960" s="6">
        <v>9</v>
      </c>
      <c r="D960" s="6">
        <v>7</v>
      </c>
      <c r="E960" s="6">
        <v>10</v>
      </c>
      <c r="F960" s="6">
        <v>17</v>
      </c>
      <c r="G960" s="6">
        <v>3</v>
      </c>
      <c r="H960" s="6">
        <v>4</v>
      </c>
      <c r="I960" t="s">
        <v>345</v>
      </c>
      <c r="J960"/>
      <c r="K960" t="s">
        <v>346</v>
      </c>
      <c r="L960"/>
      <c r="M960"/>
    </row>
    <row r="961" spans="1:14" s="3" customFormat="1" ht="18" customHeight="1">
      <c r="A961" s="6">
        <v>8</v>
      </c>
      <c r="B961" s="6">
        <v>57</v>
      </c>
      <c r="C961" s="6">
        <v>12</v>
      </c>
      <c r="D961" s="6">
        <v>19</v>
      </c>
      <c r="E961" s="6">
        <v>28</v>
      </c>
      <c r="F961" s="6">
        <v>25</v>
      </c>
      <c r="G961" s="6">
        <v>23</v>
      </c>
      <c r="H961" s="6">
        <v>24</v>
      </c>
      <c r="I961" t="s">
        <v>347</v>
      </c>
      <c r="J961"/>
      <c r="K961" t="s">
        <v>348</v>
      </c>
      <c r="L961"/>
    </row>
    <row r="962" spans="1:14" s="3" customFormat="1" ht="18" customHeight="1">
      <c r="A962" s="6">
        <v>26</v>
      </c>
      <c r="B962" s="6">
        <v>27</v>
      </c>
      <c r="C962" s="6">
        <v>29</v>
      </c>
      <c r="D962" s="6">
        <v>30</v>
      </c>
      <c r="E962" s="6">
        <v>32</v>
      </c>
      <c r="F962" s="6">
        <v>33</v>
      </c>
      <c r="G962" s="6">
        <v>34</v>
      </c>
      <c r="H962" s="6">
        <v>64</v>
      </c>
      <c r="I962" t="s">
        <v>349</v>
      </c>
      <c r="J962"/>
      <c r="K962" t="s">
        <v>350</v>
      </c>
      <c r="L962"/>
      <c r="N962"/>
    </row>
    <row r="963" spans="1:14" s="3" customFormat="1" ht="18" customHeight="1">
      <c r="A963" s="6">
        <v>31</v>
      </c>
      <c r="B963" s="6">
        <v>32</v>
      </c>
      <c r="C963" s="6">
        <v>35</v>
      </c>
      <c r="D963" s="6">
        <v>25</v>
      </c>
      <c r="E963" s="6">
        <v>26</v>
      </c>
      <c r="F963" s="6">
        <v>36</v>
      </c>
      <c r="G963" s="6">
        <v>61</v>
      </c>
      <c r="H963" s="6">
        <v>255</v>
      </c>
      <c r="I963" t="s">
        <v>351</v>
      </c>
      <c r="J963"/>
      <c r="K963" t="s">
        <v>352</v>
      </c>
      <c r="L963"/>
      <c r="M963"/>
      <c r="N963"/>
    </row>
    <row r="964" spans="1:14" s="3" customFormat="1" ht="18" customHeight="1">
      <c r="A964" s="6">
        <v>255</v>
      </c>
      <c r="B964" s="6">
        <v>255</v>
      </c>
      <c r="C964" s="6">
        <v>255</v>
      </c>
      <c r="D964" s="6">
        <v>255</v>
      </c>
      <c r="E964" s="6">
        <v>255</v>
      </c>
      <c r="F964" s="6">
        <v>255</v>
      </c>
      <c r="G964" s="6">
        <v>255</v>
      </c>
      <c r="H964" s="6">
        <v>255</v>
      </c>
      <c r="I964" t="s">
        <v>353</v>
      </c>
      <c r="J964"/>
      <c r="K964" t="s">
        <v>354</v>
      </c>
      <c r="L964"/>
      <c r="M964"/>
      <c r="N964"/>
    </row>
    <row r="965" spans="1:14" s="3" customFormat="1" ht="18" customHeight="1">
      <c r="A965" s="6">
        <v>255</v>
      </c>
      <c r="B965" s="6">
        <v>255</v>
      </c>
      <c r="C965" s="6">
        <v>255</v>
      </c>
      <c r="D965" s="6">
        <v>255</v>
      </c>
      <c r="E965" s="6">
        <v>255</v>
      </c>
      <c r="F965" s="6">
        <v>255</v>
      </c>
      <c r="G965" s="6">
        <v>255</v>
      </c>
      <c r="H965" s="6">
        <v>255</v>
      </c>
      <c r="I965" t="s">
        <v>355</v>
      </c>
      <c r="J965"/>
      <c r="K965" t="s">
        <v>356</v>
      </c>
      <c r="L965"/>
      <c r="M965"/>
      <c r="N965"/>
    </row>
    <row r="966" spans="1:14" s="3" customFormat="1" ht="18" customHeight="1">
      <c r="A966" s="6">
        <v>255</v>
      </c>
      <c r="B966" s="6">
        <v>255</v>
      </c>
      <c r="C966" s="6">
        <v>255</v>
      </c>
      <c r="D966" s="6">
        <v>255</v>
      </c>
      <c r="E966" s="6">
        <v>255</v>
      </c>
      <c r="F966" s="6">
        <v>255</v>
      </c>
      <c r="G966" s="6">
        <v>255</v>
      </c>
      <c r="H966" s="6">
        <v>255</v>
      </c>
      <c r="I966" t="s">
        <v>357</v>
      </c>
      <c r="J966"/>
      <c r="K966" t="s">
        <v>358</v>
      </c>
      <c r="L966"/>
      <c r="M966"/>
      <c r="N966"/>
    </row>
    <row r="967" spans="1:14" s="3" customFormat="1" ht="18" customHeight="1">
      <c r="A967" s="6">
        <v>255</v>
      </c>
      <c r="B967" s="6">
        <v>255</v>
      </c>
      <c r="C967" s="6">
        <v>255</v>
      </c>
      <c r="D967" s="6">
        <v>255</v>
      </c>
      <c r="E967" s="6">
        <v>255</v>
      </c>
      <c r="F967" s="6">
        <v>255</v>
      </c>
      <c r="G967" s="6">
        <v>255</v>
      </c>
      <c r="H967" s="6">
        <v>255</v>
      </c>
      <c r="I967" t="s">
        <v>359</v>
      </c>
      <c r="J967"/>
      <c r="K967" t="s">
        <v>360</v>
      </c>
      <c r="L967"/>
      <c r="M967"/>
      <c r="N967"/>
    </row>
    <row r="968" spans="1:14" s="3" customFormat="1" ht="18" customHeight="1">
      <c r="A968" s="2" t="s">
        <v>3</v>
      </c>
      <c r="B968"/>
      <c r="C968"/>
      <c r="D968"/>
      <c r="E968"/>
      <c r="F968" s="38"/>
      <c r="G968" s="38"/>
      <c r="H968"/>
      <c r="I968" s="2" t="s">
        <v>361</v>
      </c>
      <c r="J968"/>
      <c r="K968"/>
      <c r="L968"/>
      <c r="M968"/>
      <c r="N968"/>
    </row>
    <row r="969" spans="1:14" s="3" customFormat="1" ht="18" customHeight="1">
      <c r="A969" s="1" t="s">
        <v>2</v>
      </c>
      <c r="B969" s="2" t="s">
        <v>3</v>
      </c>
      <c r="C969"/>
      <c r="D969"/>
      <c r="E969"/>
      <c r="F969" s="38"/>
      <c r="G969" s="38"/>
      <c r="H969"/>
      <c r="I969" s="2"/>
      <c r="J969"/>
      <c r="K969"/>
      <c r="L969"/>
      <c r="M969" t="s">
        <v>364</v>
      </c>
      <c r="N969"/>
    </row>
    <row r="970" spans="1:14" s="3" customFormat="1" ht="18" customHeight="1">
      <c r="A970" s="6">
        <v>1</v>
      </c>
      <c r="B970" s="6">
        <v>2</v>
      </c>
      <c r="C970" s="6">
        <v>9</v>
      </c>
      <c r="D970" s="6">
        <v>7</v>
      </c>
      <c r="E970" s="6">
        <v>10</v>
      </c>
      <c r="F970" s="6">
        <v>23</v>
      </c>
      <c r="G970" s="6">
        <v>14</v>
      </c>
      <c r="H970" s="6">
        <v>15</v>
      </c>
      <c r="I970" t="s">
        <v>345</v>
      </c>
      <c r="J970"/>
      <c r="K970" t="s">
        <v>346</v>
      </c>
      <c r="L970"/>
      <c r="M970"/>
      <c r="N970"/>
    </row>
    <row r="971" spans="1:14" s="3" customFormat="1" ht="18" customHeight="1">
      <c r="A971" s="6">
        <v>5</v>
      </c>
      <c r="B971" s="6">
        <v>6</v>
      </c>
      <c r="C971" s="6">
        <v>4</v>
      </c>
      <c r="D971" s="6">
        <v>8</v>
      </c>
      <c r="E971" s="6">
        <v>3</v>
      </c>
      <c r="F971" s="6">
        <v>28</v>
      </c>
      <c r="G971" s="6">
        <v>57</v>
      </c>
      <c r="H971" s="6">
        <v>12</v>
      </c>
      <c r="I971" t="s">
        <v>347</v>
      </c>
      <c r="J971"/>
      <c r="K971" t="s">
        <v>348</v>
      </c>
      <c r="L971"/>
      <c r="M971"/>
      <c r="N971"/>
    </row>
    <row r="972" spans="1:14" s="3" customFormat="1" ht="18" customHeight="1">
      <c r="A972" s="6">
        <v>18</v>
      </c>
      <c r="B972" s="6">
        <v>16</v>
      </c>
      <c r="C972" s="6">
        <v>13</v>
      </c>
      <c r="D972" s="6">
        <v>39</v>
      </c>
      <c r="E972" s="6">
        <v>24</v>
      </c>
      <c r="F972" s="6">
        <v>17</v>
      </c>
      <c r="G972" s="6">
        <v>19</v>
      </c>
      <c r="H972" s="6">
        <v>40</v>
      </c>
      <c r="I972" t="s">
        <v>349</v>
      </c>
      <c r="J972"/>
      <c r="K972" t="s">
        <v>350</v>
      </c>
      <c r="L972"/>
      <c r="M972"/>
      <c r="N972"/>
    </row>
    <row r="973" spans="1:14" s="3" customFormat="1" ht="18" customHeight="1">
      <c r="A973" s="6">
        <v>41</v>
      </c>
      <c r="B973" s="6">
        <v>42</v>
      </c>
      <c r="C973" s="6">
        <v>43</v>
      </c>
      <c r="D973" s="6">
        <v>48</v>
      </c>
      <c r="E973" s="6">
        <v>49</v>
      </c>
      <c r="F973" s="6">
        <v>50</v>
      </c>
      <c r="G973" s="6">
        <v>51</v>
      </c>
      <c r="H973" s="6">
        <v>52</v>
      </c>
      <c r="I973" t="s">
        <v>351</v>
      </c>
      <c r="J973"/>
      <c r="K973" t="s">
        <v>352</v>
      </c>
      <c r="L973"/>
      <c r="M973"/>
      <c r="N973"/>
    </row>
    <row r="974" spans="1:14" s="3" customFormat="1" ht="18" customHeight="1">
      <c r="A974" s="6">
        <v>44</v>
      </c>
      <c r="B974" s="6">
        <v>45</v>
      </c>
      <c r="C974" s="6">
        <v>46</v>
      </c>
      <c r="D974" s="6">
        <v>47</v>
      </c>
      <c r="E974" s="6">
        <v>53</v>
      </c>
      <c r="F974" s="6">
        <v>54</v>
      </c>
      <c r="G974" s="6">
        <v>55</v>
      </c>
      <c r="H974" s="6">
        <v>56</v>
      </c>
      <c r="I974" t="s">
        <v>353</v>
      </c>
      <c r="J974"/>
      <c r="K974" t="s">
        <v>354</v>
      </c>
      <c r="L974"/>
      <c r="M974"/>
      <c r="N974"/>
    </row>
    <row r="975" spans="1:14" s="3" customFormat="1" ht="18" customHeight="1">
      <c r="A975" s="6">
        <v>38</v>
      </c>
      <c r="B975" s="6">
        <v>64</v>
      </c>
      <c r="C975" s="6">
        <v>27</v>
      </c>
      <c r="D975" s="6">
        <v>29</v>
      </c>
      <c r="E975" s="6">
        <v>30</v>
      </c>
      <c r="F975" s="6">
        <v>31</v>
      </c>
      <c r="G975" s="6">
        <v>32</v>
      </c>
      <c r="H975" s="6">
        <v>33</v>
      </c>
      <c r="I975" t="s">
        <v>355</v>
      </c>
      <c r="J975"/>
      <c r="K975" t="s">
        <v>356</v>
      </c>
      <c r="L975"/>
      <c r="M975"/>
      <c r="N975"/>
    </row>
    <row r="976" spans="1:14" s="3" customFormat="1" ht="18" customHeight="1">
      <c r="A976" s="6">
        <v>34</v>
      </c>
      <c r="B976" s="6">
        <v>35</v>
      </c>
      <c r="C976" s="6">
        <v>25</v>
      </c>
      <c r="D976" s="6">
        <v>26</v>
      </c>
      <c r="E976" s="6">
        <v>36</v>
      </c>
      <c r="F976" s="6">
        <v>61</v>
      </c>
      <c r="G976" s="6">
        <v>255</v>
      </c>
      <c r="H976" s="6">
        <v>255</v>
      </c>
      <c r="I976" t="s">
        <v>357</v>
      </c>
      <c r="J976"/>
      <c r="K976" t="s">
        <v>358</v>
      </c>
      <c r="L976"/>
      <c r="M976"/>
      <c r="N976"/>
    </row>
    <row r="977" spans="1:16" s="3" customFormat="1" ht="18" customHeight="1">
      <c r="A977" s="6">
        <v>255</v>
      </c>
      <c r="B977" s="6">
        <v>255</v>
      </c>
      <c r="C977" s="6">
        <v>255</v>
      </c>
      <c r="D977" s="6">
        <v>255</v>
      </c>
      <c r="E977" s="6">
        <v>255</v>
      </c>
      <c r="F977" s="6">
        <v>255</v>
      </c>
      <c r="G977" s="6">
        <v>255</v>
      </c>
      <c r="H977" s="6">
        <v>255</v>
      </c>
      <c r="I977" t="s">
        <v>359</v>
      </c>
      <c r="J977"/>
      <c r="K977" t="s">
        <v>360</v>
      </c>
      <c r="L977"/>
      <c r="M977"/>
      <c r="N977"/>
    </row>
    <row r="978" spans="1:16" s="3" customFormat="1" ht="18" customHeight="1">
      <c r="A978" s="2" t="s">
        <v>3</v>
      </c>
      <c r="B978"/>
      <c r="C978"/>
      <c r="D978"/>
      <c r="E978"/>
      <c r="F978" s="38"/>
      <c r="G978" s="38"/>
      <c r="H978"/>
      <c r="I978" s="2" t="s">
        <v>361</v>
      </c>
      <c r="J978"/>
      <c r="K978"/>
      <c r="L978"/>
      <c r="M978"/>
      <c r="N978"/>
    </row>
    <row r="979" spans="1:16" s="3" customFormat="1" ht="18" customHeight="1">
      <c r="A979" s="1" t="s">
        <v>2</v>
      </c>
      <c r="B979" s="2" t="s">
        <v>3</v>
      </c>
      <c r="C979"/>
      <c r="D979"/>
      <c r="E979"/>
      <c r="F979" s="38"/>
      <c r="G979" s="38"/>
      <c r="H979"/>
      <c r="I979" s="2"/>
      <c r="J979"/>
      <c r="K979"/>
      <c r="L979"/>
      <c r="M979" t="s">
        <v>365</v>
      </c>
      <c r="N979"/>
    </row>
    <row r="980" spans="1:16" s="3" customFormat="1" ht="18" customHeight="1">
      <c r="A980" s="6">
        <v>1</v>
      </c>
      <c r="B980" s="6">
        <v>2</v>
      </c>
      <c r="C980" s="6">
        <v>9</v>
      </c>
      <c r="D980" s="6">
        <v>7</v>
      </c>
      <c r="E980" s="6">
        <v>10</v>
      </c>
      <c r="F980" s="6">
        <v>23</v>
      </c>
      <c r="G980" s="6">
        <v>14</v>
      </c>
      <c r="H980" s="6">
        <v>15</v>
      </c>
      <c r="I980" t="s">
        <v>345</v>
      </c>
      <c r="J980"/>
      <c r="K980" t="s">
        <v>346</v>
      </c>
      <c r="L980"/>
      <c r="M980"/>
      <c r="N980"/>
    </row>
    <row r="981" spans="1:16" s="3" customFormat="1" ht="18" customHeight="1">
      <c r="A981" s="6">
        <v>5</v>
      </c>
      <c r="B981" s="6">
        <v>6</v>
      </c>
      <c r="C981" s="6">
        <v>4</v>
      </c>
      <c r="D981" s="6">
        <v>8</v>
      </c>
      <c r="E981" s="6">
        <v>3</v>
      </c>
      <c r="F981" s="6">
        <v>28</v>
      </c>
      <c r="G981" s="6">
        <v>57</v>
      </c>
      <c r="H981" s="6">
        <v>12</v>
      </c>
      <c r="I981" t="s">
        <v>347</v>
      </c>
      <c r="J981"/>
      <c r="K981" t="s">
        <v>348</v>
      </c>
      <c r="L981"/>
      <c r="M981"/>
      <c r="N981"/>
    </row>
    <row r="982" spans="1:16" s="3" customFormat="1" ht="18" customHeight="1">
      <c r="A982" s="6">
        <v>18</v>
      </c>
      <c r="B982" s="6">
        <v>16</v>
      </c>
      <c r="C982" s="6">
        <v>13</v>
      </c>
      <c r="D982" s="6">
        <v>39</v>
      </c>
      <c r="E982" s="6">
        <v>24</v>
      </c>
      <c r="F982" s="6">
        <v>17</v>
      </c>
      <c r="G982" s="6">
        <v>19</v>
      </c>
      <c r="H982" s="6">
        <v>40</v>
      </c>
      <c r="I982" t="s">
        <v>349</v>
      </c>
      <c r="J982"/>
      <c r="K982" t="s">
        <v>350</v>
      </c>
      <c r="L982"/>
      <c r="M982"/>
      <c r="N982"/>
    </row>
    <row r="983" spans="1:16" s="3" customFormat="1" ht="18" customHeight="1">
      <c r="A983" s="6">
        <v>41</v>
      </c>
      <c r="B983" s="6">
        <v>42</v>
      </c>
      <c r="C983" s="6">
        <v>43</v>
      </c>
      <c r="D983" s="6">
        <v>48</v>
      </c>
      <c r="E983" s="6">
        <v>49</v>
      </c>
      <c r="F983" s="6">
        <v>50</v>
      </c>
      <c r="G983" s="6">
        <v>51</v>
      </c>
      <c r="H983" s="6">
        <v>52</v>
      </c>
      <c r="I983" t="s">
        <v>351</v>
      </c>
      <c r="J983"/>
      <c r="K983" t="s">
        <v>352</v>
      </c>
      <c r="L983"/>
      <c r="M983"/>
      <c r="N983"/>
    </row>
    <row r="984" spans="1:16" s="3" customFormat="1" ht="18" customHeight="1">
      <c r="A984" s="6">
        <v>44</v>
      </c>
      <c r="B984" s="6">
        <v>45</v>
      </c>
      <c r="C984" s="6">
        <v>46</v>
      </c>
      <c r="D984" s="6">
        <v>47</v>
      </c>
      <c r="E984" s="6">
        <v>53</v>
      </c>
      <c r="F984" s="6">
        <v>54</v>
      </c>
      <c r="G984" s="6">
        <v>55</v>
      </c>
      <c r="H984" s="6">
        <v>56</v>
      </c>
      <c r="I984" t="s">
        <v>353</v>
      </c>
      <c r="J984"/>
      <c r="K984" t="s">
        <v>354</v>
      </c>
      <c r="L984"/>
      <c r="M984"/>
      <c r="N984"/>
    </row>
    <row r="985" spans="1:16" s="3" customFormat="1" ht="18" customHeight="1">
      <c r="A985" s="6">
        <v>38</v>
      </c>
      <c r="B985" s="6">
        <v>64</v>
      </c>
      <c r="C985" s="6">
        <v>27</v>
      </c>
      <c r="D985" s="6">
        <v>29</v>
      </c>
      <c r="E985" s="6">
        <v>30</v>
      </c>
      <c r="F985" s="6">
        <v>31</v>
      </c>
      <c r="G985" s="6">
        <v>32</v>
      </c>
      <c r="H985" s="6">
        <v>33</v>
      </c>
      <c r="I985" t="s">
        <v>355</v>
      </c>
      <c r="J985"/>
      <c r="K985" t="s">
        <v>356</v>
      </c>
      <c r="L985"/>
      <c r="M985"/>
      <c r="N985"/>
    </row>
    <row r="986" spans="1:16" s="3" customFormat="1" ht="18" customHeight="1">
      <c r="A986" s="6">
        <v>34</v>
      </c>
      <c r="B986" s="6">
        <v>35</v>
      </c>
      <c r="C986" s="6">
        <v>25</v>
      </c>
      <c r="D986" s="6">
        <v>26</v>
      </c>
      <c r="E986" s="6">
        <v>36</v>
      </c>
      <c r="F986" s="6">
        <v>61</v>
      </c>
      <c r="G986" s="6">
        <v>255</v>
      </c>
      <c r="H986" s="6">
        <v>255</v>
      </c>
      <c r="I986" t="s">
        <v>357</v>
      </c>
      <c r="J986"/>
      <c r="K986" t="s">
        <v>358</v>
      </c>
      <c r="L986"/>
      <c r="M986"/>
      <c r="N986"/>
    </row>
    <row r="987" spans="1:16" s="3" customFormat="1" ht="18" customHeight="1">
      <c r="A987" s="6">
        <v>255</v>
      </c>
      <c r="B987" s="6">
        <v>255</v>
      </c>
      <c r="C987" s="6">
        <v>255</v>
      </c>
      <c r="D987" s="6">
        <v>255</v>
      </c>
      <c r="E987" s="6">
        <v>255</v>
      </c>
      <c r="F987" s="6">
        <v>255</v>
      </c>
      <c r="G987" s="6">
        <v>255</v>
      </c>
      <c r="H987" s="6">
        <v>255</v>
      </c>
      <c r="I987" t="s">
        <v>359</v>
      </c>
      <c r="J987"/>
      <c r="K987" t="s">
        <v>360</v>
      </c>
      <c r="L987"/>
      <c r="M987"/>
      <c r="N987"/>
    </row>
    <row r="988" spans="1:16">
      <c r="A988" s="36" t="s">
        <v>277</v>
      </c>
      <c r="B988" s="54">
        <f>B865+1</f>
        <v>11</v>
      </c>
      <c r="C988" s="10" t="s">
        <v>366</v>
      </c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</row>
    <row r="989" spans="1:16">
      <c r="A989" s="1" t="s">
        <v>2</v>
      </c>
      <c r="B989" s="55" t="s">
        <v>3</v>
      </c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>
        <v>1</v>
      </c>
      <c r="P989" s="3"/>
    </row>
    <row r="990" spans="1:16">
      <c r="A990" s="6">
        <v>0</v>
      </c>
      <c r="B990" s="56">
        <v>0</v>
      </c>
      <c r="C990" s="6">
        <v>0</v>
      </c>
      <c r="D990" s="2" t="s">
        <v>3</v>
      </c>
      <c r="E990" s="3"/>
      <c r="F990" s="2" t="s">
        <v>367</v>
      </c>
      <c r="G990" s="3"/>
      <c r="H990" s="3"/>
      <c r="I990" s="3"/>
      <c r="J990" s="3"/>
      <c r="K990" s="3"/>
      <c r="L990" s="3"/>
      <c r="M990" s="3"/>
      <c r="N990" s="3"/>
      <c r="O990" s="3">
        <v>2</v>
      </c>
      <c r="P990" s="3"/>
    </row>
    <row r="991" spans="1:16">
      <c r="A991" s="6">
        <v>0</v>
      </c>
      <c r="B991" s="56">
        <v>0</v>
      </c>
      <c r="C991" s="6">
        <v>0</v>
      </c>
      <c r="D991" s="2" t="s">
        <v>3</v>
      </c>
      <c r="E991" s="3"/>
      <c r="F991" s="2" t="s">
        <v>368</v>
      </c>
      <c r="G991" s="3"/>
      <c r="H991" s="3"/>
      <c r="I991" s="3"/>
      <c r="J991" s="3"/>
      <c r="K991" s="3"/>
      <c r="L991" s="3"/>
      <c r="M991" s="3"/>
      <c r="N991" s="3"/>
      <c r="O991" s="3">
        <v>3</v>
      </c>
      <c r="P991" s="3"/>
    </row>
    <row r="992" spans="1:16">
      <c r="A992" s="6">
        <v>0</v>
      </c>
      <c r="B992" s="56">
        <v>0</v>
      </c>
      <c r="C992" s="6">
        <v>0</v>
      </c>
      <c r="D992" s="2" t="s">
        <v>3</v>
      </c>
      <c r="E992" s="3"/>
      <c r="F992" s="2" t="s">
        <v>369</v>
      </c>
      <c r="G992" s="3"/>
      <c r="H992" s="3"/>
      <c r="I992" s="3"/>
      <c r="J992" s="3"/>
      <c r="K992" s="3"/>
      <c r="L992" s="3"/>
      <c r="M992" s="3"/>
      <c r="N992" s="3"/>
      <c r="O992" s="3">
        <v>4</v>
      </c>
      <c r="P992" s="3"/>
    </row>
    <row r="993" spans="1:16">
      <c r="A993" s="6">
        <v>0</v>
      </c>
      <c r="B993" s="56">
        <v>0</v>
      </c>
      <c r="C993" s="6">
        <v>0</v>
      </c>
      <c r="D993" s="2" t="s">
        <v>3</v>
      </c>
      <c r="F993" s="2" t="s">
        <v>175</v>
      </c>
      <c r="G993" s="3"/>
      <c r="H993" s="3"/>
      <c r="I993" s="3"/>
      <c r="J993" s="3"/>
      <c r="K993" s="3"/>
      <c r="L993" s="3"/>
      <c r="M993" s="3"/>
      <c r="N993" s="3"/>
      <c r="O993" s="3">
        <v>5</v>
      </c>
      <c r="P993" s="3"/>
    </row>
    <row r="994" spans="1:16">
      <c r="A994" s="6">
        <v>0</v>
      </c>
      <c r="B994" s="56">
        <v>0</v>
      </c>
      <c r="C994" s="6">
        <v>0</v>
      </c>
      <c r="D994" s="2" t="s">
        <v>3</v>
      </c>
      <c r="F994" t="s">
        <v>370</v>
      </c>
      <c r="G994" s="3"/>
      <c r="H994" s="3"/>
      <c r="I994" s="3"/>
      <c r="J994" s="3"/>
      <c r="K994" s="3"/>
      <c r="L994" s="3"/>
      <c r="M994" s="3"/>
      <c r="N994" s="3"/>
      <c r="O994" s="3">
        <v>6</v>
      </c>
      <c r="P994" s="3"/>
    </row>
    <row r="995" spans="1:16">
      <c r="A995" s="6">
        <v>88</v>
      </c>
      <c r="B995" s="2" t="s">
        <v>3</v>
      </c>
      <c r="C995" s="3"/>
      <c r="D995" s="3"/>
      <c r="E995" s="3"/>
      <c r="F995" s="2" t="s">
        <v>371</v>
      </c>
      <c r="G995" s="3"/>
      <c r="H995" s="3"/>
      <c r="I995" s="3"/>
      <c r="J995" s="3"/>
      <c r="K995" s="3"/>
      <c r="L995" s="3"/>
      <c r="M995" s="3"/>
      <c r="N995" s="3"/>
      <c r="O995" s="3">
        <v>7</v>
      </c>
      <c r="P995" s="3"/>
    </row>
    <row r="996" spans="1:16">
      <c r="A996" t="s">
        <v>176</v>
      </c>
      <c r="B996" s="2" t="s">
        <v>3</v>
      </c>
      <c r="C996" s="15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>
        <v>8</v>
      </c>
      <c r="P996" s="3"/>
    </row>
    <row r="997" spans="1:16">
      <c r="A997" s="25" t="s">
        <v>177</v>
      </c>
      <c r="B997" s="68" t="s">
        <v>372</v>
      </c>
      <c r="C997" s="26" t="s">
        <v>373</v>
      </c>
      <c r="D997" s="26" t="s">
        <v>11</v>
      </c>
      <c r="E997" s="3" t="s">
        <v>374</v>
      </c>
      <c r="F997" s="3"/>
      <c r="G997" s="3"/>
      <c r="H997" s="3"/>
      <c r="I997" s="3"/>
      <c r="J997" s="3"/>
      <c r="K997" s="3"/>
      <c r="L997" s="3"/>
      <c r="M997" s="3"/>
      <c r="N997" s="3"/>
      <c r="O997" s="3">
        <v>9</v>
      </c>
      <c r="P997" s="3"/>
    </row>
    <row r="998" spans="1:16">
      <c r="A998" s="6">
        <f>HEX2DEC(42)</f>
        <v>66</v>
      </c>
      <c r="B998" s="56">
        <f>HEX2DEC(40)</f>
        <v>64</v>
      </c>
      <c r="C998" s="6">
        <f>HEX2DEC(42)</f>
        <v>66</v>
      </c>
      <c r="D998" s="6">
        <v>0</v>
      </c>
      <c r="E998" t="s">
        <v>32</v>
      </c>
      <c r="F998" t="s">
        <v>181</v>
      </c>
      <c r="G998" s="3"/>
      <c r="H998" s="3"/>
      <c r="I998" s="3"/>
      <c r="J998" s="3"/>
      <c r="K998" s="3"/>
      <c r="L998" s="3"/>
      <c r="M998" s="3"/>
      <c r="N998" s="3"/>
      <c r="O998" s="3">
        <v>10</v>
      </c>
      <c r="P998" s="3"/>
    </row>
    <row r="999" spans="1:16">
      <c r="A999" s="6">
        <f t="shared" ref="A999:A1005" si="18">HEX2DEC(42)</f>
        <v>66</v>
      </c>
      <c r="B999" s="56">
        <f t="shared" ref="B999:B1005" si="19">HEX2DEC(40)</f>
        <v>64</v>
      </c>
      <c r="C999" s="6">
        <f t="shared" ref="C999:C1005" si="20">HEX2DEC(42)</f>
        <v>66</v>
      </c>
      <c r="D999" s="6">
        <v>0</v>
      </c>
      <c r="E999" t="s">
        <v>32</v>
      </c>
      <c r="F999" t="s">
        <v>182</v>
      </c>
      <c r="G999" s="3"/>
      <c r="H999" s="3"/>
      <c r="I999" s="3"/>
      <c r="J999" s="3"/>
      <c r="K999" s="3"/>
      <c r="L999" s="3"/>
      <c r="M999" s="3"/>
      <c r="N999" s="3"/>
      <c r="O999" s="3">
        <v>11</v>
      </c>
      <c r="P999" s="3"/>
    </row>
    <row r="1000" spans="1:16">
      <c r="A1000" s="6">
        <f t="shared" si="18"/>
        <v>66</v>
      </c>
      <c r="B1000" s="56">
        <f t="shared" si="19"/>
        <v>64</v>
      </c>
      <c r="C1000" s="6">
        <f t="shared" si="20"/>
        <v>66</v>
      </c>
      <c r="D1000" s="6">
        <v>0</v>
      </c>
      <c r="E1000" t="s">
        <v>32</v>
      </c>
      <c r="F1000" t="s">
        <v>183</v>
      </c>
      <c r="G1000" s="3"/>
      <c r="H1000" s="3"/>
      <c r="I1000" s="3"/>
      <c r="J1000" s="3"/>
      <c r="K1000" s="3"/>
      <c r="L1000" s="3"/>
      <c r="M1000" s="3"/>
      <c r="N1000" s="3"/>
      <c r="O1000" s="3">
        <v>12</v>
      </c>
      <c r="P1000" s="3"/>
    </row>
    <row r="1001" spans="1:16">
      <c r="A1001" s="6">
        <f t="shared" si="18"/>
        <v>66</v>
      </c>
      <c r="B1001" s="56">
        <f t="shared" si="19"/>
        <v>64</v>
      </c>
      <c r="C1001" s="6">
        <f t="shared" si="20"/>
        <v>66</v>
      </c>
      <c r="D1001" s="6">
        <v>0</v>
      </c>
      <c r="E1001" t="s">
        <v>32</v>
      </c>
      <c r="F1001" t="s">
        <v>184</v>
      </c>
      <c r="G1001" s="3"/>
      <c r="H1001" s="3"/>
      <c r="I1001" s="3"/>
      <c r="J1001" s="3"/>
      <c r="K1001" s="3"/>
      <c r="L1001" s="3"/>
      <c r="M1001" s="3"/>
      <c r="N1001" s="3"/>
      <c r="O1001" s="3">
        <v>13</v>
      </c>
      <c r="P1001" s="3"/>
    </row>
    <row r="1002" spans="1:16">
      <c r="A1002" s="6">
        <f t="shared" si="18"/>
        <v>66</v>
      </c>
      <c r="B1002" s="56">
        <f t="shared" si="19"/>
        <v>64</v>
      </c>
      <c r="C1002" s="6">
        <f t="shared" si="20"/>
        <v>66</v>
      </c>
      <c r="D1002" s="6">
        <v>0</v>
      </c>
      <c r="E1002" t="s">
        <v>32</v>
      </c>
      <c r="F1002" t="s">
        <v>185</v>
      </c>
      <c r="G1002" s="3"/>
      <c r="H1002" s="3"/>
      <c r="I1002" s="3"/>
      <c r="J1002" s="3"/>
      <c r="K1002" s="3"/>
      <c r="L1002" s="3"/>
      <c r="M1002" s="3"/>
      <c r="N1002" s="3"/>
      <c r="O1002" s="3">
        <v>14</v>
      </c>
      <c r="P1002" s="3"/>
    </row>
    <row r="1003" spans="1:16">
      <c r="A1003" s="6">
        <f t="shared" si="18"/>
        <v>66</v>
      </c>
      <c r="B1003" s="56">
        <f t="shared" si="19"/>
        <v>64</v>
      </c>
      <c r="C1003" s="6">
        <f t="shared" si="20"/>
        <v>66</v>
      </c>
      <c r="D1003" s="6">
        <v>0</v>
      </c>
      <c r="E1003" t="s">
        <v>32</v>
      </c>
      <c r="F1003" t="s">
        <v>186</v>
      </c>
      <c r="G1003" s="3"/>
      <c r="H1003" s="3"/>
      <c r="I1003" s="3"/>
      <c r="J1003" s="3"/>
      <c r="K1003" s="3"/>
      <c r="L1003" s="3"/>
      <c r="M1003" s="3"/>
      <c r="N1003" s="3"/>
      <c r="O1003" s="3">
        <v>15</v>
      </c>
      <c r="P1003" s="3"/>
    </row>
    <row r="1004" spans="1:16">
      <c r="A1004" s="6">
        <f t="shared" si="18"/>
        <v>66</v>
      </c>
      <c r="B1004" s="56">
        <f t="shared" si="19"/>
        <v>64</v>
      </c>
      <c r="C1004" s="6">
        <f t="shared" si="20"/>
        <v>66</v>
      </c>
      <c r="D1004" s="6">
        <v>0</v>
      </c>
      <c r="E1004" t="s">
        <v>32</v>
      </c>
      <c r="F1004" t="s">
        <v>187</v>
      </c>
      <c r="G1004" s="3"/>
      <c r="H1004" s="3"/>
      <c r="I1004" s="3"/>
      <c r="J1004" s="3"/>
      <c r="K1004" s="3"/>
      <c r="L1004" s="3"/>
      <c r="M1004" s="3"/>
      <c r="N1004" s="3"/>
      <c r="O1004" s="3">
        <v>16</v>
      </c>
      <c r="P1004" s="3"/>
    </row>
    <row r="1005" spans="1:16">
      <c r="A1005" s="41">
        <f t="shared" si="18"/>
        <v>66</v>
      </c>
      <c r="B1005" s="56">
        <f t="shared" si="19"/>
        <v>64</v>
      </c>
      <c r="C1005" s="41">
        <f t="shared" si="20"/>
        <v>66</v>
      </c>
      <c r="D1005" s="41">
        <v>0</v>
      </c>
      <c r="E1005" s="34" t="s">
        <v>3</v>
      </c>
      <c r="F1005" s="34" t="s">
        <v>188</v>
      </c>
      <c r="G1005" s="40"/>
      <c r="H1005" s="40"/>
      <c r="I1005" s="40"/>
      <c r="J1005" s="40"/>
      <c r="K1005" s="40"/>
      <c r="L1005" s="40"/>
      <c r="M1005" s="40"/>
      <c r="N1005" s="40"/>
      <c r="O1005" s="3">
        <v>17</v>
      </c>
      <c r="P1005" s="40"/>
    </row>
    <row r="1006" spans="1:16">
      <c r="A1006" s="1" t="s">
        <v>2</v>
      </c>
      <c r="B1006" s="55" t="s">
        <v>3</v>
      </c>
      <c r="C1006" s="3"/>
      <c r="D1006" s="3"/>
      <c r="E1006" s="3"/>
      <c r="F1006" s="3"/>
      <c r="G1006" s="3"/>
      <c r="H1006" s="3"/>
      <c r="I1006" s="40" t="s">
        <v>375</v>
      </c>
      <c r="J1006" s="40"/>
      <c r="K1006" s="40"/>
      <c r="L1006" s="40"/>
      <c r="M1006" s="40"/>
      <c r="N1006" s="40"/>
      <c r="O1006" s="3">
        <v>18</v>
      </c>
      <c r="P1006" s="40"/>
    </row>
    <row r="1007" spans="1:16">
      <c r="A1007" s="6">
        <v>0</v>
      </c>
      <c r="B1007" s="56">
        <v>0</v>
      </c>
      <c r="C1007" s="6">
        <v>0</v>
      </c>
      <c r="D1007" s="2" t="s">
        <v>3</v>
      </c>
      <c r="E1007" s="3"/>
      <c r="F1007" s="2" t="s">
        <v>376</v>
      </c>
      <c r="G1007" s="3"/>
      <c r="H1007" s="3"/>
      <c r="I1007" s="40"/>
      <c r="J1007" s="40"/>
      <c r="K1007" s="40"/>
      <c r="L1007" s="40"/>
      <c r="M1007" s="40"/>
      <c r="N1007" s="40"/>
      <c r="O1007" s="3">
        <v>19</v>
      </c>
      <c r="P1007" s="40"/>
    </row>
    <row r="1008" spans="1:16">
      <c r="A1008" s="6">
        <v>0</v>
      </c>
      <c r="B1008" s="56">
        <v>0</v>
      </c>
      <c r="C1008" s="6">
        <v>0</v>
      </c>
      <c r="D1008" s="2" t="s">
        <v>3</v>
      </c>
      <c r="E1008" s="3"/>
      <c r="F1008" s="2" t="s">
        <v>377</v>
      </c>
      <c r="G1008" s="3"/>
      <c r="H1008" s="3"/>
      <c r="I1008" s="40"/>
      <c r="J1008" s="40"/>
      <c r="K1008" s="40"/>
      <c r="L1008" s="40"/>
      <c r="M1008" s="40"/>
      <c r="N1008" s="40"/>
      <c r="O1008" s="3">
        <v>20</v>
      </c>
      <c r="P1008" s="40"/>
    </row>
    <row r="1009" spans="1:16">
      <c r="A1009" s="6">
        <v>0</v>
      </c>
      <c r="B1009" s="56">
        <v>0</v>
      </c>
      <c r="C1009" s="6">
        <v>0</v>
      </c>
      <c r="D1009" s="2" t="s">
        <v>3</v>
      </c>
      <c r="E1009" s="34"/>
      <c r="F1009" s="2" t="s">
        <v>378</v>
      </c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</row>
    <row r="1010" spans="1:16">
      <c r="A1010" s="6">
        <v>255</v>
      </c>
      <c r="B1010" s="6">
        <v>176</v>
      </c>
      <c r="C1010" s="6">
        <v>0</v>
      </c>
      <c r="D1010" s="2" t="s">
        <v>3</v>
      </c>
      <c r="E1010" s="34"/>
      <c r="F1010" s="2" t="s">
        <v>1039</v>
      </c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</row>
    <row r="1011" spans="1:16">
      <c r="A1011" s="6">
        <v>0</v>
      </c>
      <c r="B1011" s="2" t="s">
        <v>3</v>
      </c>
      <c r="C1011" s="50"/>
      <c r="D1011" s="50"/>
      <c r="E1011" s="34"/>
      <c r="F1011" s="2" t="s">
        <v>11</v>
      </c>
      <c r="G1011" s="40"/>
      <c r="H1011" s="40"/>
      <c r="I1011" s="40"/>
      <c r="J1011" s="40"/>
      <c r="K1011" s="40"/>
      <c r="L1011" s="40"/>
      <c r="M1011" s="40"/>
      <c r="N1011" s="40"/>
      <c r="O1011" s="40"/>
      <c r="P1011" s="40"/>
    </row>
    <row r="1012" spans="1:16">
      <c r="A1012" s="6">
        <v>0</v>
      </c>
      <c r="B1012" s="2" t="s">
        <v>3</v>
      </c>
      <c r="C1012" s="50"/>
      <c r="D1012" s="50"/>
      <c r="E1012" s="34"/>
      <c r="F1012" s="2" t="s">
        <v>11</v>
      </c>
      <c r="G1012" s="40"/>
      <c r="H1012" s="40"/>
      <c r="I1012" s="40"/>
      <c r="J1012" s="40"/>
      <c r="K1012" s="40"/>
      <c r="L1012" s="40"/>
      <c r="M1012" s="40"/>
      <c r="N1012" s="40"/>
      <c r="O1012" s="40"/>
      <c r="P1012" s="40"/>
    </row>
    <row r="1013" spans="1:16">
      <c r="A1013" s="6">
        <v>0</v>
      </c>
      <c r="B1013" s="2" t="s">
        <v>3</v>
      </c>
      <c r="C1013" s="50"/>
      <c r="D1013" s="50"/>
      <c r="E1013" s="34"/>
      <c r="F1013" s="2" t="s">
        <v>11</v>
      </c>
      <c r="G1013" s="40"/>
      <c r="H1013" s="40"/>
      <c r="I1013" s="40"/>
      <c r="J1013" s="40"/>
      <c r="K1013" s="40"/>
      <c r="L1013" s="40"/>
      <c r="M1013" s="40"/>
      <c r="N1013" s="40"/>
      <c r="O1013" s="40"/>
      <c r="P1013" s="40"/>
    </row>
    <row r="1014" spans="1:16">
      <c r="A1014" s="6">
        <v>0</v>
      </c>
      <c r="B1014" s="2" t="s">
        <v>3</v>
      </c>
      <c r="C1014" s="50"/>
      <c r="D1014" s="50"/>
      <c r="E1014" s="34"/>
      <c r="F1014" s="2" t="s">
        <v>11</v>
      </c>
      <c r="G1014" s="40"/>
      <c r="H1014" s="40"/>
      <c r="I1014" s="40"/>
      <c r="J1014" s="40"/>
      <c r="K1014" s="40"/>
      <c r="L1014" s="40"/>
      <c r="M1014" s="40"/>
      <c r="N1014" s="40"/>
      <c r="O1014" s="40"/>
      <c r="P1014" s="40"/>
    </row>
    <row r="1015" spans="1:16">
      <c r="A1015" s="2" t="s">
        <v>379</v>
      </c>
      <c r="C1015" s="50"/>
      <c r="D1015" s="50"/>
      <c r="E1015" s="34"/>
      <c r="F1015" s="2"/>
      <c r="G1015" s="40"/>
      <c r="H1015" s="40"/>
      <c r="I1015" s="40"/>
      <c r="J1015" s="40"/>
      <c r="K1015" s="40"/>
      <c r="L1015" s="40"/>
      <c r="M1015" s="40"/>
      <c r="N1015" s="40"/>
      <c r="O1015" s="40"/>
      <c r="P1015" s="40"/>
    </row>
    <row r="1016" spans="1:16">
      <c r="A1016" t="s">
        <v>176</v>
      </c>
      <c r="B1016" s="2" t="s">
        <v>342</v>
      </c>
      <c r="C1016" t="s">
        <v>380</v>
      </c>
      <c r="F1016" s="38"/>
      <c r="G1016" s="38"/>
      <c r="J1016" s="1"/>
      <c r="K1016" s="1"/>
      <c r="L1016" s="40"/>
      <c r="M1016" s="40"/>
      <c r="N1016" s="40"/>
      <c r="O1016" s="40"/>
      <c r="P1016" s="40"/>
    </row>
    <row r="1017" spans="1:16">
      <c r="A1017" s="8">
        <v>1</v>
      </c>
      <c r="B1017" s="8">
        <v>2</v>
      </c>
      <c r="C1017" s="8">
        <v>3</v>
      </c>
      <c r="D1017" s="8">
        <v>4</v>
      </c>
      <c r="E1017" s="8">
        <v>5</v>
      </c>
      <c r="F1017" s="8">
        <v>6</v>
      </c>
      <c r="G1017" s="8">
        <v>7</v>
      </c>
      <c r="H1017" s="8">
        <v>8</v>
      </c>
      <c r="I1017" s="3" t="s">
        <v>381</v>
      </c>
      <c r="J1017" s="1"/>
      <c r="K1017" s="1"/>
      <c r="L1017" s="40"/>
      <c r="M1017" s="40"/>
      <c r="N1017" s="40"/>
      <c r="O1017" s="40"/>
      <c r="P1017" s="40"/>
    </row>
    <row r="1018" spans="1:16">
      <c r="A1018" s="8">
        <v>9</v>
      </c>
      <c r="B1018" s="8">
        <v>10</v>
      </c>
      <c r="C1018" s="8">
        <v>11</v>
      </c>
      <c r="D1018" s="8">
        <v>12</v>
      </c>
      <c r="E1018" s="8">
        <v>201</v>
      </c>
      <c r="F1018" s="8">
        <v>202</v>
      </c>
      <c r="G1018" s="8">
        <v>203</v>
      </c>
      <c r="H1018" s="8">
        <v>204</v>
      </c>
      <c r="I1018" s="3" t="s">
        <v>382</v>
      </c>
      <c r="J1018" s="1"/>
      <c r="K1018" s="1"/>
      <c r="L1018" s="40"/>
      <c r="M1018" s="40"/>
      <c r="N1018" s="40"/>
      <c r="O1018" s="40"/>
      <c r="P1018" s="40"/>
    </row>
    <row r="1019" spans="1:16">
      <c r="A1019" s="8">
        <v>14</v>
      </c>
      <c r="B1019" s="8">
        <v>15</v>
      </c>
      <c r="C1019" s="8">
        <v>31</v>
      </c>
      <c r="D1019" s="8">
        <v>32</v>
      </c>
      <c r="E1019" s="8">
        <v>33</v>
      </c>
      <c r="F1019" s="8">
        <v>34</v>
      </c>
      <c r="G1019" s="8">
        <v>35</v>
      </c>
      <c r="H1019" s="8">
        <v>36</v>
      </c>
      <c r="I1019" s="3" t="s">
        <v>383</v>
      </c>
      <c r="J1019" s="1"/>
      <c r="K1019" s="1"/>
      <c r="L1019" s="40"/>
      <c r="M1019" s="40"/>
      <c r="N1019" s="40"/>
      <c r="O1019" s="40"/>
      <c r="P1019" s="40"/>
    </row>
    <row r="1020" spans="1:16">
      <c r="A1020" s="8">
        <v>37</v>
      </c>
      <c r="B1020" s="8">
        <v>38</v>
      </c>
      <c r="C1020" s="8">
        <v>39</v>
      </c>
      <c r="D1020" s="8">
        <v>40</v>
      </c>
      <c r="E1020" s="8">
        <v>41</v>
      </c>
      <c r="F1020" s="8">
        <v>42</v>
      </c>
      <c r="G1020" s="8">
        <v>43</v>
      </c>
      <c r="H1020" s="8">
        <v>44</v>
      </c>
      <c r="I1020" s="3" t="s">
        <v>384</v>
      </c>
      <c r="J1020" s="1"/>
      <c r="K1020" s="1"/>
      <c r="L1020" s="40"/>
      <c r="M1020" s="40"/>
      <c r="N1020" s="40"/>
      <c r="O1020" s="40"/>
      <c r="P1020" s="40"/>
    </row>
    <row r="1021" spans="1:16">
      <c r="A1021" s="8">
        <v>45</v>
      </c>
      <c r="B1021" s="8">
        <v>46</v>
      </c>
      <c r="C1021" s="8">
        <v>47</v>
      </c>
      <c r="D1021" s="8"/>
      <c r="E1021" s="8"/>
      <c r="F1021" s="8"/>
      <c r="G1021" s="8"/>
      <c r="H1021" s="8"/>
      <c r="I1021" s="3" t="s">
        <v>385</v>
      </c>
      <c r="J1021" s="1"/>
      <c r="K1021" s="1"/>
      <c r="L1021" s="40"/>
      <c r="M1021" s="40"/>
      <c r="N1021" s="40"/>
      <c r="O1021" s="40"/>
      <c r="P1021" s="40"/>
    </row>
    <row r="1022" spans="1:16">
      <c r="A1022" s="8"/>
      <c r="B1022" s="8"/>
      <c r="C1022" s="8"/>
      <c r="D1022" s="8"/>
      <c r="E1022" s="8"/>
      <c r="F1022" s="8"/>
      <c r="G1022" s="8"/>
      <c r="H1022" s="8"/>
      <c r="I1022" s="3" t="s">
        <v>386</v>
      </c>
      <c r="J1022" s="1"/>
      <c r="K1022" s="1"/>
      <c r="L1022" s="40"/>
      <c r="M1022" s="40"/>
      <c r="N1022" s="40"/>
      <c r="O1022" s="40"/>
      <c r="P1022" s="40"/>
    </row>
    <row r="1023" spans="1:16">
      <c r="A1023" s="8"/>
      <c r="B1023" s="8"/>
      <c r="C1023" s="8"/>
      <c r="D1023" s="8"/>
      <c r="E1023" s="8"/>
      <c r="F1023" s="8"/>
      <c r="G1023" s="8"/>
      <c r="H1023" s="8"/>
      <c r="I1023" s="3" t="s">
        <v>387</v>
      </c>
      <c r="J1023" s="1"/>
      <c r="K1023" s="1"/>
      <c r="L1023" s="40"/>
      <c r="M1023" s="40"/>
      <c r="N1023" s="40"/>
      <c r="O1023" s="40"/>
      <c r="P1023" s="40"/>
    </row>
    <row r="1024" spans="1:16">
      <c r="A1024" s="8"/>
      <c r="B1024" s="8"/>
      <c r="C1024" s="8"/>
      <c r="D1024" s="8"/>
      <c r="E1024" s="8"/>
      <c r="F1024" s="8"/>
      <c r="G1024" s="8"/>
      <c r="H1024" s="8"/>
      <c r="I1024" s="3" t="s">
        <v>388</v>
      </c>
      <c r="J1024" s="1"/>
      <c r="K1024" s="1"/>
      <c r="L1024" s="40"/>
      <c r="M1024" s="40"/>
      <c r="N1024" s="40"/>
      <c r="O1024" s="40"/>
      <c r="P1024" s="40"/>
    </row>
    <row r="1025" spans="1:18">
      <c r="A1025" s="8"/>
      <c r="B1025" s="8"/>
      <c r="C1025" s="8"/>
      <c r="D1025" s="8"/>
      <c r="E1025" s="8"/>
      <c r="F1025" s="8"/>
      <c r="G1025" s="8"/>
      <c r="H1025" s="8"/>
      <c r="I1025" s="3" t="s">
        <v>389</v>
      </c>
      <c r="J1025" s="1"/>
      <c r="K1025" s="1"/>
      <c r="L1025" s="40"/>
      <c r="M1025" s="40"/>
      <c r="N1025" s="40"/>
      <c r="O1025" s="40"/>
      <c r="P1025" s="40"/>
    </row>
    <row r="1026" spans="1:18">
      <c r="A1026" s="8"/>
      <c r="B1026" s="8"/>
      <c r="C1026" s="8"/>
      <c r="D1026" s="8"/>
      <c r="E1026" s="8"/>
      <c r="F1026" s="8"/>
      <c r="G1026" s="8"/>
      <c r="H1026" s="8"/>
      <c r="I1026" s="3" t="s">
        <v>390</v>
      </c>
      <c r="J1026" s="1"/>
      <c r="K1026" s="1"/>
      <c r="L1026" s="40"/>
      <c r="M1026" s="40"/>
      <c r="N1026" s="40"/>
      <c r="O1026" s="40"/>
      <c r="P1026" s="40"/>
    </row>
    <row r="1027" spans="1:18">
      <c r="A1027" s="8"/>
      <c r="B1027" s="8"/>
      <c r="C1027" s="8"/>
      <c r="D1027" s="8"/>
      <c r="E1027" s="8"/>
      <c r="F1027" s="8"/>
      <c r="G1027" s="8"/>
      <c r="H1027" s="8"/>
      <c r="I1027" s="3" t="s">
        <v>391</v>
      </c>
      <c r="J1027" s="1"/>
      <c r="K1027" s="1"/>
      <c r="L1027" s="40"/>
      <c r="M1027" s="40"/>
      <c r="N1027" s="40"/>
      <c r="O1027" s="40"/>
      <c r="P1027" s="40"/>
    </row>
    <row r="1028" spans="1:18">
      <c r="A1028" s="34" t="s">
        <v>392</v>
      </c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</row>
    <row r="1029" spans="1:18">
      <c r="A1029" s="42" t="s">
        <v>393</v>
      </c>
      <c r="B1029" s="71"/>
      <c r="C1029" s="42" t="s">
        <v>394</v>
      </c>
      <c r="D1029" s="43"/>
      <c r="E1029" s="42" t="s">
        <v>395</v>
      </c>
      <c r="F1029" s="43"/>
      <c r="G1029" s="42" t="s">
        <v>396</v>
      </c>
      <c r="H1029" s="43"/>
      <c r="I1029" s="42" t="s">
        <v>397</v>
      </c>
      <c r="J1029" s="43"/>
      <c r="K1029" s="42" t="s">
        <v>398</v>
      </c>
      <c r="L1029" s="43"/>
      <c r="M1029" s="42" t="s">
        <v>399</v>
      </c>
      <c r="N1029" s="43"/>
      <c r="O1029" s="42" t="s">
        <v>400</v>
      </c>
      <c r="P1029" s="43"/>
    </row>
    <row r="1030" spans="1:18">
      <c r="A1030" s="44" t="s">
        <v>401</v>
      </c>
      <c r="B1030" s="72" t="s">
        <v>402</v>
      </c>
      <c r="C1030" s="44" t="s">
        <v>401</v>
      </c>
      <c r="D1030" s="44" t="s">
        <v>402</v>
      </c>
      <c r="E1030" s="44" t="s">
        <v>401</v>
      </c>
      <c r="F1030" s="44" t="s">
        <v>402</v>
      </c>
      <c r="G1030" s="44" t="s">
        <v>401</v>
      </c>
      <c r="H1030" s="44" t="s">
        <v>402</v>
      </c>
      <c r="I1030" s="44" t="s">
        <v>401</v>
      </c>
      <c r="J1030" s="44" t="s">
        <v>402</v>
      </c>
      <c r="K1030" s="44" t="s">
        <v>401</v>
      </c>
      <c r="L1030" s="44" t="s">
        <v>402</v>
      </c>
      <c r="M1030" s="44" t="s">
        <v>401</v>
      </c>
      <c r="N1030" s="44" t="s">
        <v>402</v>
      </c>
      <c r="O1030" s="44" t="s">
        <v>401</v>
      </c>
      <c r="P1030" s="44" t="s">
        <v>402</v>
      </c>
    </row>
    <row r="1031" spans="1:18">
      <c r="A1031" s="45">
        <v>496</v>
      </c>
      <c r="B1031" s="73">
        <v>536</v>
      </c>
      <c r="C1031" s="45">
        <v>498</v>
      </c>
      <c r="D1031" s="45">
        <v>537</v>
      </c>
      <c r="E1031" s="45">
        <v>500</v>
      </c>
      <c r="F1031" s="45">
        <v>538</v>
      </c>
      <c r="G1031" s="45">
        <v>502</v>
      </c>
      <c r="H1031" s="45">
        <v>539</v>
      </c>
      <c r="I1031" s="45">
        <v>504</v>
      </c>
      <c r="J1031" s="45">
        <v>540</v>
      </c>
      <c r="K1031" s="45">
        <v>506</v>
      </c>
      <c r="L1031" s="45">
        <v>541</v>
      </c>
      <c r="M1031" s="45">
        <v>508</v>
      </c>
      <c r="N1031" s="45">
        <v>542</v>
      </c>
      <c r="O1031" s="45">
        <v>510</v>
      </c>
      <c r="P1031" s="45">
        <v>543</v>
      </c>
      <c r="R1031" s="46" t="s">
        <v>403</v>
      </c>
    </row>
    <row r="1032" spans="1:18">
      <c r="A1032" s="6">
        <f>HEX2DEC(42)</f>
        <v>66</v>
      </c>
      <c r="B1032" s="6">
        <f>HEX2DEC(30)</f>
        <v>48</v>
      </c>
      <c r="C1032" s="6">
        <f t="shared" ref="C1032" si="21">HEX2DEC(42)</f>
        <v>66</v>
      </c>
      <c r="D1032" s="6">
        <f>HEX2DEC(30)</f>
        <v>48</v>
      </c>
      <c r="E1032" s="6">
        <f t="shared" ref="E1032" si="22">HEX2DEC(42)</f>
        <v>66</v>
      </c>
      <c r="F1032" s="6">
        <f>HEX2DEC(30)</f>
        <v>48</v>
      </c>
      <c r="G1032" s="6">
        <f t="shared" ref="G1032" si="23">HEX2DEC(42)</f>
        <v>66</v>
      </c>
      <c r="H1032" s="6">
        <f>HEX2DEC(30)</f>
        <v>48</v>
      </c>
      <c r="I1032" s="6">
        <f t="shared" ref="I1032" si="24">HEX2DEC(42)</f>
        <v>66</v>
      </c>
      <c r="J1032" s="6">
        <f>HEX2DEC(30)</f>
        <v>48</v>
      </c>
      <c r="K1032" s="6">
        <f t="shared" ref="K1032" si="25">HEX2DEC(42)</f>
        <v>66</v>
      </c>
      <c r="L1032" s="6">
        <f>HEX2DEC(30)</f>
        <v>48</v>
      </c>
      <c r="M1032" s="6">
        <f t="shared" ref="M1032" si="26">HEX2DEC(42)</f>
        <v>66</v>
      </c>
      <c r="N1032" s="6">
        <f>HEX2DEC(30)</f>
        <v>48</v>
      </c>
      <c r="O1032" s="6">
        <f t="shared" ref="O1032" si="27">HEX2DEC(42)</f>
        <v>66</v>
      </c>
      <c r="P1032" s="6">
        <f>HEX2DEC(30)</f>
        <v>48</v>
      </c>
      <c r="R1032" s="46" t="s">
        <v>404</v>
      </c>
    </row>
    <row r="1033" spans="1:18">
      <c r="A1033" s="34" t="s">
        <v>405</v>
      </c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</row>
    <row r="1034" spans="1:18">
      <c r="A1034" s="42" t="s">
        <v>994</v>
      </c>
      <c r="B1034" s="71"/>
      <c r="C1034" s="42" t="s">
        <v>995</v>
      </c>
      <c r="D1034" s="43"/>
      <c r="E1034" s="42" t="s">
        <v>996</v>
      </c>
      <c r="F1034" s="71"/>
      <c r="G1034" s="42" t="s">
        <v>997</v>
      </c>
      <c r="H1034" s="43"/>
      <c r="I1034" s="42" t="s">
        <v>998</v>
      </c>
      <c r="J1034" s="71"/>
      <c r="K1034" s="42" t="s">
        <v>999</v>
      </c>
      <c r="L1034" s="43"/>
      <c r="M1034" s="42" t="s">
        <v>1000</v>
      </c>
      <c r="N1034" s="71"/>
      <c r="O1034" s="42" t="s">
        <v>1001</v>
      </c>
      <c r="P1034" s="43"/>
      <c r="Q1034" s="119"/>
    </row>
    <row r="1035" spans="1:18">
      <c r="A1035" s="44" t="s">
        <v>993</v>
      </c>
      <c r="B1035" s="72" t="s">
        <v>402</v>
      </c>
      <c r="C1035" s="44" t="s">
        <v>993</v>
      </c>
      <c r="D1035" s="72" t="s">
        <v>402</v>
      </c>
      <c r="E1035" s="44" t="s">
        <v>993</v>
      </c>
      <c r="F1035" s="72" t="s">
        <v>402</v>
      </c>
      <c r="G1035" s="44" t="s">
        <v>993</v>
      </c>
      <c r="H1035" s="72" t="s">
        <v>402</v>
      </c>
      <c r="I1035" s="44" t="s">
        <v>993</v>
      </c>
      <c r="J1035" s="72" t="s">
        <v>402</v>
      </c>
      <c r="K1035" s="44" t="s">
        <v>993</v>
      </c>
      <c r="L1035" s="72" t="s">
        <v>402</v>
      </c>
      <c r="M1035" s="44" t="s">
        <v>993</v>
      </c>
      <c r="N1035" s="72" t="s">
        <v>402</v>
      </c>
      <c r="O1035" s="44" t="s">
        <v>993</v>
      </c>
      <c r="P1035" s="72" t="s">
        <v>402</v>
      </c>
      <c r="Q1035" s="120" t="s">
        <v>992</v>
      </c>
    </row>
    <row r="1036" spans="1:18">
      <c r="A1036" s="223">
        <v>2608</v>
      </c>
      <c r="B1036" s="223">
        <v>2610</v>
      </c>
      <c r="C1036" s="223">
        <v>2611</v>
      </c>
      <c r="D1036" s="223">
        <v>2613</v>
      </c>
      <c r="E1036" s="223">
        <v>2614</v>
      </c>
      <c r="F1036" s="223">
        <v>2616</v>
      </c>
      <c r="G1036" s="223">
        <v>2617</v>
      </c>
      <c r="H1036" s="223">
        <v>2619</v>
      </c>
      <c r="I1036" s="223">
        <v>2620</v>
      </c>
      <c r="J1036" s="223">
        <v>2622</v>
      </c>
      <c r="K1036" s="223">
        <v>2623</v>
      </c>
      <c r="L1036" s="223">
        <v>2625</v>
      </c>
      <c r="M1036" s="223">
        <v>2626</v>
      </c>
      <c r="N1036" s="223">
        <v>2628</v>
      </c>
      <c r="O1036" s="223">
        <v>2629</v>
      </c>
      <c r="P1036" s="223">
        <v>2631</v>
      </c>
      <c r="Q1036" s="223">
        <v>1</v>
      </c>
      <c r="R1036" s="46" t="s">
        <v>406</v>
      </c>
    </row>
    <row r="1037" spans="1:18">
      <c r="A1037" s="223">
        <v>2632</v>
      </c>
      <c r="B1037" s="223">
        <v>2634</v>
      </c>
      <c r="C1037" s="223">
        <v>2635</v>
      </c>
      <c r="D1037" s="223">
        <v>2637</v>
      </c>
      <c r="E1037" s="223">
        <v>2638</v>
      </c>
      <c r="F1037" s="223">
        <v>2640</v>
      </c>
      <c r="G1037" s="223">
        <v>2641</v>
      </c>
      <c r="H1037" s="223">
        <v>2643</v>
      </c>
      <c r="I1037" s="223">
        <v>2644</v>
      </c>
      <c r="J1037" s="223">
        <v>2646</v>
      </c>
      <c r="K1037" s="223">
        <v>2647</v>
      </c>
      <c r="L1037" s="223">
        <v>2649</v>
      </c>
      <c r="M1037" s="223">
        <v>2650</v>
      </c>
      <c r="N1037" s="223">
        <v>2652</v>
      </c>
      <c r="O1037" s="223">
        <v>2653</v>
      </c>
      <c r="P1037" s="223">
        <v>2655</v>
      </c>
      <c r="Q1037" s="223">
        <v>2</v>
      </c>
      <c r="R1037" s="46" t="s">
        <v>407</v>
      </c>
    </row>
    <row r="1038" spans="1:18">
      <c r="A1038" s="223">
        <v>2656</v>
      </c>
      <c r="B1038" s="223">
        <v>2658</v>
      </c>
      <c r="C1038" s="223">
        <v>2659</v>
      </c>
      <c r="D1038" s="223">
        <v>2661</v>
      </c>
      <c r="E1038" s="223">
        <v>2662</v>
      </c>
      <c r="F1038" s="223">
        <v>2664</v>
      </c>
      <c r="G1038" s="223">
        <v>2665</v>
      </c>
      <c r="H1038" s="223">
        <v>2667</v>
      </c>
      <c r="I1038" s="223">
        <v>2668</v>
      </c>
      <c r="J1038" s="223">
        <v>2670</v>
      </c>
      <c r="K1038" s="223">
        <v>2671</v>
      </c>
      <c r="L1038" s="223">
        <v>2673</v>
      </c>
      <c r="M1038" s="223">
        <v>2674</v>
      </c>
      <c r="N1038" s="223">
        <v>2676</v>
      </c>
      <c r="O1038" s="223">
        <v>2677</v>
      </c>
      <c r="P1038" s="223">
        <v>2679</v>
      </c>
      <c r="Q1038" s="223">
        <v>3</v>
      </c>
      <c r="R1038" s="46" t="s">
        <v>408</v>
      </c>
    </row>
    <row r="1039" spans="1:18">
      <c r="A1039" s="223">
        <v>2680</v>
      </c>
      <c r="B1039" s="223">
        <v>2682</v>
      </c>
      <c r="C1039" s="223">
        <v>2683</v>
      </c>
      <c r="D1039" s="223">
        <v>2685</v>
      </c>
      <c r="E1039" s="223">
        <v>2686</v>
      </c>
      <c r="F1039" s="223">
        <v>2688</v>
      </c>
      <c r="G1039" s="223">
        <v>2689</v>
      </c>
      <c r="H1039" s="223">
        <v>2691</v>
      </c>
      <c r="I1039" s="223">
        <v>2692</v>
      </c>
      <c r="J1039" s="223">
        <v>2694</v>
      </c>
      <c r="K1039" s="223">
        <v>2695</v>
      </c>
      <c r="L1039" s="223">
        <v>2697</v>
      </c>
      <c r="M1039" s="223">
        <v>2698</v>
      </c>
      <c r="N1039" s="223">
        <v>2700</v>
      </c>
      <c r="O1039" s="223">
        <v>2701</v>
      </c>
      <c r="P1039" s="223">
        <v>2703</v>
      </c>
      <c r="Q1039" s="223">
        <v>4</v>
      </c>
      <c r="R1039" s="46" t="s">
        <v>409</v>
      </c>
    </row>
    <row r="1040" spans="1:18">
      <c r="A1040" s="223">
        <v>2704</v>
      </c>
      <c r="B1040" s="223">
        <v>2706</v>
      </c>
      <c r="C1040" s="223">
        <v>2707</v>
      </c>
      <c r="D1040" s="223">
        <v>2709</v>
      </c>
      <c r="E1040" s="223">
        <v>2710</v>
      </c>
      <c r="F1040" s="223">
        <v>2712</v>
      </c>
      <c r="G1040" s="223">
        <v>2713</v>
      </c>
      <c r="H1040" s="223">
        <v>2715</v>
      </c>
      <c r="I1040" s="223">
        <v>2716</v>
      </c>
      <c r="J1040" s="223">
        <v>2718</v>
      </c>
      <c r="K1040" s="223">
        <v>2719</v>
      </c>
      <c r="L1040" s="223">
        <v>2721</v>
      </c>
      <c r="M1040" s="223">
        <v>2722</v>
      </c>
      <c r="N1040" s="223">
        <v>2724</v>
      </c>
      <c r="O1040" s="223">
        <v>2725</v>
      </c>
      <c r="P1040" s="223">
        <v>2727</v>
      </c>
      <c r="Q1040" s="223">
        <v>5</v>
      </c>
      <c r="R1040" s="46" t="s">
        <v>410</v>
      </c>
    </row>
    <row r="1041" spans="1:18">
      <c r="A1041" s="223">
        <v>2728</v>
      </c>
      <c r="B1041" s="223">
        <v>2730</v>
      </c>
      <c r="C1041" s="223">
        <v>2731</v>
      </c>
      <c r="D1041" s="223">
        <v>2733</v>
      </c>
      <c r="E1041" s="223">
        <v>2734</v>
      </c>
      <c r="F1041" s="223">
        <v>2736</v>
      </c>
      <c r="G1041" s="223">
        <v>2737</v>
      </c>
      <c r="H1041" s="223">
        <v>2739</v>
      </c>
      <c r="I1041" s="223">
        <v>2740</v>
      </c>
      <c r="J1041" s="223">
        <v>2742</v>
      </c>
      <c r="K1041" s="223">
        <v>2743</v>
      </c>
      <c r="L1041" s="223">
        <v>2745</v>
      </c>
      <c r="M1041" s="223">
        <v>2746</v>
      </c>
      <c r="N1041" s="223">
        <v>2748</v>
      </c>
      <c r="O1041" s="223">
        <v>2749</v>
      </c>
      <c r="P1041" s="223">
        <v>2751</v>
      </c>
      <c r="Q1041" s="223">
        <v>6</v>
      </c>
      <c r="R1041" s="46" t="s">
        <v>411</v>
      </c>
    </row>
    <row r="1042" spans="1:18">
      <c r="A1042" s="223">
        <v>2752</v>
      </c>
      <c r="B1042" s="223">
        <v>2754</v>
      </c>
      <c r="C1042" s="223">
        <v>2755</v>
      </c>
      <c r="D1042" s="223">
        <v>2757</v>
      </c>
      <c r="E1042" s="223">
        <v>2758</v>
      </c>
      <c r="F1042" s="223">
        <v>2760</v>
      </c>
      <c r="G1042" s="223">
        <v>2761</v>
      </c>
      <c r="H1042" s="223">
        <v>2763</v>
      </c>
      <c r="I1042" s="223">
        <v>2764</v>
      </c>
      <c r="J1042" s="223">
        <v>2766</v>
      </c>
      <c r="K1042" s="223">
        <v>2767</v>
      </c>
      <c r="L1042" s="223">
        <v>2769</v>
      </c>
      <c r="M1042" s="223">
        <v>2770</v>
      </c>
      <c r="N1042" s="223">
        <v>2772</v>
      </c>
      <c r="O1042" s="223">
        <v>2773</v>
      </c>
      <c r="P1042" s="223">
        <v>2775</v>
      </c>
      <c r="Q1042" s="223">
        <v>7</v>
      </c>
      <c r="R1042" s="46" t="s">
        <v>412</v>
      </c>
    </row>
    <row r="1043" spans="1:18">
      <c r="A1043" s="223">
        <v>2776</v>
      </c>
      <c r="B1043" s="223">
        <v>2778</v>
      </c>
      <c r="C1043" s="223">
        <v>2779</v>
      </c>
      <c r="D1043" s="223">
        <v>2781</v>
      </c>
      <c r="E1043" s="223">
        <v>2782</v>
      </c>
      <c r="F1043" s="223">
        <v>2784</v>
      </c>
      <c r="G1043" s="223">
        <v>2785</v>
      </c>
      <c r="H1043" s="223">
        <v>2787</v>
      </c>
      <c r="I1043" s="223">
        <v>2788</v>
      </c>
      <c r="J1043" s="223">
        <v>2790</v>
      </c>
      <c r="K1043" s="223">
        <v>2791</v>
      </c>
      <c r="L1043" s="223">
        <v>2793</v>
      </c>
      <c r="M1043" s="223">
        <v>2794</v>
      </c>
      <c r="N1043" s="223">
        <v>2796</v>
      </c>
      <c r="O1043" s="223">
        <v>2797</v>
      </c>
      <c r="P1043" s="223">
        <v>2799</v>
      </c>
      <c r="Q1043" s="223">
        <v>8</v>
      </c>
      <c r="R1043" s="46" t="s">
        <v>413</v>
      </c>
    </row>
    <row r="1044" spans="1:18">
      <c r="A1044" s="223">
        <v>2800</v>
      </c>
      <c r="B1044" s="223">
        <v>2802</v>
      </c>
      <c r="C1044" s="223">
        <v>2803</v>
      </c>
      <c r="D1044" s="223">
        <v>2805</v>
      </c>
      <c r="E1044" s="223">
        <v>2806</v>
      </c>
      <c r="F1044" s="223">
        <v>2808</v>
      </c>
      <c r="G1044" s="223">
        <v>2809</v>
      </c>
      <c r="H1044" s="223">
        <v>2811</v>
      </c>
      <c r="I1044" s="223">
        <v>2812</v>
      </c>
      <c r="J1044" s="223">
        <v>2814</v>
      </c>
      <c r="K1044" s="223">
        <v>2815</v>
      </c>
      <c r="L1044" s="223">
        <v>2817</v>
      </c>
      <c r="M1044" s="223">
        <v>2818</v>
      </c>
      <c r="N1044" s="223">
        <v>2820</v>
      </c>
      <c r="O1044" s="223">
        <v>2821</v>
      </c>
      <c r="P1044" s="223">
        <v>2823</v>
      </c>
      <c r="Q1044" s="223">
        <v>9</v>
      </c>
      <c r="R1044" s="46" t="s">
        <v>414</v>
      </c>
    </row>
    <row r="1045" spans="1:18">
      <c r="A1045" s="223">
        <v>2824</v>
      </c>
      <c r="B1045" s="223">
        <v>2826</v>
      </c>
      <c r="C1045" s="223">
        <v>2827</v>
      </c>
      <c r="D1045" s="223">
        <v>2829</v>
      </c>
      <c r="E1045" s="223">
        <v>2830</v>
      </c>
      <c r="F1045" s="223">
        <v>2832</v>
      </c>
      <c r="G1045" s="223">
        <v>2833</v>
      </c>
      <c r="H1045" s="223">
        <v>2835</v>
      </c>
      <c r="I1045" s="223">
        <v>2836</v>
      </c>
      <c r="J1045" s="223">
        <v>2838</v>
      </c>
      <c r="K1045" s="223">
        <v>2839</v>
      </c>
      <c r="L1045" s="223">
        <v>2841</v>
      </c>
      <c r="M1045" s="223">
        <v>2842</v>
      </c>
      <c r="N1045" s="223">
        <v>2844</v>
      </c>
      <c r="O1045" s="223">
        <v>2845</v>
      </c>
      <c r="P1045" s="223">
        <v>2847</v>
      </c>
      <c r="Q1045" s="223">
        <v>10</v>
      </c>
      <c r="R1045" s="46" t="s">
        <v>415</v>
      </c>
    </row>
    <row r="1046" spans="1:18">
      <c r="A1046" s="223">
        <v>2848</v>
      </c>
      <c r="B1046" s="223">
        <v>2850</v>
      </c>
      <c r="C1046" s="223">
        <v>2851</v>
      </c>
      <c r="D1046" s="223">
        <v>2853</v>
      </c>
      <c r="E1046" s="223">
        <v>2854</v>
      </c>
      <c r="F1046" s="223">
        <v>2856</v>
      </c>
      <c r="G1046" s="223">
        <v>2857</v>
      </c>
      <c r="H1046" s="223">
        <v>2859</v>
      </c>
      <c r="I1046" s="223">
        <v>2860</v>
      </c>
      <c r="J1046" s="223">
        <v>2862</v>
      </c>
      <c r="K1046" s="223">
        <v>2863</v>
      </c>
      <c r="L1046" s="223">
        <v>2865</v>
      </c>
      <c r="M1046" s="223">
        <v>2866</v>
      </c>
      <c r="N1046" s="223">
        <v>2868</v>
      </c>
      <c r="O1046" s="223">
        <v>2869</v>
      </c>
      <c r="P1046" s="223">
        <v>2871</v>
      </c>
      <c r="Q1046" s="223">
        <v>11</v>
      </c>
      <c r="R1046" s="46" t="s">
        <v>416</v>
      </c>
    </row>
    <row r="1047" spans="1:18">
      <c r="A1047" s="223">
        <v>2872</v>
      </c>
      <c r="B1047" s="223">
        <v>2874</v>
      </c>
      <c r="C1047" s="223">
        <v>2875</v>
      </c>
      <c r="D1047" s="223">
        <v>2877</v>
      </c>
      <c r="E1047" s="223">
        <v>2878</v>
      </c>
      <c r="F1047" s="223">
        <v>2880</v>
      </c>
      <c r="G1047" s="223">
        <v>2881</v>
      </c>
      <c r="H1047" s="223">
        <v>2883</v>
      </c>
      <c r="I1047" s="223">
        <v>2884</v>
      </c>
      <c r="J1047" s="223">
        <v>2886</v>
      </c>
      <c r="K1047" s="223">
        <v>2887</v>
      </c>
      <c r="L1047" s="223">
        <v>2889</v>
      </c>
      <c r="M1047" s="223">
        <v>2890</v>
      </c>
      <c r="N1047" s="223">
        <v>2892</v>
      </c>
      <c r="O1047" s="223">
        <v>2893</v>
      </c>
      <c r="P1047" s="223">
        <v>2895</v>
      </c>
      <c r="Q1047" s="223">
        <v>12</v>
      </c>
      <c r="R1047" s="46" t="s">
        <v>417</v>
      </c>
    </row>
    <row r="1048" spans="1:18">
      <c r="A1048" s="223">
        <v>2896</v>
      </c>
      <c r="B1048" s="223">
        <v>2898</v>
      </c>
      <c r="C1048" s="223">
        <v>2899</v>
      </c>
      <c r="D1048" s="223">
        <v>2901</v>
      </c>
      <c r="E1048" s="223">
        <v>2902</v>
      </c>
      <c r="F1048" s="223">
        <v>2904</v>
      </c>
      <c r="G1048" s="223">
        <v>2905</v>
      </c>
      <c r="H1048" s="223">
        <v>2907</v>
      </c>
      <c r="I1048" s="223">
        <v>2908</v>
      </c>
      <c r="J1048" s="223">
        <v>2910</v>
      </c>
      <c r="K1048" s="223">
        <v>2911</v>
      </c>
      <c r="L1048" s="223">
        <v>2913</v>
      </c>
      <c r="M1048" s="223">
        <v>2914</v>
      </c>
      <c r="N1048" s="223">
        <v>2916</v>
      </c>
      <c r="O1048" s="223">
        <v>2917</v>
      </c>
      <c r="P1048" s="223">
        <v>2919</v>
      </c>
      <c r="Q1048" s="223">
        <v>13</v>
      </c>
      <c r="R1048" s="46" t="s">
        <v>418</v>
      </c>
    </row>
    <row r="1049" spans="1:18">
      <c r="A1049" s="223">
        <v>2920</v>
      </c>
      <c r="B1049" s="223">
        <v>2922</v>
      </c>
      <c r="C1049" s="223">
        <v>2923</v>
      </c>
      <c r="D1049" s="223">
        <v>2925</v>
      </c>
      <c r="E1049" s="223">
        <v>2926</v>
      </c>
      <c r="F1049" s="223">
        <v>2928</v>
      </c>
      <c r="G1049" s="223">
        <v>2929</v>
      </c>
      <c r="H1049" s="223">
        <v>2931</v>
      </c>
      <c r="I1049" s="223">
        <v>2932</v>
      </c>
      <c r="J1049" s="223">
        <v>2934</v>
      </c>
      <c r="K1049" s="223">
        <v>2935</v>
      </c>
      <c r="L1049" s="223">
        <v>2937</v>
      </c>
      <c r="M1049" s="223">
        <v>2938</v>
      </c>
      <c r="N1049" s="223">
        <v>2940</v>
      </c>
      <c r="O1049" s="223">
        <v>2941</v>
      </c>
      <c r="P1049" s="223">
        <v>2943</v>
      </c>
      <c r="Q1049" s="223">
        <v>14</v>
      </c>
      <c r="R1049" s="46" t="s">
        <v>419</v>
      </c>
    </row>
    <row r="1050" spans="1:18">
      <c r="A1050" s="223">
        <v>2944</v>
      </c>
      <c r="B1050" s="223">
        <v>2946</v>
      </c>
      <c r="C1050" s="223">
        <v>2947</v>
      </c>
      <c r="D1050" s="223">
        <v>2949</v>
      </c>
      <c r="E1050" s="223">
        <v>2950</v>
      </c>
      <c r="F1050" s="223">
        <v>2952</v>
      </c>
      <c r="G1050" s="223">
        <v>2953</v>
      </c>
      <c r="H1050" s="223">
        <v>2955</v>
      </c>
      <c r="I1050" s="223">
        <v>2956</v>
      </c>
      <c r="J1050" s="223">
        <v>2958</v>
      </c>
      <c r="K1050" s="223">
        <v>2959</v>
      </c>
      <c r="L1050" s="223">
        <v>2961</v>
      </c>
      <c r="M1050" s="223">
        <v>2962</v>
      </c>
      <c r="N1050" s="223">
        <v>2964</v>
      </c>
      <c r="O1050" s="223">
        <v>2965</v>
      </c>
      <c r="P1050" s="223">
        <v>2967</v>
      </c>
      <c r="Q1050" s="223">
        <v>15</v>
      </c>
      <c r="R1050" s="46" t="s">
        <v>420</v>
      </c>
    </row>
    <row r="1051" spans="1:18">
      <c r="A1051" s="223">
        <v>2968</v>
      </c>
      <c r="B1051" s="223">
        <v>2970</v>
      </c>
      <c r="C1051" s="223">
        <v>2971</v>
      </c>
      <c r="D1051" s="223">
        <v>2973</v>
      </c>
      <c r="E1051" s="223">
        <v>2974</v>
      </c>
      <c r="F1051" s="223">
        <v>2976</v>
      </c>
      <c r="G1051" s="223">
        <v>2977</v>
      </c>
      <c r="H1051" s="223">
        <v>2979</v>
      </c>
      <c r="I1051" s="223">
        <v>2980</v>
      </c>
      <c r="J1051" s="223">
        <v>2982</v>
      </c>
      <c r="K1051" s="223">
        <v>2983</v>
      </c>
      <c r="L1051" s="223">
        <v>2985</v>
      </c>
      <c r="M1051" s="223">
        <v>2986</v>
      </c>
      <c r="N1051" s="223">
        <v>2988</v>
      </c>
      <c r="O1051" s="223">
        <v>2989</v>
      </c>
      <c r="P1051" s="223">
        <v>2991</v>
      </c>
      <c r="Q1051" s="223">
        <v>16</v>
      </c>
      <c r="R1051" s="46" t="s">
        <v>421</v>
      </c>
    </row>
    <row r="1052" spans="1:18">
      <c r="A1052" s="223">
        <v>2992</v>
      </c>
      <c r="B1052" s="223">
        <v>2994</v>
      </c>
      <c r="C1052" s="223">
        <v>2995</v>
      </c>
      <c r="D1052" s="223">
        <v>2997</v>
      </c>
      <c r="E1052" s="223">
        <v>2998</v>
      </c>
      <c r="F1052" s="223">
        <v>3000</v>
      </c>
      <c r="G1052" s="223">
        <v>3001</v>
      </c>
      <c r="H1052" s="223">
        <v>3003</v>
      </c>
      <c r="I1052" s="223">
        <v>3004</v>
      </c>
      <c r="J1052" s="223">
        <v>3006</v>
      </c>
      <c r="K1052" s="223">
        <v>3007</v>
      </c>
      <c r="L1052" s="223">
        <v>3009</v>
      </c>
      <c r="M1052" s="223">
        <v>3010</v>
      </c>
      <c r="N1052" s="223">
        <v>3012</v>
      </c>
      <c r="O1052" s="223">
        <v>3013</v>
      </c>
      <c r="P1052" s="223">
        <v>3015</v>
      </c>
      <c r="Q1052" s="223">
        <v>17</v>
      </c>
      <c r="R1052" s="46" t="s">
        <v>422</v>
      </c>
    </row>
    <row r="1053" spans="1:18">
      <c r="A1053" s="223">
        <v>3016</v>
      </c>
      <c r="B1053" s="223">
        <v>3018</v>
      </c>
      <c r="C1053" s="223">
        <v>3019</v>
      </c>
      <c r="D1053" s="223">
        <v>3021</v>
      </c>
      <c r="E1053" s="223">
        <v>3022</v>
      </c>
      <c r="F1053" s="223">
        <v>3024</v>
      </c>
      <c r="G1053" s="223">
        <v>3025</v>
      </c>
      <c r="H1053" s="223">
        <v>3027</v>
      </c>
      <c r="I1053" s="223">
        <v>3028</v>
      </c>
      <c r="J1053" s="223">
        <v>3030</v>
      </c>
      <c r="K1053" s="223">
        <v>3031</v>
      </c>
      <c r="L1053" s="223">
        <v>3033</v>
      </c>
      <c r="M1053" s="223">
        <v>3034</v>
      </c>
      <c r="N1053" s="223">
        <v>3036</v>
      </c>
      <c r="O1053" s="223">
        <v>3037</v>
      </c>
      <c r="P1053" s="223">
        <v>3039</v>
      </c>
      <c r="Q1053" s="223">
        <v>18</v>
      </c>
      <c r="R1053" s="46" t="s">
        <v>423</v>
      </c>
    </row>
    <row r="1054" spans="1:18">
      <c r="A1054" s="223">
        <v>3040</v>
      </c>
      <c r="B1054" s="223">
        <v>3042</v>
      </c>
      <c r="C1054" s="223">
        <v>3043</v>
      </c>
      <c r="D1054" s="223">
        <v>3045</v>
      </c>
      <c r="E1054" s="223">
        <v>3046</v>
      </c>
      <c r="F1054" s="223">
        <v>3048</v>
      </c>
      <c r="G1054" s="223">
        <v>3049</v>
      </c>
      <c r="H1054" s="223">
        <v>3051</v>
      </c>
      <c r="I1054" s="223">
        <v>3052</v>
      </c>
      <c r="J1054" s="223">
        <v>3054</v>
      </c>
      <c r="K1054" s="223">
        <v>3055</v>
      </c>
      <c r="L1054" s="223">
        <v>3057</v>
      </c>
      <c r="M1054" s="223">
        <v>3058</v>
      </c>
      <c r="N1054" s="223">
        <v>3060</v>
      </c>
      <c r="O1054" s="223">
        <v>3061</v>
      </c>
      <c r="P1054" s="223">
        <v>3063</v>
      </c>
      <c r="Q1054" s="223">
        <v>19</v>
      </c>
      <c r="R1054" s="46" t="s">
        <v>424</v>
      </c>
    </row>
    <row r="1055" spans="1:18">
      <c r="A1055" s="223">
        <v>3064</v>
      </c>
      <c r="B1055" s="223">
        <v>3066</v>
      </c>
      <c r="C1055" s="223">
        <v>3067</v>
      </c>
      <c r="D1055" s="223">
        <v>3069</v>
      </c>
      <c r="E1055" s="223">
        <v>3070</v>
      </c>
      <c r="F1055" s="223">
        <v>3072</v>
      </c>
      <c r="G1055" s="223">
        <v>3073</v>
      </c>
      <c r="H1055" s="223">
        <v>3075</v>
      </c>
      <c r="I1055" s="223">
        <v>3076</v>
      </c>
      <c r="J1055" s="223">
        <v>3078</v>
      </c>
      <c r="K1055" s="223">
        <v>3079</v>
      </c>
      <c r="L1055" s="223">
        <v>3081</v>
      </c>
      <c r="M1055" s="223">
        <v>3082</v>
      </c>
      <c r="N1055" s="223">
        <v>3084</v>
      </c>
      <c r="O1055" s="223">
        <v>3085</v>
      </c>
      <c r="P1055" s="223">
        <v>3087</v>
      </c>
      <c r="Q1055" s="223">
        <v>20</v>
      </c>
      <c r="R1055" s="46" t="s">
        <v>425</v>
      </c>
    </row>
    <row r="1056" spans="1:18">
      <c r="A1056" s="223">
        <v>3088</v>
      </c>
      <c r="B1056" s="223">
        <v>3090</v>
      </c>
      <c r="C1056" s="223">
        <v>3091</v>
      </c>
      <c r="D1056" s="223">
        <v>3093</v>
      </c>
      <c r="E1056" s="223">
        <v>3094</v>
      </c>
      <c r="F1056" s="223">
        <v>3096</v>
      </c>
      <c r="G1056" s="223">
        <v>3097</v>
      </c>
      <c r="H1056" s="223">
        <v>3099</v>
      </c>
      <c r="I1056" s="223">
        <v>3100</v>
      </c>
      <c r="J1056" s="223">
        <v>3102</v>
      </c>
      <c r="K1056" s="223">
        <v>3103</v>
      </c>
      <c r="L1056" s="223">
        <v>3105</v>
      </c>
      <c r="M1056" s="223">
        <v>3106</v>
      </c>
      <c r="N1056" s="223">
        <v>3108</v>
      </c>
      <c r="O1056" s="223">
        <v>3109</v>
      </c>
      <c r="P1056" s="223">
        <v>3111</v>
      </c>
      <c r="Q1056" s="223">
        <v>21</v>
      </c>
      <c r="R1056" s="46" t="s">
        <v>426</v>
      </c>
    </row>
    <row r="1057" spans="1:18">
      <c r="A1057" s="223">
        <v>3112</v>
      </c>
      <c r="B1057" s="223">
        <v>3114</v>
      </c>
      <c r="C1057" s="223">
        <v>3115</v>
      </c>
      <c r="D1057" s="223">
        <v>3117</v>
      </c>
      <c r="E1057" s="223">
        <v>3118</v>
      </c>
      <c r="F1057" s="223">
        <v>3120</v>
      </c>
      <c r="G1057" s="223">
        <v>3121</v>
      </c>
      <c r="H1057" s="223">
        <v>3123</v>
      </c>
      <c r="I1057" s="223">
        <v>3124</v>
      </c>
      <c r="J1057" s="223">
        <v>3126</v>
      </c>
      <c r="K1057" s="223">
        <v>3127</v>
      </c>
      <c r="L1057" s="223">
        <v>3129</v>
      </c>
      <c r="M1057" s="223">
        <v>3130</v>
      </c>
      <c r="N1057" s="223">
        <v>3132</v>
      </c>
      <c r="O1057" s="223">
        <v>3133</v>
      </c>
      <c r="P1057" s="223">
        <v>3135</v>
      </c>
      <c r="Q1057" s="223">
        <v>22</v>
      </c>
      <c r="R1057" s="46" t="s">
        <v>427</v>
      </c>
    </row>
    <row r="1058" spans="1:18">
      <c r="A1058" s="223">
        <v>3136</v>
      </c>
      <c r="B1058" s="223">
        <v>3138</v>
      </c>
      <c r="C1058" s="223">
        <v>3139</v>
      </c>
      <c r="D1058" s="223">
        <v>3141</v>
      </c>
      <c r="E1058" s="223">
        <v>3142</v>
      </c>
      <c r="F1058" s="223">
        <v>3144</v>
      </c>
      <c r="G1058" s="223">
        <v>3145</v>
      </c>
      <c r="H1058" s="223">
        <v>3147</v>
      </c>
      <c r="I1058" s="223">
        <v>3148</v>
      </c>
      <c r="J1058" s="223">
        <v>3150</v>
      </c>
      <c r="K1058" s="223">
        <v>3151</v>
      </c>
      <c r="L1058" s="223">
        <v>3153</v>
      </c>
      <c r="M1058" s="223">
        <v>3154</v>
      </c>
      <c r="N1058" s="223">
        <v>3156</v>
      </c>
      <c r="O1058" s="223">
        <v>3157</v>
      </c>
      <c r="P1058" s="223">
        <v>3159</v>
      </c>
      <c r="Q1058" s="223">
        <v>23</v>
      </c>
      <c r="R1058" s="46" t="s">
        <v>428</v>
      </c>
    </row>
    <row r="1059" spans="1:18">
      <c r="A1059" s="223">
        <v>3160</v>
      </c>
      <c r="B1059" s="223">
        <v>3162</v>
      </c>
      <c r="C1059" s="223">
        <v>3163</v>
      </c>
      <c r="D1059" s="223">
        <v>3165</v>
      </c>
      <c r="E1059" s="223">
        <v>3166</v>
      </c>
      <c r="F1059" s="223">
        <v>3168</v>
      </c>
      <c r="G1059" s="223">
        <v>3169</v>
      </c>
      <c r="H1059" s="223">
        <v>3171</v>
      </c>
      <c r="I1059" s="223">
        <v>3172</v>
      </c>
      <c r="J1059" s="223">
        <v>3174</v>
      </c>
      <c r="K1059" s="223">
        <v>3175</v>
      </c>
      <c r="L1059" s="223">
        <v>3177</v>
      </c>
      <c r="M1059" s="223">
        <v>3178</v>
      </c>
      <c r="N1059" s="223">
        <v>3180</v>
      </c>
      <c r="O1059" s="223">
        <v>3181</v>
      </c>
      <c r="P1059" s="223">
        <v>3183</v>
      </c>
      <c r="Q1059" s="223">
        <v>24</v>
      </c>
      <c r="R1059" s="46" t="s">
        <v>429</v>
      </c>
    </row>
    <row r="1060" spans="1:18">
      <c r="A1060" s="223">
        <v>3184</v>
      </c>
      <c r="B1060" s="223">
        <v>3186</v>
      </c>
      <c r="C1060" s="223">
        <v>3187</v>
      </c>
      <c r="D1060" s="223">
        <v>3189</v>
      </c>
      <c r="E1060" s="223">
        <v>3190</v>
      </c>
      <c r="F1060" s="223">
        <v>3192</v>
      </c>
      <c r="G1060" s="223">
        <v>3193</v>
      </c>
      <c r="H1060" s="223">
        <v>3195</v>
      </c>
      <c r="I1060" s="223">
        <v>3196</v>
      </c>
      <c r="J1060" s="223">
        <v>3198</v>
      </c>
      <c r="K1060" s="223">
        <v>3199</v>
      </c>
      <c r="L1060" s="223">
        <v>3201</v>
      </c>
      <c r="M1060" s="223">
        <v>3202</v>
      </c>
      <c r="N1060" s="223">
        <v>3204</v>
      </c>
      <c r="O1060" s="223">
        <v>3205</v>
      </c>
      <c r="P1060" s="223">
        <v>3207</v>
      </c>
      <c r="Q1060" s="223">
        <v>25</v>
      </c>
      <c r="R1060" s="46" t="s">
        <v>430</v>
      </c>
    </row>
    <row r="1061" spans="1:18">
      <c r="A1061" s="223">
        <v>3208</v>
      </c>
      <c r="B1061" s="223">
        <v>3210</v>
      </c>
      <c r="C1061" s="223">
        <v>3211</v>
      </c>
      <c r="D1061" s="223">
        <v>3213</v>
      </c>
      <c r="E1061" s="223">
        <v>3214</v>
      </c>
      <c r="F1061" s="223">
        <v>3216</v>
      </c>
      <c r="G1061" s="223">
        <v>3217</v>
      </c>
      <c r="H1061" s="223">
        <v>3219</v>
      </c>
      <c r="I1061" s="223">
        <v>3220</v>
      </c>
      <c r="J1061" s="223">
        <v>3222</v>
      </c>
      <c r="K1061" s="223">
        <v>3223</v>
      </c>
      <c r="L1061" s="223">
        <v>3225</v>
      </c>
      <c r="M1061" s="223">
        <v>3226</v>
      </c>
      <c r="N1061" s="223">
        <v>3228</v>
      </c>
      <c r="O1061" s="223">
        <v>3229</v>
      </c>
      <c r="P1061" s="223">
        <v>3231</v>
      </c>
      <c r="Q1061" s="223">
        <v>26</v>
      </c>
      <c r="R1061" s="46" t="s">
        <v>431</v>
      </c>
    </row>
    <row r="1062" spans="1:18">
      <c r="A1062" s="223">
        <v>3232</v>
      </c>
      <c r="B1062" s="223">
        <v>3234</v>
      </c>
      <c r="C1062" s="223">
        <v>3235</v>
      </c>
      <c r="D1062" s="223">
        <v>3237</v>
      </c>
      <c r="E1062" s="223">
        <v>3238</v>
      </c>
      <c r="F1062" s="223">
        <v>3240</v>
      </c>
      <c r="G1062" s="223">
        <v>3241</v>
      </c>
      <c r="H1062" s="223">
        <v>3243</v>
      </c>
      <c r="I1062" s="223">
        <v>3244</v>
      </c>
      <c r="J1062" s="223">
        <v>3246</v>
      </c>
      <c r="K1062" s="223">
        <v>3247</v>
      </c>
      <c r="L1062" s="223">
        <v>3249</v>
      </c>
      <c r="M1062" s="223">
        <v>3250</v>
      </c>
      <c r="N1062" s="223">
        <v>3252</v>
      </c>
      <c r="O1062" s="223">
        <v>3253</v>
      </c>
      <c r="P1062" s="223">
        <v>3255</v>
      </c>
      <c r="Q1062" s="223">
        <v>27</v>
      </c>
      <c r="R1062" s="46" t="s">
        <v>432</v>
      </c>
    </row>
    <row r="1063" spans="1:18">
      <c r="A1063" s="223">
        <v>3256</v>
      </c>
      <c r="B1063" s="223">
        <v>3258</v>
      </c>
      <c r="C1063" s="223">
        <v>3259</v>
      </c>
      <c r="D1063" s="223">
        <v>3261</v>
      </c>
      <c r="E1063" s="223">
        <v>3262</v>
      </c>
      <c r="F1063" s="223">
        <v>3264</v>
      </c>
      <c r="G1063" s="223">
        <v>3265</v>
      </c>
      <c r="H1063" s="223">
        <v>3267</v>
      </c>
      <c r="I1063" s="223">
        <v>3268</v>
      </c>
      <c r="J1063" s="223">
        <v>3270</v>
      </c>
      <c r="K1063" s="223">
        <v>3271</v>
      </c>
      <c r="L1063" s="223">
        <v>3273</v>
      </c>
      <c r="M1063" s="223">
        <v>3274</v>
      </c>
      <c r="N1063" s="223">
        <v>3276</v>
      </c>
      <c r="O1063" s="223">
        <v>3277</v>
      </c>
      <c r="P1063" s="223">
        <v>3279</v>
      </c>
      <c r="Q1063" s="223">
        <v>28</v>
      </c>
      <c r="R1063" s="46" t="s">
        <v>433</v>
      </c>
    </row>
    <row r="1064" spans="1:18">
      <c r="A1064" s="223">
        <v>3280</v>
      </c>
      <c r="B1064" s="223">
        <v>3282</v>
      </c>
      <c r="C1064" s="223">
        <v>3283</v>
      </c>
      <c r="D1064" s="223">
        <v>3285</v>
      </c>
      <c r="E1064" s="223">
        <v>3286</v>
      </c>
      <c r="F1064" s="223">
        <v>3288</v>
      </c>
      <c r="G1064" s="223">
        <v>3289</v>
      </c>
      <c r="H1064" s="223">
        <v>3291</v>
      </c>
      <c r="I1064" s="223">
        <v>3292</v>
      </c>
      <c r="J1064" s="223">
        <v>3294</v>
      </c>
      <c r="K1064" s="223">
        <v>3295</v>
      </c>
      <c r="L1064" s="223">
        <v>3297</v>
      </c>
      <c r="M1064" s="223">
        <v>3298</v>
      </c>
      <c r="N1064" s="223">
        <v>3300</v>
      </c>
      <c r="O1064" s="223">
        <v>3301</v>
      </c>
      <c r="P1064" s="223">
        <v>3303</v>
      </c>
      <c r="Q1064" s="223">
        <v>29</v>
      </c>
      <c r="R1064" s="46" t="s">
        <v>434</v>
      </c>
    </row>
    <row r="1065" spans="1:18">
      <c r="A1065" s="223">
        <v>3304</v>
      </c>
      <c r="B1065" s="223">
        <v>3306</v>
      </c>
      <c r="C1065" s="223">
        <v>3307</v>
      </c>
      <c r="D1065" s="223">
        <v>3309</v>
      </c>
      <c r="E1065" s="223">
        <v>3310</v>
      </c>
      <c r="F1065" s="223">
        <v>3312</v>
      </c>
      <c r="G1065" s="223">
        <v>3313</v>
      </c>
      <c r="H1065" s="223">
        <v>3315</v>
      </c>
      <c r="I1065" s="223">
        <v>3316</v>
      </c>
      <c r="J1065" s="223">
        <v>3318</v>
      </c>
      <c r="K1065" s="223">
        <v>3319</v>
      </c>
      <c r="L1065" s="223">
        <v>3321</v>
      </c>
      <c r="M1065" s="223">
        <v>3322</v>
      </c>
      <c r="N1065" s="223">
        <v>3324</v>
      </c>
      <c r="O1065" s="223">
        <v>3325</v>
      </c>
      <c r="P1065" s="223">
        <v>3327</v>
      </c>
      <c r="Q1065" s="223">
        <v>30</v>
      </c>
      <c r="R1065" s="46" t="s">
        <v>435</v>
      </c>
    </row>
    <row r="1066" spans="1:18">
      <c r="A1066" s="223">
        <v>3328</v>
      </c>
      <c r="B1066" s="223">
        <v>3330</v>
      </c>
      <c r="C1066" s="223">
        <v>3331</v>
      </c>
      <c r="D1066" s="223">
        <v>3333</v>
      </c>
      <c r="E1066" s="223">
        <v>3334</v>
      </c>
      <c r="F1066" s="223">
        <v>3336</v>
      </c>
      <c r="G1066" s="223">
        <v>3337</v>
      </c>
      <c r="H1066" s="223">
        <v>3339</v>
      </c>
      <c r="I1066" s="223">
        <v>3340</v>
      </c>
      <c r="J1066" s="223">
        <v>3342</v>
      </c>
      <c r="K1066" s="223">
        <v>3343</v>
      </c>
      <c r="L1066" s="223">
        <v>3345</v>
      </c>
      <c r="M1066" s="223">
        <v>3346</v>
      </c>
      <c r="N1066" s="223">
        <v>3348</v>
      </c>
      <c r="O1066" s="223">
        <v>3349</v>
      </c>
      <c r="P1066" s="223">
        <v>3351</v>
      </c>
      <c r="Q1066" s="223">
        <v>31</v>
      </c>
      <c r="R1066" s="46" t="s">
        <v>436</v>
      </c>
    </row>
    <row r="1067" spans="1:18">
      <c r="A1067" s="223">
        <v>3352</v>
      </c>
      <c r="B1067" s="223">
        <v>3354</v>
      </c>
      <c r="C1067" s="223">
        <v>3355</v>
      </c>
      <c r="D1067" s="223">
        <v>3357</v>
      </c>
      <c r="E1067" s="223">
        <v>3358</v>
      </c>
      <c r="F1067" s="223">
        <v>3360</v>
      </c>
      <c r="G1067" s="223">
        <v>3361</v>
      </c>
      <c r="H1067" s="223">
        <v>3363</v>
      </c>
      <c r="I1067" s="223">
        <v>3364</v>
      </c>
      <c r="J1067" s="223">
        <v>3366</v>
      </c>
      <c r="K1067" s="223">
        <v>3367</v>
      </c>
      <c r="L1067" s="223">
        <v>3369</v>
      </c>
      <c r="M1067" s="223">
        <v>3370</v>
      </c>
      <c r="N1067" s="223">
        <v>3372</v>
      </c>
      <c r="O1067" s="223">
        <v>3373</v>
      </c>
      <c r="P1067" s="223">
        <v>3375</v>
      </c>
      <c r="Q1067" s="223">
        <v>32</v>
      </c>
      <c r="R1067" s="46" t="s">
        <v>437</v>
      </c>
    </row>
    <row r="1068" spans="1:18">
      <c r="A1068" s="223">
        <v>3376</v>
      </c>
      <c r="B1068" s="223">
        <v>3378</v>
      </c>
      <c r="C1068" s="223">
        <v>3379</v>
      </c>
      <c r="D1068" s="223">
        <v>3381</v>
      </c>
      <c r="E1068" s="223">
        <v>3382</v>
      </c>
      <c r="F1068" s="223">
        <v>3384</v>
      </c>
      <c r="G1068" s="223">
        <v>3385</v>
      </c>
      <c r="H1068" s="223">
        <v>3387</v>
      </c>
      <c r="I1068" s="223">
        <v>3388</v>
      </c>
      <c r="J1068" s="223">
        <v>3390</v>
      </c>
      <c r="K1068" s="223">
        <v>3391</v>
      </c>
      <c r="L1068" s="223">
        <v>3393</v>
      </c>
      <c r="M1068" s="223">
        <v>3394</v>
      </c>
      <c r="N1068" s="223">
        <v>3396</v>
      </c>
      <c r="O1068" s="223">
        <v>3397</v>
      </c>
      <c r="P1068" s="223">
        <v>3399</v>
      </c>
      <c r="Q1068" s="223">
        <v>33</v>
      </c>
      <c r="R1068" s="46" t="s">
        <v>438</v>
      </c>
    </row>
    <row r="1069" spans="1:18">
      <c r="A1069" s="223">
        <v>3400</v>
      </c>
      <c r="B1069" s="223">
        <v>3402</v>
      </c>
      <c r="C1069" s="223">
        <v>3403</v>
      </c>
      <c r="D1069" s="223">
        <v>3405</v>
      </c>
      <c r="E1069" s="223">
        <v>3406</v>
      </c>
      <c r="F1069" s="223">
        <v>3408</v>
      </c>
      <c r="G1069" s="223">
        <v>3409</v>
      </c>
      <c r="H1069" s="223">
        <v>3411</v>
      </c>
      <c r="I1069" s="223">
        <v>3412</v>
      </c>
      <c r="J1069" s="223">
        <v>3414</v>
      </c>
      <c r="K1069" s="223">
        <v>3415</v>
      </c>
      <c r="L1069" s="223">
        <v>3417</v>
      </c>
      <c r="M1069" s="223">
        <v>3418</v>
      </c>
      <c r="N1069" s="223">
        <v>3420</v>
      </c>
      <c r="O1069" s="223">
        <v>3421</v>
      </c>
      <c r="P1069" s="223">
        <v>3423</v>
      </c>
      <c r="Q1069" s="223">
        <v>34</v>
      </c>
      <c r="R1069" s="46" t="s">
        <v>439</v>
      </c>
    </row>
    <row r="1070" spans="1:18">
      <c r="A1070" s="223">
        <v>3424</v>
      </c>
      <c r="B1070" s="223">
        <v>3426</v>
      </c>
      <c r="C1070" s="223">
        <v>3427</v>
      </c>
      <c r="D1070" s="223">
        <v>3429</v>
      </c>
      <c r="E1070" s="223">
        <v>3430</v>
      </c>
      <c r="F1070" s="223">
        <v>3432</v>
      </c>
      <c r="G1070" s="223">
        <v>3433</v>
      </c>
      <c r="H1070" s="223">
        <v>3435</v>
      </c>
      <c r="I1070" s="223">
        <v>3436</v>
      </c>
      <c r="J1070" s="223">
        <v>3438</v>
      </c>
      <c r="K1070" s="223">
        <v>3439</v>
      </c>
      <c r="L1070" s="223">
        <v>3441</v>
      </c>
      <c r="M1070" s="223">
        <v>3442</v>
      </c>
      <c r="N1070" s="223">
        <v>3444</v>
      </c>
      <c r="O1070" s="223">
        <v>3445</v>
      </c>
      <c r="P1070" s="223">
        <v>3447</v>
      </c>
      <c r="Q1070" s="223">
        <v>35</v>
      </c>
      <c r="R1070" s="46" t="s">
        <v>440</v>
      </c>
    </row>
    <row r="1071" spans="1:18">
      <c r="A1071" s="223">
        <v>3448</v>
      </c>
      <c r="B1071" s="223">
        <v>3450</v>
      </c>
      <c r="C1071" s="223">
        <v>3451</v>
      </c>
      <c r="D1071" s="223">
        <v>3453</v>
      </c>
      <c r="E1071" s="223">
        <v>3454</v>
      </c>
      <c r="F1071" s="223">
        <v>3456</v>
      </c>
      <c r="G1071" s="223">
        <v>3457</v>
      </c>
      <c r="H1071" s="223">
        <v>3459</v>
      </c>
      <c r="I1071" s="223">
        <v>3460</v>
      </c>
      <c r="J1071" s="223">
        <v>3462</v>
      </c>
      <c r="K1071" s="223">
        <v>3463</v>
      </c>
      <c r="L1071" s="223">
        <v>3465</v>
      </c>
      <c r="M1071" s="223">
        <v>3466</v>
      </c>
      <c r="N1071" s="223">
        <v>3468</v>
      </c>
      <c r="O1071" s="223">
        <v>3469</v>
      </c>
      <c r="P1071" s="223">
        <v>3471</v>
      </c>
      <c r="Q1071" s="223">
        <v>36</v>
      </c>
      <c r="R1071" s="46" t="s">
        <v>441</v>
      </c>
    </row>
    <row r="1072" spans="1:18">
      <c r="A1072" s="223">
        <v>3472</v>
      </c>
      <c r="B1072" s="223">
        <v>3474</v>
      </c>
      <c r="C1072" s="223">
        <v>3475</v>
      </c>
      <c r="D1072" s="223">
        <v>3477</v>
      </c>
      <c r="E1072" s="223">
        <v>3478</v>
      </c>
      <c r="F1072" s="223">
        <v>3480</v>
      </c>
      <c r="G1072" s="223">
        <v>3481</v>
      </c>
      <c r="H1072" s="223">
        <v>3483</v>
      </c>
      <c r="I1072" s="223">
        <v>3484</v>
      </c>
      <c r="J1072" s="223">
        <v>3486</v>
      </c>
      <c r="K1072" s="223">
        <v>3487</v>
      </c>
      <c r="L1072" s="223">
        <v>3489</v>
      </c>
      <c r="M1072" s="223">
        <v>3490</v>
      </c>
      <c r="N1072" s="223">
        <v>3492</v>
      </c>
      <c r="O1072" s="223">
        <v>3493</v>
      </c>
      <c r="P1072" s="223">
        <v>3495</v>
      </c>
      <c r="Q1072" s="223">
        <v>37</v>
      </c>
      <c r="R1072" s="46" t="s">
        <v>442</v>
      </c>
    </row>
    <row r="1073" spans="1:18">
      <c r="A1073" s="223">
        <v>3496</v>
      </c>
      <c r="B1073" s="223">
        <v>3498</v>
      </c>
      <c r="C1073" s="223">
        <v>3499</v>
      </c>
      <c r="D1073" s="223">
        <v>3501</v>
      </c>
      <c r="E1073" s="223">
        <v>3502</v>
      </c>
      <c r="F1073" s="223">
        <v>3504</v>
      </c>
      <c r="G1073" s="223">
        <v>3505</v>
      </c>
      <c r="H1073" s="223">
        <v>3507</v>
      </c>
      <c r="I1073" s="223">
        <v>3508</v>
      </c>
      <c r="J1073" s="223">
        <v>3510</v>
      </c>
      <c r="K1073" s="223">
        <v>3511</v>
      </c>
      <c r="L1073" s="223">
        <v>3513</v>
      </c>
      <c r="M1073" s="223">
        <v>3514</v>
      </c>
      <c r="N1073" s="223">
        <v>3516</v>
      </c>
      <c r="O1073" s="223">
        <v>3517</v>
      </c>
      <c r="P1073" s="223">
        <v>3519</v>
      </c>
      <c r="Q1073" s="223">
        <v>38</v>
      </c>
      <c r="R1073" s="46" t="s">
        <v>443</v>
      </c>
    </row>
    <row r="1074" spans="1:18">
      <c r="A1074" s="223">
        <v>3520</v>
      </c>
      <c r="B1074" s="223">
        <v>3522</v>
      </c>
      <c r="C1074" s="223">
        <v>3523</v>
      </c>
      <c r="D1074" s="223">
        <v>3525</v>
      </c>
      <c r="E1074" s="223">
        <v>3526</v>
      </c>
      <c r="F1074" s="223">
        <v>3528</v>
      </c>
      <c r="G1074" s="223">
        <v>3529</v>
      </c>
      <c r="H1074" s="223">
        <v>3531</v>
      </c>
      <c r="I1074" s="223">
        <v>3532</v>
      </c>
      <c r="J1074" s="223">
        <v>3534</v>
      </c>
      <c r="K1074" s="223">
        <v>3535</v>
      </c>
      <c r="L1074" s="223">
        <v>3537</v>
      </c>
      <c r="M1074" s="223">
        <v>3538</v>
      </c>
      <c r="N1074" s="223">
        <v>3540</v>
      </c>
      <c r="O1074" s="223">
        <v>3541</v>
      </c>
      <c r="P1074" s="223">
        <v>3543</v>
      </c>
      <c r="Q1074" s="223">
        <v>39</v>
      </c>
      <c r="R1074" s="46" t="s">
        <v>444</v>
      </c>
    </row>
    <row r="1075" spans="1:18">
      <c r="A1075" s="223">
        <v>3544</v>
      </c>
      <c r="B1075" s="223">
        <v>3546</v>
      </c>
      <c r="C1075" s="223">
        <v>3547</v>
      </c>
      <c r="D1075" s="223">
        <v>3549</v>
      </c>
      <c r="E1075" s="223">
        <v>3550</v>
      </c>
      <c r="F1075" s="223">
        <v>3552</v>
      </c>
      <c r="G1075" s="223">
        <v>3553</v>
      </c>
      <c r="H1075" s="223">
        <v>3555</v>
      </c>
      <c r="I1075" s="223">
        <v>3556</v>
      </c>
      <c r="J1075" s="223">
        <v>3558</v>
      </c>
      <c r="K1075" s="223">
        <v>3559</v>
      </c>
      <c r="L1075" s="223">
        <v>3561</v>
      </c>
      <c r="M1075" s="223">
        <v>3562</v>
      </c>
      <c r="N1075" s="223">
        <v>3564</v>
      </c>
      <c r="O1075" s="223">
        <v>3565</v>
      </c>
      <c r="P1075" s="223">
        <v>3567</v>
      </c>
      <c r="Q1075" s="223">
        <v>40</v>
      </c>
      <c r="R1075" s="46" t="s">
        <v>445</v>
      </c>
    </row>
    <row r="1076" spans="1:18">
      <c r="A1076" s="223">
        <v>3568</v>
      </c>
      <c r="B1076" s="223">
        <v>3570</v>
      </c>
      <c r="C1076" s="223">
        <v>3571</v>
      </c>
      <c r="D1076" s="223">
        <v>3573</v>
      </c>
      <c r="E1076" s="223">
        <v>3574</v>
      </c>
      <c r="F1076" s="223">
        <v>3576</v>
      </c>
      <c r="G1076" s="223">
        <v>3577</v>
      </c>
      <c r="H1076" s="223">
        <v>3579</v>
      </c>
      <c r="I1076" s="223">
        <v>3580</v>
      </c>
      <c r="J1076" s="223">
        <v>3582</v>
      </c>
      <c r="K1076" s="223">
        <v>3583</v>
      </c>
      <c r="L1076" s="223">
        <v>3585</v>
      </c>
      <c r="M1076" s="223">
        <v>3586</v>
      </c>
      <c r="N1076" s="223">
        <v>3588</v>
      </c>
      <c r="O1076" s="223">
        <v>3589</v>
      </c>
      <c r="P1076" s="223">
        <v>3591</v>
      </c>
      <c r="Q1076" s="223">
        <v>41</v>
      </c>
      <c r="R1076" s="46" t="s">
        <v>446</v>
      </c>
    </row>
    <row r="1077" spans="1:18">
      <c r="A1077" s="223">
        <v>3592</v>
      </c>
      <c r="B1077" s="223">
        <v>3594</v>
      </c>
      <c r="C1077" s="223">
        <v>3595</v>
      </c>
      <c r="D1077" s="223">
        <v>3597</v>
      </c>
      <c r="E1077" s="223">
        <v>3598</v>
      </c>
      <c r="F1077" s="223">
        <v>3600</v>
      </c>
      <c r="G1077" s="223">
        <v>3601</v>
      </c>
      <c r="H1077" s="223">
        <v>3603</v>
      </c>
      <c r="I1077" s="223">
        <v>3604</v>
      </c>
      <c r="J1077" s="223">
        <v>3606</v>
      </c>
      <c r="K1077" s="223">
        <v>3607</v>
      </c>
      <c r="L1077" s="223">
        <v>3609</v>
      </c>
      <c r="M1077" s="223">
        <v>3610</v>
      </c>
      <c r="N1077" s="223">
        <v>3612</v>
      </c>
      <c r="O1077" s="223">
        <v>3613</v>
      </c>
      <c r="P1077" s="223">
        <v>3615</v>
      </c>
      <c r="Q1077" s="223">
        <v>42</v>
      </c>
      <c r="R1077" s="46" t="s">
        <v>447</v>
      </c>
    </row>
    <row r="1078" spans="1:18">
      <c r="A1078" s="223">
        <v>3616</v>
      </c>
      <c r="B1078" s="223">
        <v>3618</v>
      </c>
      <c r="C1078" s="223">
        <v>3619</v>
      </c>
      <c r="D1078" s="223">
        <v>3621</v>
      </c>
      <c r="E1078" s="223">
        <v>3622</v>
      </c>
      <c r="F1078" s="223">
        <v>3624</v>
      </c>
      <c r="G1078" s="223">
        <v>3625</v>
      </c>
      <c r="H1078" s="223">
        <v>3627</v>
      </c>
      <c r="I1078" s="223">
        <v>3628</v>
      </c>
      <c r="J1078" s="223">
        <v>3630</v>
      </c>
      <c r="K1078" s="223">
        <v>3631</v>
      </c>
      <c r="L1078" s="223">
        <v>3633</v>
      </c>
      <c r="M1078" s="223">
        <v>3634</v>
      </c>
      <c r="N1078" s="223">
        <v>3636</v>
      </c>
      <c r="O1078" s="223">
        <v>3637</v>
      </c>
      <c r="P1078" s="223">
        <v>3639</v>
      </c>
      <c r="Q1078" s="223">
        <v>43</v>
      </c>
      <c r="R1078" s="46" t="s">
        <v>448</v>
      </c>
    </row>
    <row r="1079" spans="1:18">
      <c r="A1079" s="223">
        <v>3640</v>
      </c>
      <c r="B1079" s="223">
        <v>3642</v>
      </c>
      <c r="C1079" s="223">
        <v>3643</v>
      </c>
      <c r="D1079" s="223">
        <v>3645</v>
      </c>
      <c r="E1079" s="223">
        <v>3646</v>
      </c>
      <c r="F1079" s="223">
        <v>3648</v>
      </c>
      <c r="G1079" s="223">
        <v>3649</v>
      </c>
      <c r="H1079" s="223">
        <v>3651</v>
      </c>
      <c r="I1079" s="223">
        <v>3652</v>
      </c>
      <c r="J1079" s="223">
        <v>3654</v>
      </c>
      <c r="K1079" s="223">
        <v>3655</v>
      </c>
      <c r="L1079" s="223">
        <v>3657</v>
      </c>
      <c r="M1079" s="223">
        <v>3658</v>
      </c>
      <c r="N1079" s="223">
        <v>3660</v>
      </c>
      <c r="O1079" s="223">
        <v>3661</v>
      </c>
      <c r="P1079" s="223">
        <v>3663</v>
      </c>
      <c r="Q1079" s="223">
        <v>44</v>
      </c>
      <c r="R1079" s="46" t="s">
        <v>449</v>
      </c>
    </row>
    <row r="1080" spans="1:18">
      <c r="A1080" s="223">
        <v>3664</v>
      </c>
      <c r="B1080" s="223">
        <v>3666</v>
      </c>
      <c r="C1080" s="223">
        <v>3667</v>
      </c>
      <c r="D1080" s="223">
        <v>3669</v>
      </c>
      <c r="E1080" s="223">
        <v>3670</v>
      </c>
      <c r="F1080" s="223">
        <v>3672</v>
      </c>
      <c r="G1080" s="223">
        <v>3673</v>
      </c>
      <c r="H1080" s="223">
        <v>3675</v>
      </c>
      <c r="I1080" s="223">
        <v>3676</v>
      </c>
      <c r="J1080" s="223">
        <v>3678</v>
      </c>
      <c r="K1080" s="223">
        <v>3679</v>
      </c>
      <c r="L1080" s="223">
        <v>3681</v>
      </c>
      <c r="M1080" s="223">
        <v>3682</v>
      </c>
      <c r="N1080" s="223">
        <v>3684</v>
      </c>
      <c r="O1080" s="223">
        <v>3685</v>
      </c>
      <c r="P1080" s="223">
        <v>3687</v>
      </c>
      <c r="Q1080" s="223">
        <v>45</v>
      </c>
      <c r="R1080" s="46" t="s">
        <v>450</v>
      </c>
    </row>
    <row r="1081" spans="1:18">
      <c r="A1081" s="223">
        <v>3688</v>
      </c>
      <c r="B1081" s="223">
        <v>3690</v>
      </c>
      <c r="C1081" s="223">
        <v>3691</v>
      </c>
      <c r="D1081" s="223">
        <v>3693</v>
      </c>
      <c r="E1081" s="223">
        <v>3694</v>
      </c>
      <c r="F1081" s="223">
        <v>3696</v>
      </c>
      <c r="G1081" s="223">
        <v>3697</v>
      </c>
      <c r="H1081" s="223">
        <v>3699</v>
      </c>
      <c r="I1081" s="223">
        <v>3700</v>
      </c>
      <c r="J1081" s="223">
        <v>3702</v>
      </c>
      <c r="K1081" s="223">
        <v>3703</v>
      </c>
      <c r="L1081" s="223">
        <v>3705</v>
      </c>
      <c r="M1081" s="223">
        <v>3706</v>
      </c>
      <c r="N1081" s="223">
        <v>3708</v>
      </c>
      <c r="O1081" s="223">
        <v>3709</v>
      </c>
      <c r="P1081" s="223">
        <v>3711</v>
      </c>
      <c r="Q1081" s="223">
        <v>46</v>
      </c>
      <c r="R1081" s="46" t="s">
        <v>451</v>
      </c>
    </row>
    <row r="1082" spans="1:18">
      <c r="A1082" s="223">
        <v>3712</v>
      </c>
      <c r="B1082" s="223">
        <v>3714</v>
      </c>
      <c r="C1082" s="223">
        <v>3715</v>
      </c>
      <c r="D1082" s="223">
        <v>3717</v>
      </c>
      <c r="E1082" s="223">
        <v>3718</v>
      </c>
      <c r="F1082" s="223">
        <v>3720</v>
      </c>
      <c r="G1082" s="223">
        <v>3721</v>
      </c>
      <c r="H1082" s="223">
        <v>3723</v>
      </c>
      <c r="I1082" s="223">
        <v>3724</v>
      </c>
      <c r="J1082" s="223">
        <v>3726</v>
      </c>
      <c r="K1082" s="223">
        <v>3727</v>
      </c>
      <c r="L1082" s="223">
        <v>3729</v>
      </c>
      <c r="M1082" s="223">
        <v>3730</v>
      </c>
      <c r="N1082" s="223">
        <v>3732</v>
      </c>
      <c r="O1082" s="223">
        <v>3733</v>
      </c>
      <c r="P1082" s="223">
        <v>3735</v>
      </c>
      <c r="Q1082" s="223">
        <v>47</v>
      </c>
      <c r="R1082" s="46" t="s">
        <v>452</v>
      </c>
    </row>
    <row r="1083" spans="1:18">
      <c r="A1083" s="223">
        <v>3736</v>
      </c>
      <c r="B1083" s="223">
        <v>3738</v>
      </c>
      <c r="C1083" s="223">
        <v>3739</v>
      </c>
      <c r="D1083" s="223">
        <v>3741</v>
      </c>
      <c r="E1083" s="223">
        <v>3742</v>
      </c>
      <c r="F1083" s="223">
        <v>3744</v>
      </c>
      <c r="G1083" s="223">
        <v>3745</v>
      </c>
      <c r="H1083" s="223">
        <v>3747</v>
      </c>
      <c r="I1083" s="223">
        <v>3748</v>
      </c>
      <c r="J1083" s="223">
        <v>3750</v>
      </c>
      <c r="K1083" s="223">
        <v>3751</v>
      </c>
      <c r="L1083" s="223">
        <v>3753</v>
      </c>
      <c r="M1083" s="223">
        <v>3754</v>
      </c>
      <c r="N1083" s="223">
        <v>3756</v>
      </c>
      <c r="O1083" s="223">
        <v>3757</v>
      </c>
      <c r="P1083" s="223">
        <v>3759</v>
      </c>
      <c r="Q1083" s="223">
        <v>48</v>
      </c>
      <c r="R1083" s="46" t="s">
        <v>453</v>
      </c>
    </row>
    <row r="1084" spans="1:18">
      <c r="A1084" s="223">
        <v>3760</v>
      </c>
      <c r="B1084" s="223">
        <v>3762</v>
      </c>
      <c r="C1084" s="223">
        <v>3763</v>
      </c>
      <c r="D1084" s="223">
        <v>3765</v>
      </c>
      <c r="E1084" s="223">
        <v>3766</v>
      </c>
      <c r="F1084" s="223">
        <v>3768</v>
      </c>
      <c r="G1084" s="223">
        <v>3769</v>
      </c>
      <c r="H1084" s="223">
        <v>3771</v>
      </c>
      <c r="I1084" s="223">
        <v>3772</v>
      </c>
      <c r="J1084" s="223">
        <v>3774</v>
      </c>
      <c r="K1084" s="223">
        <v>3775</v>
      </c>
      <c r="L1084" s="223">
        <v>3777</v>
      </c>
      <c r="M1084" s="223">
        <v>3778</v>
      </c>
      <c r="N1084" s="223">
        <v>3780</v>
      </c>
      <c r="O1084" s="223">
        <v>3781</v>
      </c>
      <c r="P1084" s="223">
        <v>3783</v>
      </c>
      <c r="Q1084" s="223">
        <v>49</v>
      </c>
      <c r="R1084" s="46" t="s">
        <v>454</v>
      </c>
    </row>
    <row r="1085" spans="1:18">
      <c r="A1085" s="223">
        <v>3784</v>
      </c>
      <c r="B1085" s="223">
        <v>3786</v>
      </c>
      <c r="C1085" s="223">
        <v>3787</v>
      </c>
      <c r="D1085" s="223">
        <v>3789</v>
      </c>
      <c r="E1085" s="223">
        <v>3790</v>
      </c>
      <c r="F1085" s="223">
        <v>3792</v>
      </c>
      <c r="G1085" s="223">
        <v>3793</v>
      </c>
      <c r="H1085" s="223">
        <v>3795</v>
      </c>
      <c r="I1085" s="223">
        <v>3796</v>
      </c>
      <c r="J1085" s="223">
        <v>3798</v>
      </c>
      <c r="K1085" s="223">
        <v>3799</v>
      </c>
      <c r="L1085" s="223">
        <v>3801</v>
      </c>
      <c r="M1085" s="223">
        <v>3802</v>
      </c>
      <c r="N1085" s="223">
        <v>3804</v>
      </c>
      <c r="O1085" s="223">
        <v>3805</v>
      </c>
      <c r="P1085" s="223">
        <v>3807</v>
      </c>
      <c r="Q1085" s="223">
        <v>50</v>
      </c>
      <c r="R1085" s="46" t="s">
        <v>455</v>
      </c>
    </row>
    <row r="1086" spans="1:18">
      <c r="A1086" s="223">
        <v>3808</v>
      </c>
      <c r="B1086" s="223">
        <v>3810</v>
      </c>
      <c r="C1086" s="223">
        <v>3811</v>
      </c>
      <c r="D1086" s="223">
        <v>3813</v>
      </c>
      <c r="E1086" s="223">
        <v>3814</v>
      </c>
      <c r="F1086" s="223">
        <v>3816</v>
      </c>
      <c r="G1086" s="223">
        <v>3817</v>
      </c>
      <c r="H1086" s="223">
        <v>3819</v>
      </c>
      <c r="I1086" s="223">
        <v>3820</v>
      </c>
      <c r="J1086" s="223">
        <v>3822</v>
      </c>
      <c r="K1086" s="223">
        <v>3823</v>
      </c>
      <c r="L1086" s="223">
        <v>3825</v>
      </c>
      <c r="M1086" s="223">
        <v>3826</v>
      </c>
      <c r="N1086" s="223">
        <v>3828</v>
      </c>
      <c r="O1086" s="223">
        <v>3829</v>
      </c>
      <c r="P1086" s="223">
        <v>3831</v>
      </c>
      <c r="Q1086" s="223">
        <v>51</v>
      </c>
      <c r="R1086" s="46" t="s">
        <v>456</v>
      </c>
    </row>
    <row r="1087" spans="1:18">
      <c r="A1087" s="223">
        <v>3832</v>
      </c>
      <c r="B1087" s="223">
        <v>3834</v>
      </c>
      <c r="C1087" s="223">
        <v>3835</v>
      </c>
      <c r="D1087" s="223">
        <v>3837</v>
      </c>
      <c r="E1087" s="223">
        <v>3838</v>
      </c>
      <c r="F1087" s="223">
        <v>3840</v>
      </c>
      <c r="G1087" s="223">
        <v>3841</v>
      </c>
      <c r="H1087" s="223">
        <v>3843</v>
      </c>
      <c r="I1087" s="223">
        <v>3844</v>
      </c>
      <c r="J1087" s="223">
        <v>3846</v>
      </c>
      <c r="K1087" s="223">
        <v>3847</v>
      </c>
      <c r="L1087" s="223">
        <v>3849</v>
      </c>
      <c r="M1087" s="223">
        <v>3850</v>
      </c>
      <c r="N1087" s="223">
        <v>3852</v>
      </c>
      <c r="O1087" s="223">
        <v>3853</v>
      </c>
      <c r="P1087" s="223">
        <v>3855</v>
      </c>
      <c r="Q1087" s="223">
        <v>52</v>
      </c>
      <c r="R1087" s="46" t="s">
        <v>457</v>
      </c>
    </row>
    <row r="1088" spans="1:18">
      <c r="A1088" s="223">
        <v>3856</v>
      </c>
      <c r="B1088" s="223">
        <v>3858</v>
      </c>
      <c r="C1088" s="223">
        <v>3859</v>
      </c>
      <c r="D1088" s="223">
        <v>3861</v>
      </c>
      <c r="E1088" s="223">
        <v>3862</v>
      </c>
      <c r="F1088" s="223">
        <v>3864</v>
      </c>
      <c r="G1088" s="223">
        <v>3865</v>
      </c>
      <c r="H1088" s="223">
        <v>3867</v>
      </c>
      <c r="I1088" s="223">
        <v>3868</v>
      </c>
      <c r="J1088" s="223">
        <v>3870</v>
      </c>
      <c r="K1088" s="223">
        <v>3871</v>
      </c>
      <c r="L1088" s="223">
        <v>3873</v>
      </c>
      <c r="M1088" s="223">
        <v>3874</v>
      </c>
      <c r="N1088" s="223">
        <v>3876</v>
      </c>
      <c r="O1088" s="223">
        <v>3877</v>
      </c>
      <c r="P1088" s="223">
        <v>3879</v>
      </c>
      <c r="Q1088" s="223">
        <v>53</v>
      </c>
      <c r="R1088" s="46" t="s">
        <v>458</v>
      </c>
    </row>
    <row r="1089" spans="1:18">
      <c r="A1089" s="223">
        <v>3880</v>
      </c>
      <c r="B1089" s="223">
        <v>3882</v>
      </c>
      <c r="C1089" s="223">
        <v>3883</v>
      </c>
      <c r="D1089" s="223">
        <v>3885</v>
      </c>
      <c r="E1089" s="223">
        <v>3886</v>
      </c>
      <c r="F1089" s="223">
        <v>3888</v>
      </c>
      <c r="G1089" s="223">
        <v>3889</v>
      </c>
      <c r="H1089" s="223">
        <v>3891</v>
      </c>
      <c r="I1089" s="223">
        <v>3892</v>
      </c>
      <c r="J1089" s="223">
        <v>3894</v>
      </c>
      <c r="K1089" s="223">
        <v>3895</v>
      </c>
      <c r="L1089" s="223">
        <v>3897</v>
      </c>
      <c r="M1089" s="223">
        <v>3898</v>
      </c>
      <c r="N1089" s="223">
        <v>3900</v>
      </c>
      <c r="O1089" s="223">
        <v>3901</v>
      </c>
      <c r="P1089" s="223">
        <v>3903</v>
      </c>
      <c r="Q1089" s="223">
        <v>54</v>
      </c>
      <c r="R1089" s="46" t="s">
        <v>459</v>
      </c>
    </row>
    <row r="1090" spans="1:18">
      <c r="A1090" s="223">
        <v>3904</v>
      </c>
      <c r="B1090" s="223">
        <v>3906</v>
      </c>
      <c r="C1090" s="223">
        <v>3907</v>
      </c>
      <c r="D1090" s="223">
        <v>3909</v>
      </c>
      <c r="E1090" s="223">
        <v>3910</v>
      </c>
      <c r="F1090" s="223">
        <v>3912</v>
      </c>
      <c r="G1090" s="223">
        <v>3913</v>
      </c>
      <c r="H1090" s="223">
        <v>3915</v>
      </c>
      <c r="I1090" s="223">
        <v>3916</v>
      </c>
      <c r="J1090" s="223">
        <v>3918</v>
      </c>
      <c r="K1090" s="223">
        <v>3919</v>
      </c>
      <c r="L1090" s="223">
        <v>3921</v>
      </c>
      <c r="M1090" s="223">
        <v>3922</v>
      </c>
      <c r="N1090" s="223">
        <v>3924</v>
      </c>
      <c r="O1090" s="223">
        <v>3925</v>
      </c>
      <c r="P1090" s="223">
        <v>3927</v>
      </c>
      <c r="Q1090" s="223">
        <v>55</v>
      </c>
      <c r="R1090" s="46" t="s">
        <v>460</v>
      </c>
    </row>
    <row r="1091" spans="1:18">
      <c r="A1091" s="223">
        <v>3928</v>
      </c>
      <c r="B1091" s="223">
        <v>3930</v>
      </c>
      <c r="C1091" s="223">
        <v>3931</v>
      </c>
      <c r="D1091" s="223">
        <v>3933</v>
      </c>
      <c r="E1091" s="223">
        <v>3934</v>
      </c>
      <c r="F1091" s="223">
        <v>3936</v>
      </c>
      <c r="G1091" s="223">
        <v>3937</v>
      </c>
      <c r="H1091" s="223">
        <v>3939</v>
      </c>
      <c r="I1091" s="223">
        <v>3940</v>
      </c>
      <c r="J1091" s="223">
        <v>3942</v>
      </c>
      <c r="K1091" s="223">
        <v>3943</v>
      </c>
      <c r="L1091" s="223">
        <v>3945</v>
      </c>
      <c r="M1091" s="223">
        <v>3946</v>
      </c>
      <c r="N1091" s="223">
        <v>3948</v>
      </c>
      <c r="O1091" s="223">
        <v>3949</v>
      </c>
      <c r="P1091" s="223">
        <v>3951</v>
      </c>
      <c r="Q1091" s="223">
        <v>56</v>
      </c>
      <c r="R1091" s="46" t="s">
        <v>461</v>
      </c>
    </row>
    <row r="1092" spans="1:18">
      <c r="A1092" s="223">
        <v>3952</v>
      </c>
      <c r="B1092" s="223">
        <v>3954</v>
      </c>
      <c r="C1092" s="223">
        <v>3955</v>
      </c>
      <c r="D1092" s="223">
        <v>3957</v>
      </c>
      <c r="E1092" s="223">
        <v>3958</v>
      </c>
      <c r="F1092" s="223">
        <v>3960</v>
      </c>
      <c r="G1092" s="223">
        <v>3961</v>
      </c>
      <c r="H1092" s="223">
        <v>3963</v>
      </c>
      <c r="I1092" s="223">
        <v>3964</v>
      </c>
      <c r="J1092" s="223">
        <v>3966</v>
      </c>
      <c r="K1092" s="223">
        <v>3967</v>
      </c>
      <c r="L1092" s="223">
        <v>3969</v>
      </c>
      <c r="M1092" s="223">
        <v>3970</v>
      </c>
      <c r="N1092" s="223">
        <v>3972</v>
      </c>
      <c r="O1092" s="223">
        <v>3973</v>
      </c>
      <c r="P1092" s="223">
        <v>3975</v>
      </c>
      <c r="Q1092" s="223">
        <v>57</v>
      </c>
      <c r="R1092" s="46" t="s">
        <v>462</v>
      </c>
    </row>
    <row r="1093" spans="1:18">
      <c r="A1093" s="223">
        <v>3976</v>
      </c>
      <c r="B1093" s="223">
        <v>3978</v>
      </c>
      <c r="C1093" s="223">
        <v>3979</v>
      </c>
      <c r="D1093" s="223">
        <v>3981</v>
      </c>
      <c r="E1093" s="223">
        <v>3982</v>
      </c>
      <c r="F1093" s="223">
        <v>3984</v>
      </c>
      <c r="G1093" s="223">
        <v>3985</v>
      </c>
      <c r="H1093" s="223">
        <v>3987</v>
      </c>
      <c r="I1093" s="223">
        <v>3988</v>
      </c>
      <c r="J1093" s="223">
        <v>3990</v>
      </c>
      <c r="K1093" s="223">
        <v>3991</v>
      </c>
      <c r="L1093" s="223">
        <v>3993</v>
      </c>
      <c r="M1093" s="223">
        <v>3994</v>
      </c>
      <c r="N1093" s="223">
        <v>3996</v>
      </c>
      <c r="O1093" s="223">
        <v>3997</v>
      </c>
      <c r="P1093" s="223">
        <v>3999</v>
      </c>
      <c r="Q1093" s="223">
        <v>58</v>
      </c>
      <c r="R1093" s="46" t="s">
        <v>463</v>
      </c>
    </row>
    <row r="1094" spans="1:18">
      <c r="A1094" s="223">
        <v>4000</v>
      </c>
      <c r="B1094" s="223">
        <v>4002</v>
      </c>
      <c r="C1094" s="223">
        <v>4003</v>
      </c>
      <c r="D1094" s="223">
        <v>4005</v>
      </c>
      <c r="E1094" s="223">
        <v>4006</v>
      </c>
      <c r="F1094" s="223">
        <v>4008</v>
      </c>
      <c r="G1094" s="223">
        <v>4009</v>
      </c>
      <c r="H1094" s="223">
        <v>4011</v>
      </c>
      <c r="I1094" s="223">
        <v>4012</v>
      </c>
      <c r="J1094" s="223">
        <v>4014</v>
      </c>
      <c r="K1094" s="223">
        <v>4015</v>
      </c>
      <c r="L1094" s="223">
        <v>4017</v>
      </c>
      <c r="M1094" s="223">
        <v>4018</v>
      </c>
      <c r="N1094" s="223">
        <v>4020</v>
      </c>
      <c r="O1094" s="223">
        <v>4021</v>
      </c>
      <c r="P1094" s="223">
        <v>4023</v>
      </c>
      <c r="Q1094" s="223">
        <v>59</v>
      </c>
      <c r="R1094" s="46" t="s">
        <v>464</v>
      </c>
    </row>
    <row r="1095" spans="1:18">
      <c r="A1095" s="223">
        <v>4024</v>
      </c>
      <c r="B1095" s="223">
        <v>4026</v>
      </c>
      <c r="C1095" s="223">
        <v>4027</v>
      </c>
      <c r="D1095" s="223">
        <v>4029</v>
      </c>
      <c r="E1095" s="223">
        <v>4030</v>
      </c>
      <c r="F1095" s="223">
        <v>4032</v>
      </c>
      <c r="G1095" s="223">
        <v>4033</v>
      </c>
      <c r="H1095" s="223">
        <v>4035</v>
      </c>
      <c r="I1095" s="223">
        <v>4036</v>
      </c>
      <c r="J1095" s="223">
        <v>4038</v>
      </c>
      <c r="K1095" s="223">
        <v>4039</v>
      </c>
      <c r="L1095" s="223">
        <v>4041</v>
      </c>
      <c r="M1095" s="223">
        <v>4042</v>
      </c>
      <c r="N1095" s="223">
        <v>4044</v>
      </c>
      <c r="O1095" s="223">
        <v>4045</v>
      </c>
      <c r="P1095" s="223">
        <v>4047</v>
      </c>
      <c r="Q1095" s="223">
        <v>60</v>
      </c>
      <c r="R1095" s="46" t="s">
        <v>465</v>
      </c>
    </row>
    <row r="1096" spans="1:18">
      <c r="A1096" s="223">
        <v>4048</v>
      </c>
      <c r="B1096" s="223">
        <v>4050</v>
      </c>
      <c r="C1096" s="223">
        <v>4051</v>
      </c>
      <c r="D1096" s="223">
        <v>4053</v>
      </c>
      <c r="E1096" s="223">
        <v>4054</v>
      </c>
      <c r="F1096" s="223">
        <v>4056</v>
      </c>
      <c r="G1096" s="223">
        <v>4057</v>
      </c>
      <c r="H1096" s="223">
        <v>4059</v>
      </c>
      <c r="I1096" s="223">
        <v>4060</v>
      </c>
      <c r="J1096" s="223">
        <v>4062</v>
      </c>
      <c r="K1096" s="223">
        <v>4063</v>
      </c>
      <c r="L1096" s="223">
        <v>4065</v>
      </c>
      <c r="M1096" s="223">
        <v>4066</v>
      </c>
      <c r="N1096" s="223">
        <v>4068</v>
      </c>
      <c r="O1096" s="223">
        <v>4069</v>
      </c>
      <c r="P1096" s="223">
        <v>4071</v>
      </c>
      <c r="Q1096" s="223">
        <v>61</v>
      </c>
      <c r="R1096" s="46" t="s">
        <v>466</v>
      </c>
    </row>
    <row r="1097" spans="1:18">
      <c r="A1097" s="223">
        <v>4072</v>
      </c>
      <c r="B1097" s="223">
        <v>4074</v>
      </c>
      <c r="C1097" s="223">
        <v>4075</v>
      </c>
      <c r="D1097" s="223">
        <v>4077</v>
      </c>
      <c r="E1097" s="223">
        <v>4078</v>
      </c>
      <c r="F1097" s="223">
        <v>4080</v>
      </c>
      <c r="G1097" s="223">
        <v>4081</v>
      </c>
      <c r="H1097" s="223">
        <v>4083</v>
      </c>
      <c r="I1097" s="223">
        <v>4084</v>
      </c>
      <c r="J1097" s="223">
        <v>4086</v>
      </c>
      <c r="K1097" s="223">
        <v>4087</v>
      </c>
      <c r="L1097" s="223">
        <v>4089</v>
      </c>
      <c r="M1097" s="223">
        <v>4090</v>
      </c>
      <c r="N1097" s="223">
        <v>4092</v>
      </c>
      <c r="O1097" s="223">
        <v>4093</v>
      </c>
      <c r="P1097" s="223">
        <v>4095</v>
      </c>
      <c r="Q1097" s="223">
        <v>62</v>
      </c>
      <c r="R1097" s="46" t="s">
        <v>467</v>
      </c>
    </row>
    <row r="1098" spans="1:18">
      <c r="A1098" s="223">
        <v>4096</v>
      </c>
      <c r="B1098" s="223">
        <v>4098</v>
      </c>
      <c r="C1098" s="223">
        <v>4099</v>
      </c>
      <c r="D1098" s="223">
        <v>4101</v>
      </c>
      <c r="E1098" s="223">
        <v>4102</v>
      </c>
      <c r="F1098" s="223">
        <v>4104</v>
      </c>
      <c r="G1098" s="223">
        <v>4105</v>
      </c>
      <c r="H1098" s="223">
        <v>4107</v>
      </c>
      <c r="I1098" s="223">
        <v>4108</v>
      </c>
      <c r="J1098" s="223">
        <v>4110</v>
      </c>
      <c r="K1098" s="223">
        <v>4111</v>
      </c>
      <c r="L1098" s="223">
        <v>4113</v>
      </c>
      <c r="M1098" s="223">
        <v>4114</v>
      </c>
      <c r="N1098" s="223">
        <v>4116</v>
      </c>
      <c r="O1098" s="223">
        <v>4117</v>
      </c>
      <c r="P1098" s="223">
        <v>4119</v>
      </c>
      <c r="Q1098" s="223">
        <v>63</v>
      </c>
      <c r="R1098" s="46" t="s">
        <v>468</v>
      </c>
    </row>
    <row r="1099" spans="1:18">
      <c r="A1099" s="223">
        <v>4120</v>
      </c>
      <c r="B1099" s="223">
        <v>4122</v>
      </c>
      <c r="C1099" s="223">
        <v>4123</v>
      </c>
      <c r="D1099" s="223">
        <v>4125</v>
      </c>
      <c r="E1099" s="223">
        <v>4126</v>
      </c>
      <c r="F1099" s="223">
        <v>4128</v>
      </c>
      <c r="G1099" s="223">
        <v>4129</v>
      </c>
      <c r="H1099" s="223">
        <v>4131</v>
      </c>
      <c r="I1099" s="223">
        <v>4132</v>
      </c>
      <c r="J1099" s="223">
        <v>4134</v>
      </c>
      <c r="K1099" s="223">
        <v>4135</v>
      </c>
      <c r="L1099" s="223">
        <v>4137</v>
      </c>
      <c r="M1099" s="223">
        <v>4138</v>
      </c>
      <c r="N1099" s="223">
        <v>4140</v>
      </c>
      <c r="O1099" s="223">
        <v>4141</v>
      </c>
      <c r="P1099" s="223">
        <v>4143</v>
      </c>
      <c r="Q1099" s="223">
        <v>64</v>
      </c>
      <c r="R1099" s="46" t="s">
        <v>469</v>
      </c>
    </row>
    <row r="1100" spans="1:18">
      <c r="A1100" s="223">
        <v>4144</v>
      </c>
      <c r="B1100" s="223">
        <v>4146</v>
      </c>
      <c r="C1100" s="223">
        <v>4147</v>
      </c>
      <c r="D1100" s="223">
        <v>4149</v>
      </c>
      <c r="E1100" s="223">
        <v>4150</v>
      </c>
      <c r="F1100" s="223">
        <v>4152</v>
      </c>
      <c r="G1100" s="223">
        <v>4153</v>
      </c>
      <c r="H1100" s="223">
        <v>4155</v>
      </c>
      <c r="I1100" s="223">
        <v>4156</v>
      </c>
      <c r="J1100" s="223">
        <v>4158</v>
      </c>
      <c r="K1100" s="223">
        <v>4159</v>
      </c>
      <c r="L1100" s="223">
        <v>4161</v>
      </c>
      <c r="M1100" s="223">
        <v>4162</v>
      </c>
      <c r="N1100" s="223">
        <v>4164</v>
      </c>
      <c r="O1100" s="223">
        <v>4165</v>
      </c>
      <c r="P1100" s="223">
        <v>4167</v>
      </c>
      <c r="Q1100" s="223">
        <v>65</v>
      </c>
      <c r="R1100" s="46" t="s">
        <v>470</v>
      </c>
    </row>
    <row r="1101" spans="1:18">
      <c r="A1101" s="223">
        <v>4168</v>
      </c>
      <c r="B1101" s="223">
        <v>4170</v>
      </c>
      <c r="C1101" s="223">
        <v>4171</v>
      </c>
      <c r="D1101" s="223">
        <v>4173</v>
      </c>
      <c r="E1101" s="223">
        <v>4174</v>
      </c>
      <c r="F1101" s="223">
        <v>4176</v>
      </c>
      <c r="G1101" s="223">
        <v>4177</v>
      </c>
      <c r="H1101" s="223">
        <v>4179</v>
      </c>
      <c r="I1101" s="223">
        <v>4180</v>
      </c>
      <c r="J1101" s="223">
        <v>4182</v>
      </c>
      <c r="K1101" s="223">
        <v>4183</v>
      </c>
      <c r="L1101" s="223">
        <v>4185</v>
      </c>
      <c r="M1101" s="223">
        <v>4186</v>
      </c>
      <c r="N1101" s="223">
        <v>4188</v>
      </c>
      <c r="O1101" s="223">
        <v>4189</v>
      </c>
      <c r="P1101" s="223">
        <v>4191</v>
      </c>
      <c r="Q1101" s="223">
        <v>66</v>
      </c>
      <c r="R1101" s="46" t="s">
        <v>471</v>
      </c>
    </row>
    <row r="1102" spans="1:18">
      <c r="A1102" s="223">
        <v>4192</v>
      </c>
      <c r="B1102" s="223">
        <v>4194</v>
      </c>
      <c r="C1102" s="223">
        <v>4195</v>
      </c>
      <c r="D1102" s="223">
        <v>4197</v>
      </c>
      <c r="E1102" s="223">
        <v>4198</v>
      </c>
      <c r="F1102" s="223">
        <v>4200</v>
      </c>
      <c r="G1102" s="223">
        <v>4201</v>
      </c>
      <c r="H1102" s="223">
        <v>4203</v>
      </c>
      <c r="I1102" s="223">
        <v>4204</v>
      </c>
      <c r="J1102" s="223">
        <v>4206</v>
      </c>
      <c r="K1102" s="223">
        <v>4207</v>
      </c>
      <c r="L1102" s="223">
        <v>4209</v>
      </c>
      <c r="M1102" s="223">
        <v>4210</v>
      </c>
      <c r="N1102" s="223">
        <v>4212</v>
      </c>
      <c r="O1102" s="223">
        <v>4213</v>
      </c>
      <c r="P1102" s="223">
        <v>4215</v>
      </c>
      <c r="Q1102" s="223">
        <v>67</v>
      </c>
      <c r="R1102" s="46" t="s">
        <v>472</v>
      </c>
    </row>
    <row r="1103" spans="1:18">
      <c r="A1103" s="223">
        <v>4216</v>
      </c>
      <c r="B1103" s="223">
        <v>4218</v>
      </c>
      <c r="C1103" s="223">
        <v>4219</v>
      </c>
      <c r="D1103" s="223">
        <v>4221</v>
      </c>
      <c r="E1103" s="223">
        <v>4222</v>
      </c>
      <c r="F1103" s="223">
        <v>4224</v>
      </c>
      <c r="G1103" s="223">
        <v>4225</v>
      </c>
      <c r="H1103" s="223">
        <v>4227</v>
      </c>
      <c r="I1103" s="223">
        <v>4228</v>
      </c>
      <c r="J1103" s="223">
        <v>4230</v>
      </c>
      <c r="K1103" s="223">
        <v>4231</v>
      </c>
      <c r="L1103" s="223">
        <v>4233</v>
      </c>
      <c r="M1103" s="223">
        <v>4234</v>
      </c>
      <c r="N1103" s="223">
        <v>4236</v>
      </c>
      <c r="O1103" s="223">
        <v>4237</v>
      </c>
      <c r="P1103" s="223">
        <v>4239</v>
      </c>
      <c r="Q1103" s="223">
        <v>68</v>
      </c>
      <c r="R1103" s="46" t="s">
        <v>473</v>
      </c>
    </row>
    <row r="1104" spans="1:18">
      <c r="A1104" s="223">
        <v>4240</v>
      </c>
      <c r="B1104" s="223">
        <v>4242</v>
      </c>
      <c r="C1104" s="223">
        <v>4243</v>
      </c>
      <c r="D1104" s="223">
        <v>4245</v>
      </c>
      <c r="E1104" s="223">
        <v>4246</v>
      </c>
      <c r="F1104" s="223">
        <v>4248</v>
      </c>
      <c r="G1104" s="223">
        <v>4249</v>
      </c>
      <c r="H1104" s="223">
        <v>4251</v>
      </c>
      <c r="I1104" s="223">
        <v>4252</v>
      </c>
      <c r="J1104" s="223">
        <v>4254</v>
      </c>
      <c r="K1104" s="223">
        <v>4255</v>
      </c>
      <c r="L1104" s="223">
        <v>4257</v>
      </c>
      <c r="M1104" s="223">
        <v>4258</v>
      </c>
      <c r="N1104" s="223">
        <v>4260</v>
      </c>
      <c r="O1104" s="223">
        <v>4261</v>
      </c>
      <c r="P1104" s="223">
        <v>4263</v>
      </c>
      <c r="Q1104" s="223">
        <v>69</v>
      </c>
      <c r="R1104" s="46" t="s">
        <v>474</v>
      </c>
    </row>
    <row r="1105" spans="1:18">
      <c r="A1105" s="223">
        <v>4264</v>
      </c>
      <c r="B1105" s="223">
        <v>4266</v>
      </c>
      <c r="C1105" s="223">
        <v>4267</v>
      </c>
      <c r="D1105" s="223">
        <v>4269</v>
      </c>
      <c r="E1105" s="223">
        <v>4270</v>
      </c>
      <c r="F1105" s="223">
        <v>4272</v>
      </c>
      <c r="G1105" s="223">
        <v>4273</v>
      </c>
      <c r="H1105" s="223">
        <v>4275</v>
      </c>
      <c r="I1105" s="223">
        <v>4276</v>
      </c>
      <c r="J1105" s="223">
        <v>4278</v>
      </c>
      <c r="K1105" s="223">
        <v>4279</v>
      </c>
      <c r="L1105" s="223">
        <v>4281</v>
      </c>
      <c r="M1105" s="223">
        <v>4282</v>
      </c>
      <c r="N1105" s="223">
        <v>4284</v>
      </c>
      <c r="O1105" s="223">
        <v>4285</v>
      </c>
      <c r="P1105" s="223">
        <v>4287</v>
      </c>
      <c r="Q1105" s="223">
        <v>70</v>
      </c>
      <c r="R1105" s="46" t="s">
        <v>475</v>
      </c>
    </row>
    <row r="1106" spans="1:18">
      <c r="A1106" s="223">
        <v>4288</v>
      </c>
      <c r="B1106" s="223">
        <v>4290</v>
      </c>
      <c r="C1106" s="223">
        <v>4291</v>
      </c>
      <c r="D1106" s="223">
        <v>4293</v>
      </c>
      <c r="E1106" s="223">
        <v>4294</v>
      </c>
      <c r="F1106" s="223">
        <v>4296</v>
      </c>
      <c r="G1106" s="223">
        <v>4297</v>
      </c>
      <c r="H1106" s="223">
        <v>4299</v>
      </c>
      <c r="I1106" s="223">
        <v>4300</v>
      </c>
      <c r="J1106" s="223">
        <v>4302</v>
      </c>
      <c r="K1106" s="223">
        <v>4303</v>
      </c>
      <c r="L1106" s="223">
        <v>4305</v>
      </c>
      <c r="M1106" s="223">
        <v>4306</v>
      </c>
      <c r="N1106" s="223">
        <v>4308</v>
      </c>
      <c r="O1106" s="223">
        <v>4309</v>
      </c>
      <c r="P1106" s="223">
        <v>4311</v>
      </c>
      <c r="Q1106" s="223">
        <v>71</v>
      </c>
      <c r="R1106" s="46" t="s">
        <v>476</v>
      </c>
    </row>
    <row r="1107" spans="1:18">
      <c r="A1107" s="223">
        <v>4312</v>
      </c>
      <c r="B1107" s="223">
        <v>4314</v>
      </c>
      <c r="C1107" s="223">
        <v>4315</v>
      </c>
      <c r="D1107" s="223">
        <v>4317</v>
      </c>
      <c r="E1107" s="223">
        <v>4318</v>
      </c>
      <c r="F1107" s="223">
        <v>4320</v>
      </c>
      <c r="G1107" s="223">
        <v>4321</v>
      </c>
      <c r="H1107" s="223">
        <v>4323</v>
      </c>
      <c r="I1107" s="223">
        <v>4324</v>
      </c>
      <c r="J1107" s="223">
        <v>4326</v>
      </c>
      <c r="K1107" s="223">
        <v>4327</v>
      </c>
      <c r="L1107" s="223">
        <v>4329</v>
      </c>
      <c r="M1107" s="223">
        <v>4330</v>
      </c>
      <c r="N1107" s="223">
        <v>4332</v>
      </c>
      <c r="O1107" s="223">
        <v>4333</v>
      </c>
      <c r="P1107" s="223">
        <v>4335</v>
      </c>
      <c r="Q1107" s="223">
        <v>72</v>
      </c>
      <c r="R1107" s="46" t="s">
        <v>477</v>
      </c>
    </row>
    <row r="1108" spans="1:18">
      <c r="A1108" s="223">
        <v>4336</v>
      </c>
      <c r="B1108" s="223">
        <v>4338</v>
      </c>
      <c r="C1108" s="223">
        <v>4339</v>
      </c>
      <c r="D1108" s="223">
        <v>4341</v>
      </c>
      <c r="E1108" s="223">
        <v>4342</v>
      </c>
      <c r="F1108" s="223">
        <v>4344</v>
      </c>
      <c r="G1108" s="223">
        <v>4345</v>
      </c>
      <c r="H1108" s="223">
        <v>4347</v>
      </c>
      <c r="I1108" s="223">
        <v>4348</v>
      </c>
      <c r="J1108" s="223">
        <v>4350</v>
      </c>
      <c r="K1108" s="223">
        <v>4351</v>
      </c>
      <c r="L1108" s="223">
        <v>4353</v>
      </c>
      <c r="M1108" s="223">
        <v>4354</v>
      </c>
      <c r="N1108" s="223">
        <v>4356</v>
      </c>
      <c r="O1108" s="223">
        <v>4357</v>
      </c>
      <c r="P1108" s="223">
        <v>4359</v>
      </c>
      <c r="Q1108" s="223">
        <v>73</v>
      </c>
      <c r="R1108" s="46" t="s">
        <v>478</v>
      </c>
    </row>
    <row r="1109" spans="1:18">
      <c r="A1109" s="223">
        <v>4360</v>
      </c>
      <c r="B1109" s="223">
        <v>4362</v>
      </c>
      <c r="C1109" s="223">
        <v>4363</v>
      </c>
      <c r="D1109" s="223">
        <v>4365</v>
      </c>
      <c r="E1109" s="223">
        <v>4366</v>
      </c>
      <c r="F1109" s="223">
        <v>4368</v>
      </c>
      <c r="G1109" s="223">
        <v>4369</v>
      </c>
      <c r="H1109" s="223">
        <v>4371</v>
      </c>
      <c r="I1109" s="223">
        <v>4372</v>
      </c>
      <c r="J1109" s="223">
        <v>4374</v>
      </c>
      <c r="K1109" s="223">
        <v>4375</v>
      </c>
      <c r="L1109" s="223">
        <v>4377</v>
      </c>
      <c r="M1109" s="223">
        <v>4378</v>
      </c>
      <c r="N1109" s="223">
        <v>4380</v>
      </c>
      <c r="O1109" s="223">
        <v>4381</v>
      </c>
      <c r="P1109" s="223">
        <v>4383</v>
      </c>
      <c r="Q1109" s="223">
        <v>74</v>
      </c>
      <c r="R1109" s="46" t="s">
        <v>479</v>
      </c>
    </row>
    <row r="1110" spans="1:18">
      <c r="A1110" s="223">
        <v>4384</v>
      </c>
      <c r="B1110" s="223">
        <v>4386</v>
      </c>
      <c r="C1110" s="223">
        <v>4387</v>
      </c>
      <c r="D1110" s="223">
        <v>4389</v>
      </c>
      <c r="E1110" s="223">
        <v>4390</v>
      </c>
      <c r="F1110" s="223">
        <v>4392</v>
      </c>
      <c r="G1110" s="223">
        <v>4393</v>
      </c>
      <c r="H1110" s="223">
        <v>4395</v>
      </c>
      <c r="I1110" s="223">
        <v>4396</v>
      </c>
      <c r="J1110" s="223">
        <v>4398</v>
      </c>
      <c r="K1110" s="223">
        <v>4399</v>
      </c>
      <c r="L1110" s="223">
        <v>4401</v>
      </c>
      <c r="M1110" s="223">
        <v>4402</v>
      </c>
      <c r="N1110" s="223">
        <v>4404</v>
      </c>
      <c r="O1110" s="223">
        <v>4405</v>
      </c>
      <c r="P1110" s="223">
        <v>4407</v>
      </c>
      <c r="Q1110" s="223">
        <v>75</v>
      </c>
      <c r="R1110" s="46" t="s">
        <v>480</v>
      </c>
    </row>
    <row r="1111" spans="1:18">
      <c r="A1111" s="223">
        <v>4408</v>
      </c>
      <c r="B1111" s="223">
        <v>4410</v>
      </c>
      <c r="C1111" s="223">
        <v>4411</v>
      </c>
      <c r="D1111" s="223">
        <v>4413</v>
      </c>
      <c r="E1111" s="223">
        <v>4414</v>
      </c>
      <c r="F1111" s="223">
        <v>4416</v>
      </c>
      <c r="G1111" s="223">
        <v>4417</v>
      </c>
      <c r="H1111" s="223">
        <v>4419</v>
      </c>
      <c r="I1111" s="223">
        <v>4420</v>
      </c>
      <c r="J1111" s="223">
        <v>4422</v>
      </c>
      <c r="K1111" s="223">
        <v>4423</v>
      </c>
      <c r="L1111" s="223">
        <v>4425</v>
      </c>
      <c r="M1111" s="223">
        <v>4426</v>
      </c>
      <c r="N1111" s="223">
        <v>4428</v>
      </c>
      <c r="O1111" s="223">
        <v>4429</v>
      </c>
      <c r="P1111" s="223">
        <v>4431</v>
      </c>
      <c r="Q1111" s="223">
        <v>76</v>
      </c>
      <c r="R1111" s="46" t="s">
        <v>481</v>
      </c>
    </row>
    <row r="1112" spans="1:18">
      <c r="A1112" s="223">
        <v>4432</v>
      </c>
      <c r="B1112" s="223">
        <v>4434</v>
      </c>
      <c r="C1112" s="223">
        <v>4435</v>
      </c>
      <c r="D1112" s="223">
        <v>4437</v>
      </c>
      <c r="E1112" s="223">
        <v>4438</v>
      </c>
      <c r="F1112" s="223">
        <v>4440</v>
      </c>
      <c r="G1112" s="223">
        <v>4441</v>
      </c>
      <c r="H1112" s="223">
        <v>4443</v>
      </c>
      <c r="I1112" s="223">
        <v>4444</v>
      </c>
      <c r="J1112" s="223">
        <v>4446</v>
      </c>
      <c r="K1112" s="223">
        <v>4447</v>
      </c>
      <c r="L1112" s="223">
        <v>4449</v>
      </c>
      <c r="M1112" s="223">
        <v>4450</v>
      </c>
      <c r="N1112" s="223">
        <v>4452</v>
      </c>
      <c r="O1112" s="223">
        <v>4453</v>
      </c>
      <c r="P1112" s="223">
        <v>4455</v>
      </c>
      <c r="Q1112" s="223">
        <v>77</v>
      </c>
      <c r="R1112" s="46" t="s">
        <v>482</v>
      </c>
    </row>
    <row r="1113" spans="1:18">
      <c r="A1113" s="223">
        <v>4456</v>
      </c>
      <c r="B1113" s="223">
        <v>4458</v>
      </c>
      <c r="C1113" s="223">
        <v>4459</v>
      </c>
      <c r="D1113" s="223">
        <v>4461</v>
      </c>
      <c r="E1113" s="223">
        <v>4462</v>
      </c>
      <c r="F1113" s="223">
        <v>4464</v>
      </c>
      <c r="G1113" s="223">
        <v>4465</v>
      </c>
      <c r="H1113" s="223">
        <v>4467</v>
      </c>
      <c r="I1113" s="223">
        <v>4468</v>
      </c>
      <c r="J1113" s="223">
        <v>4470</v>
      </c>
      <c r="K1113" s="223">
        <v>4471</v>
      </c>
      <c r="L1113" s="223">
        <v>4473</v>
      </c>
      <c r="M1113" s="223">
        <v>4474</v>
      </c>
      <c r="N1113" s="223">
        <v>4476</v>
      </c>
      <c r="O1113" s="223">
        <v>4477</v>
      </c>
      <c r="P1113" s="223">
        <v>4479</v>
      </c>
      <c r="Q1113" s="223">
        <v>78</v>
      </c>
      <c r="R1113" s="46" t="s">
        <v>483</v>
      </c>
    </row>
    <row r="1114" spans="1:18">
      <c r="A1114" s="223">
        <v>4480</v>
      </c>
      <c r="B1114" s="223">
        <v>4482</v>
      </c>
      <c r="C1114" s="223">
        <v>4483</v>
      </c>
      <c r="D1114" s="223">
        <v>4485</v>
      </c>
      <c r="E1114" s="223">
        <v>4486</v>
      </c>
      <c r="F1114" s="223">
        <v>4488</v>
      </c>
      <c r="G1114" s="223">
        <v>4489</v>
      </c>
      <c r="H1114" s="223">
        <v>4491</v>
      </c>
      <c r="I1114" s="223">
        <v>4492</v>
      </c>
      <c r="J1114" s="223">
        <v>4494</v>
      </c>
      <c r="K1114" s="223">
        <v>4495</v>
      </c>
      <c r="L1114" s="223">
        <v>4497</v>
      </c>
      <c r="M1114" s="223">
        <v>4498</v>
      </c>
      <c r="N1114" s="223">
        <v>4500</v>
      </c>
      <c r="O1114" s="223">
        <v>4501</v>
      </c>
      <c r="P1114" s="223">
        <v>4503</v>
      </c>
      <c r="Q1114" s="223">
        <v>79</v>
      </c>
      <c r="R1114" s="46" t="s">
        <v>484</v>
      </c>
    </row>
    <row r="1115" spans="1:18">
      <c r="A1115" s="223">
        <v>4504</v>
      </c>
      <c r="B1115" s="223">
        <v>4506</v>
      </c>
      <c r="C1115" s="223">
        <v>4507</v>
      </c>
      <c r="D1115" s="223">
        <v>4509</v>
      </c>
      <c r="E1115" s="223">
        <v>4510</v>
      </c>
      <c r="F1115" s="223">
        <v>4512</v>
      </c>
      <c r="G1115" s="223">
        <v>4513</v>
      </c>
      <c r="H1115" s="223">
        <v>4515</v>
      </c>
      <c r="I1115" s="223">
        <v>4516</v>
      </c>
      <c r="J1115" s="223">
        <v>4518</v>
      </c>
      <c r="K1115" s="223">
        <v>4519</v>
      </c>
      <c r="L1115" s="223">
        <v>4521</v>
      </c>
      <c r="M1115" s="223">
        <v>4522</v>
      </c>
      <c r="N1115" s="223">
        <v>4524</v>
      </c>
      <c r="O1115" s="223">
        <v>4525</v>
      </c>
      <c r="P1115" s="223">
        <v>4527</v>
      </c>
      <c r="Q1115" s="223">
        <v>80</v>
      </c>
      <c r="R1115" s="46" t="s">
        <v>485</v>
      </c>
    </row>
    <row r="1116" spans="1:18">
      <c r="A1116" s="223">
        <v>7408</v>
      </c>
      <c r="B1116" s="223">
        <v>7410</v>
      </c>
      <c r="C1116" s="223">
        <v>7411</v>
      </c>
      <c r="D1116" s="223">
        <v>7413</v>
      </c>
      <c r="E1116" s="223">
        <v>7414</v>
      </c>
      <c r="F1116" s="223">
        <v>7416</v>
      </c>
      <c r="G1116" s="223">
        <v>7417</v>
      </c>
      <c r="H1116" s="223">
        <v>7419</v>
      </c>
      <c r="I1116" s="223">
        <v>7420</v>
      </c>
      <c r="J1116" s="223">
        <v>7422</v>
      </c>
      <c r="K1116" s="223">
        <v>7423</v>
      </c>
      <c r="L1116" s="223">
        <v>7425</v>
      </c>
      <c r="M1116" s="223">
        <v>7426</v>
      </c>
      <c r="N1116" s="223">
        <v>7428</v>
      </c>
      <c r="O1116" s="223">
        <v>7429</v>
      </c>
      <c r="P1116" s="223">
        <v>7431</v>
      </c>
      <c r="Q1116" s="223">
        <v>201</v>
      </c>
      <c r="R1116" s="46" t="s">
        <v>486</v>
      </c>
    </row>
    <row r="1117" spans="1:18">
      <c r="A1117" s="223">
        <v>7432</v>
      </c>
      <c r="B1117" s="223">
        <v>7434</v>
      </c>
      <c r="C1117" s="223">
        <v>7435</v>
      </c>
      <c r="D1117" s="223">
        <v>7437</v>
      </c>
      <c r="E1117" s="223">
        <v>7438</v>
      </c>
      <c r="F1117" s="223">
        <v>7440</v>
      </c>
      <c r="G1117" s="223">
        <v>7441</v>
      </c>
      <c r="H1117" s="223">
        <v>7443</v>
      </c>
      <c r="I1117" s="223">
        <v>7444</v>
      </c>
      <c r="J1117" s="223">
        <v>7446</v>
      </c>
      <c r="K1117" s="223">
        <v>7447</v>
      </c>
      <c r="L1117" s="223">
        <v>7449</v>
      </c>
      <c r="M1117" s="223">
        <v>7450</v>
      </c>
      <c r="N1117" s="223">
        <v>7452</v>
      </c>
      <c r="O1117" s="223">
        <v>7453</v>
      </c>
      <c r="P1117" s="223">
        <v>7455</v>
      </c>
      <c r="Q1117" s="223">
        <v>202</v>
      </c>
      <c r="R1117" s="46" t="s">
        <v>487</v>
      </c>
    </row>
    <row r="1118" spans="1:18">
      <c r="A1118" s="223">
        <v>7456</v>
      </c>
      <c r="B1118" s="223">
        <v>7458</v>
      </c>
      <c r="C1118" s="223">
        <v>7459</v>
      </c>
      <c r="D1118" s="223">
        <v>7461</v>
      </c>
      <c r="E1118" s="223">
        <v>7462</v>
      </c>
      <c r="F1118" s="223">
        <v>7464</v>
      </c>
      <c r="G1118" s="223">
        <v>7465</v>
      </c>
      <c r="H1118" s="223">
        <v>7467</v>
      </c>
      <c r="I1118" s="223">
        <v>7468</v>
      </c>
      <c r="J1118" s="223">
        <v>7470</v>
      </c>
      <c r="K1118" s="223">
        <v>7471</v>
      </c>
      <c r="L1118" s="223">
        <v>7473</v>
      </c>
      <c r="M1118" s="223">
        <v>7474</v>
      </c>
      <c r="N1118" s="223">
        <v>7476</v>
      </c>
      <c r="O1118" s="223">
        <v>7477</v>
      </c>
      <c r="P1118" s="223">
        <v>7479</v>
      </c>
      <c r="Q1118" s="223">
        <v>203</v>
      </c>
      <c r="R1118" s="46" t="s">
        <v>488</v>
      </c>
    </row>
    <row r="1119" spans="1:18">
      <c r="A1119" s="223">
        <v>7480</v>
      </c>
      <c r="B1119" s="223">
        <v>7482</v>
      </c>
      <c r="C1119" s="223">
        <v>7483</v>
      </c>
      <c r="D1119" s="223">
        <v>7485</v>
      </c>
      <c r="E1119" s="223">
        <v>7486</v>
      </c>
      <c r="F1119" s="223">
        <v>7488</v>
      </c>
      <c r="G1119" s="223">
        <v>7489</v>
      </c>
      <c r="H1119" s="223">
        <v>7491</v>
      </c>
      <c r="I1119" s="223">
        <v>7492</v>
      </c>
      <c r="J1119" s="223">
        <v>7494</v>
      </c>
      <c r="K1119" s="223">
        <v>7495</v>
      </c>
      <c r="L1119" s="223">
        <v>7497</v>
      </c>
      <c r="M1119" s="223">
        <v>7498</v>
      </c>
      <c r="N1119" s="223">
        <v>7500</v>
      </c>
      <c r="O1119" s="223">
        <v>7501</v>
      </c>
      <c r="P1119" s="223">
        <v>7503</v>
      </c>
      <c r="Q1119" s="223">
        <v>204</v>
      </c>
      <c r="R1119" s="46" t="s">
        <v>489</v>
      </c>
    </row>
    <row r="1120" spans="1:18">
      <c r="A1120" s="223">
        <v>7504</v>
      </c>
      <c r="B1120" s="223">
        <v>7506</v>
      </c>
      <c r="C1120" s="223">
        <v>7507</v>
      </c>
      <c r="D1120" s="223">
        <v>7509</v>
      </c>
      <c r="E1120" s="223">
        <v>7510</v>
      </c>
      <c r="F1120" s="223">
        <v>7512</v>
      </c>
      <c r="G1120" s="223">
        <v>7513</v>
      </c>
      <c r="H1120" s="223">
        <v>7515</v>
      </c>
      <c r="I1120" s="223">
        <v>7516</v>
      </c>
      <c r="J1120" s="223">
        <v>7518</v>
      </c>
      <c r="K1120" s="223">
        <v>7519</v>
      </c>
      <c r="L1120" s="223">
        <v>7521</v>
      </c>
      <c r="M1120" s="223">
        <v>7522</v>
      </c>
      <c r="N1120" s="223">
        <v>7524</v>
      </c>
      <c r="O1120" s="223">
        <v>7525</v>
      </c>
      <c r="P1120" s="223">
        <v>7527</v>
      </c>
      <c r="Q1120" s="223">
        <v>205</v>
      </c>
      <c r="R1120" s="46" t="s">
        <v>490</v>
      </c>
    </row>
    <row r="1121" spans="1:19">
      <c r="A1121" s="223">
        <v>7528</v>
      </c>
      <c r="B1121" s="223">
        <v>7530</v>
      </c>
      <c r="C1121" s="223">
        <v>7531</v>
      </c>
      <c r="D1121" s="223">
        <v>7533</v>
      </c>
      <c r="E1121" s="223">
        <v>7534</v>
      </c>
      <c r="F1121" s="223">
        <v>7536</v>
      </c>
      <c r="G1121" s="223">
        <v>7537</v>
      </c>
      <c r="H1121" s="223">
        <v>7539</v>
      </c>
      <c r="I1121" s="223">
        <v>7540</v>
      </c>
      <c r="J1121" s="223">
        <v>7542</v>
      </c>
      <c r="K1121" s="223">
        <v>7543</v>
      </c>
      <c r="L1121" s="223">
        <v>7545</v>
      </c>
      <c r="M1121" s="223">
        <v>7546</v>
      </c>
      <c r="N1121" s="223">
        <v>7548</v>
      </c>
      <c r="O1121" s="223">
        <v>7549</v>
      </c>
      <c r="P1121" s="223">
        <v>7551</v>
      </c>
      <c r="Q1121" s="223">
        <v>206</v>
      </c>
      <c r="R1121" s="46" t="s">
        <v>491</v>
      </c>
    </row>
    <row r="1122" spans="1:19">
      <c r="A1122" s="223">
        <v>7552</v>
      </c>
      <c r="B1122" s="223">
        <v>7554</v>
      </c>
      <c r="C1122" s="223">
        <v>7555</v>
      </c>
      <c r="D1122" s="223">
        <v>7557</v>
      </c>
      <c r="E1122" s="223">
        <v>7558</v>
      </c>
      <c r="F1122" s="223">
        <v>7560</v>
      </c>
      <c r="G1122" s="223">
        <v>7561</v>
      </c>
      <c r="H1122" s="223">
        <v>7563</v>
      </c>
      <c r="I1122" s="223">
        <v>7564</v>
      </c>
      <c r="J1122" s="223">
        <v>7566</v>
      </c>
      <c r="K1122" s="223">
        <v>7567</v>
      </c>
      <c r="L1122" s="223">
        <v>7569</v>
      </c>
      <c r="M1122" s="223">
        <v>7570</v>
      </c>
      <c r="N1122" s="223">
        <v>7572</v>
      </c>
      <c r="O1122" s="223">
        <v>7573</v>
      </c>
      <c r="P1122" s="224">
        <v>7575</v>
      </c>
      <c r="Q1122" s="223">
        <v>207</v>
      </c>
      <c r="R1122" s="46" t="s">
        <v>492</v>
      </c>
    </row>
    <row r="1123" spans="1:19">
      <c r="A1123" s="223">
        <v>7576</v>
      </c>
      <c r="B1123" s="223">
        <v>7578</v>
      </c>
      <c r="C1123" s="223">
        <v>7579</v>
      </c>
      <c r="D1123" s="223">
        <v>7581</v>
      </c>
      <c r="E1123" s="223">
        <v>7582</v>
      </c>
      <c r="F1123" s="223">
        <v>7584</v>
      </c>
      <c r="G1123" s="223">
        <v>7585</v>
      </c>
      <c r="H1123" s="223">
        <v>7587</v>
      </c>
      <c r="I1123" s="223">
        <v>7588</v>
      </c>
      <c r="J1123" s="223">
        <v>7590</v>
      </c>
      <c r="K1123" s="223">
        <v>7591</v>
      </c>
      <c r="L1123" s="223">
        <v>7593</v>
      </c>
      <c r="M1123" s="223">
        <v>7594</v>
      </c>
      <c r="N1123" s="223">
        <v>7596</v>
      </c>
      <c r="O1123" s="223">
        <v>7597</v>
      </c>
      <c r="P1123" s="223">
        <v>7599</v>
      </c>
      <c r="Q1123" s="223">
        <v>208</v>
      </c>
      <c r="R1123" s="47" t="s">
        <v>493</v>
      </c>
    </row>
    <row r="1124" spans="1:19">
      <c r="A1124" s="34" t="s">
        <v>494</v>
      </c>
      <c r="C1124" s="34"/>
      <c r="D1124" s="34"/>
      <c r="E1124" s="34"/>
      <c r="F1124" s="34"/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</row>
    <row r="1125" spans="1:19">
      <c r="A1125" s="42" t="s">
        <v>393</v>
      </c>
      <c r="B1125" s="71"/>
      <c r="C1125" s="42" t="s">
        <v>394</v>
      </c>
      <c r="D1125" s="43"/>
      <c r="E1125" s="42" t="s">
        <v>395</v>
      </c>
      <c r="F1125" s="43"/>
      <c r="G1125" s="42" t="s">
        <v>396</v>
      </c>
      <c r="H1125" s="43"/>
      <c r="I1125" s="42" t="s">
        <v>397</v>
      </c>
      <c r="J1125" s="43"/>
      <c r="K1125" s="42" t="s">
        <v>398</v>
      </c>
      <c r="L1125" s="43"/>
      <c r="M1125" s="42" t="s">
        <v>399</v>
      </c>
      <c r="N1125" s="43"/>
      <c r="O1125" s="42" t="s">
        <v>400</v>
      </c>
      <c r="P1125" s="43"/>
      <c r="Q1125" s="119"/>
    </row>
    <row r="1126" spans="1:19">
      <c r="A1126" s="44" t="s">
        <v>401</v>
      </c>
      <c r="B1126" s="72" t="s">
        <v>402</v>
      </c>
      <c r="C1126" s="44" t="s">
        <v>401</v>
      </c>
      <c r="D1126" s="44" t="s">
        <v>402</v>
      </c>
      <c r="E1126" s="44" t="s">
        <v>401</v>
      </c>
      <c r="F1126" s="44" t="s">
        <v>402</v>
      </c>
      <c r="G1126" s="44" t="s">
        <v>401</v>
      </c>
      <c r="H1126" s="44" t="s">
        <v>402</v>
      </c>
      <c r="I1126" s="44" t="s">
        <v>401</v>
      </c>
      <c r="J1126" s="44" t="s">
        <v>402</v>
      </c>
      <c r="K1126" s="44" t="s">
        <v>401</v>
      </c>
      <c r="L1126" s="44" t="s">
        <v>402</v>
      </c>
      <c r="M1126" s="44" t="s">
        <v>401</v>
      </c>
      <c r="N1126" s="44" t="s">
        <v>402</v>
      </c>
      <c r="O1126" s="44" t="s">
        <v>401</v>
      </c>
      <c r="P1126" s="44" t="s">
        <v>402</v>
      </c>
      <c r="Q1126" s="120" t="s">
        <v>992</v>
      </c>
    </row>
    <row r="1127" spans="1:19">
      <c r="A1127" s="6">
        <v>66</v>
      </c>
      <c r="B1127" s="6">
        <v>1328</v>
      </c>
      <c r="C1127" s="6">
        <v>66</v>
      </c>
      <c r="D1127" s="6">
        <v>1328</v>
      </c>
      <c r="E1127" s="6">
        <v>66</v>
      </c>
      <c r="F1127" s="6">
        <v>1328</v>
      </c>
      <c r="G1127" s="6">
        <v>255</v>
      </c>
      <c r="H1127" s="6">
        <v>1328</v>
      </c>
      <c r="I1127" s="6">
        <v>255</v>
      </c>
      <c r="J1127" s="6">
        <v>1328</v>
      </c>
      <c r="K1127" s="6">
        <v>66</v>
      </c>
      <c r="L1127" s="6">
        <v>1328</v>
      </c>
      <c r="M1127" s="6">
        <v>66</v>
      </c>
      <c r="N1127" s="6">
        <v>1328</v>
      </c>
      <c r="O1127" s="6">
        <v>66</v>
      </c>
      <c r="P1127" s="6">
        <v>1328</v>
      </c>
      <c r="Q1127" s="6">
        <v>1</v>
      </c>
      <c r="R1127" s="46" t="s">
        <v>406</v>
      </c>
      <c r="S1127" t="s">
        <v>495</v>
      </c>
    </row>
    <row r="1128" spans="1:19">
      <c r="A1128" s="6">
        <v>0</v>
      </c>
      <c r="B1128" s="6">
        <v>0</v>
      </c>
      <c r="C1128" s="6">
        <v>0</v>
      </c>
      <c r="D1128" s="6">
        <v>0</v>
      </c>
      <c r="E1128" s="6">
        <v>0</v>
      </c>
      <c r="F1128" s="6">
        <v>0</v>
      </c>
      <c r="G1128" s="6">
        <v>66</v>
      </c>
      <c r="H1128" s="6">
        <v>1328</v>
      </c>
      <c r="I1128" s="6">
        <v>66</v>
      </c>
      <c r="J1128" s="6">
        <v>1328</v>
      </c>
      <c r="K1128" s="6"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v>0</v>
      </c>
      <c r="Q1128" s="6">
        <v>2</v>
      </c>
      <c r="R1128" s="46" t="s">
        <v>407</v>
      </c>
      <c r="S1128" t="s">
        <v>496</v>
      </c>
    </row>
    <row r="1129" spans="1:19">
      <c r="A1129" s="6">
        <v>0</v>
      </c>
      <c r="B1129" s="6">
        <v>0</v>
      </c>
      <c r="C1129" s="6">
        <v>66</v>
      </c>
      <c r="D1129" s="6">
        <v>1328</v>
      </c>
      <c r="E1129" s="6">
        <v>66</v>
      </c>
      <c r="F1129" s="6">
        <v>1328</v>
      </c>
      <c r="G1129" s="6">
        <v>66</v>
      </c>
      <c r="H1129" s="6">
        <v>1328</v>
      </c>
      <c r="I1129" s="6">
        <v>66</v>
      </c>
      <c r="J1129" s="6">
        <v>1328</v>
      </c>
      <c r="K1129" s="6">
        <v>0</v>
      </c>
      <c r="L1129" s="6">
        <v>0</v>
      </c>
      <c r="M1129" s="6">
        <v>0</v>
      </c>
      <c r="N1129" s="6">
        <v>0</v>
      </c>
      <c r="O1129" s="6">
        <v>0</v>
      </c>
      <c r="P1129" s="6">
        <v>0</v>
      </c>
      <c r="Q1129" s="6">
        <v>3</v>
      </c>
      <c r="R1129" s="46" t="s">
        <v>408</v>
      </c>
    </row>
    <row r="1130" spans="1:19">
      <c r="A1130" s="6">
        <v>0</v>
      </c>
      <c r="B1130" s="6">
        <v>0</v>
      </c>
      <c r="C1130" s="6">
        <v>66</v>
      </c>
      <c r="D1130" s="6">
        <v>1328</v>
      </c>
      <c r="E1130" s="6">
        <v>66</v>
      </c>
      <c r="F1130" s="6">
        <v>1328</v>
      </c>
      <c r="G1130" s="6">
        <v>255</v>
      </c>
      <c r="H1130" s="6">
        <v>1328</v>
      </c>
      <c r="I1130" s="6">
        <v>255</v>
      </c>
      <c r="J1130" s="6">
        <v>1328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  <c r="P1130" s="6">
        <v>0</v>
      </c>
      <c r="Q1130" s="6">
        <v>4</v>
      </c>
      <c r="R1130" s="46" t="s">
        <v>409</v>
      </c>
    </row>
    <row r="1131" spans="1:19">
      <c r="A1131" s="6">
        <v>0</v>
      </c>
      <c r="B1131" s="6">
        <v>0</v>
      </c>
      <c r="C1131" s="6">
        <v>66</v>
      </c>
      <c r="D1131" s="6">
        <v>1328</v>
      </c>
      <c r="E1131" s="6">
        <v>66</v>
      </c>
      <c r="F1131" s="6">
        <v>1328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  <c r="M1131" s="6">
        <v>0</v>
      </c>
      <c r="N1131" s="6">
        <v>0</v>
      </c>
      <c r="O1131" s="6">
        <v>0</v>
      </c>
      <c r="P1131" s="6">
        <v>0</v>
      </c>
      <c r="Q1131" s="6">
        <v>5</v>
      </c>
      <c r="R1131" s="46" t="s">
        <v>410</v>
      </c>
    </row>
    <row r="1132" spans="1:19">
      <c r="A1132" s="6">
        <v>0</v>
      </c>
      <c r="B1132" s="6">
        <v>0</v>
      </c>
      <c r="C1132" s="6">
        <v>66</v>
      </c>
      <c r="D1132" s="6">
        <v>1328</v>
      </c>
      <c r="E1132" s="6">
        <v>66</v>
      </c>
      <c r="F1132" s="6">
        <v>1328</v>
      </c>
      <c r="G1132" s="6">
        <v>0</v>
      </c>
      <c r="H1132" s="6">
        <v>0</v>
      </c>
      <c r="I1132" s="6">
        <v>0</v>
      </c>
      <c r="J1132" s="6">
        <v>0</v>
      </c>
      <c r="K1132" s="6">
        <v>0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  <c r="Q1132" s="6">
        <v>6</v>
      </c>
      <c r="R1132" s="46" t="s">
        <v>411</v>
      </c>
    </row>
    <row r="1133" spans="1:19">
      <c r="A1133" s="6">
        <v>66</v>
      </c>
      <c r="B1133" s="6">
        <v>1328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  <c r="M1133" s="6">
        <v>0</v>
      </c>
      <c r="N1133" s="6">
        <v>0</v>
      </c>
      <c r="O1133" s="6">
        <v>0</v>
      </c>
      <c r="P1133" s="6">
        <v>0</v>
      </c>
      <c r="Q1133" s="6">
        <v>7</v>
      </c>
      <c r="R1133" s="46" t="s">
        <v>412</v>
      </c>
    </row>
    <row r="1134" spans="1:19">
      <c r="A1134" s="6">
        <v>66</v>
      </c>
      <c r="B1134" s="6">
        <v>1328</v>
      </c>
      <c r="C1134" s="6">
        <v>66</v>
      </c>
      <c r="D1134" s="6">
        <v>1328</v>
      </c>
      <c r="E1134" s="6">
        <v>66</v>
      </c>
      <c r="F1134" s="6">
        <v>1328</v>
      </c>
      <c r="G1134" s="6">
        <v>0</v>
      </c>
      <c r="H1134" s="6">
        <v>0</v>
      </c>
      <c r="I1134" s="6">
        <v>66</v>
      </c>
      <c r="J1134" s="6">
        <v>1328</v>
      </c>
      <c r="K1134" s="6">
        <v>0</v>
      </c>
      <c r="L1134" s="6">
        <v>0</v>
      </c>
      <c r="M1134" s="6">
        <v>0</v>
      </c>
      <c r="N1134" s="6">
        <v>0</v>
      </c>
      <c r="O1134" s="6">
        <v>0</v>
      </c>
      <c r="P1134" s="6">
        <v>0</v>
      </c>
      <c r="Q1134" s="6">
        <v>8</v>
      </c>
      <c r="R1134" s="46" t="s">
        <v>413</v>
      </c>
    </row>
    <row r="1135" spans="1:19">
      <c r="A1135" s="6">
        <v>66</v>
      </c>
      <c r="B1135" s="6">
        <v>1328</v>
      </c>
      <c r="C1135" s="6">
        <v>66</v>
      </c>
      <c r="D1135" s="6">
        <v>1328</v>
      </c>
      <c r="E1135" s="6">
        <v>0</v>
      </c>
      <c r="F1135" s="6">
        <v>0</v>
      </c>
      <c r="G1135" s="6">
        <v>66</v>
      </c>
      <c r="H1135" s="6">
        <v>1328</v>
      </c>
      <c r="I1135" s="6">
        <v>0</v>
      </c>
      <c r="J1135" s="6">
        <v>0</v>
      </c>
      <c r="K1135" s="6">
        <v>66</v>
      </c>
      <c r="L1135" s="6">
        <v>1328</v>
      </c>
      <c r="M1135" s="6">
        <v>66</v>
      </c>
      <c r="N1135" s="6">
        <v>1328</v>
      </c>
      <c r="O1135" s="6">
        <v>66</v>
      </c>
      <c r="P1135" s="6">
        <v>1328</v>
      </c>
      <c r="Q1135" s="6">
        <v>9</v>
      </c>
      <c r="R1135" s="46" t="s">
        <v>414</v>
      </c>
    </row>
    <row r="1136" spans="1:19">
      <c r="A1136" s="6">
        <v>66</v>
      </c>
      <c r="B1136" s="6">
        <v>1328</v>
      </c>
      <c r="C1136" s="6">
        <v>66</v>
      </c>
      <c r="D1136" s="6">
        <v>1328</v>
      </c>
      <c r="E1136" s="6">
        <v>0</v>
      </c>
      <c r="F1136" s="6">
        <v>0</v>
      </c>
      <c r="G1136" s="6">
        <v>66</v>
      </c>
      <c r="H1136" s="6">
        <v>1328</v>
      </c>
      <c r="I1136" s="6">
        <v>0</v>
      </c>
      <c r="J1136" s="6">
        <v>0</v>
      </c>
      <c r="K1136" s="6"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v>0</v>
      </c>
      <c r="Q1136" s="6">
        <v>10</v>
      </c>
      <c r="R1136" s="46" t="s">
        <v>415</v>
      </c>
    </row>
    <row r="1137" spans="1:18">
      <c r="A1137" s="6">
        <v>66</v>
      </c>
      <c r="B1137" s="6">
        <v>1328</v>
      </c>
      <c r="C1137" s="6">
        <v>66</v>
      </c>
      <c r="D1137" s="6">
        <v>1328</v>
      </c>
      <c r="E1137" s="6">
        <v>0</v>
      </c>
      <c r="F1137" s="6">
        <v>0</v>
      </c>
      <c r="G1137" s="6">
        <v>66</v>
      </c>
      <c r="H1137" s="6">
        <v>1328</v>
      </c>
      <c r="I1137" s="6">
        <v>0</v>
      </c>
      <c r="J1137" s="6">
        <v>0</v>
      </c>
      <c r="K1137" s="6">
        <v>0</v>
      </c>
      <c r="L1137" s="6">
        <v>0</v>
      </c>
      <c r="M1137" s="6">
        <v>0</v>
      </c>
      <c r="N1137" s="6">
        <v>0</v>
      </c>
      <c r="O1137" s="6">
        <v>0</v>
      </c>
      <c r="P1137" s="6">
        <v>0</v>
      </c>
      <c r="Q1137" s="6">
        <v>11</v>
      </c>
      <c r="R1137" s="46" t="s">
        <v>416</v>
      </c>
    </row>
    <row r="1138" spans="1:18">
      <c r="A1138" s="6">
        <v>66</v>
      </c>
      <c r="B1138" s="6">
        <v>1328</v>
      </c>
      <c r="C1138" s="6">
        <v>66</v>
      </c>
      <c r="D1138" s="6">
        <v>1328</v>
      </c>
      <c r="E1138" s="6">
        <v>0</v>
      </c>
      <c r="F1138" s="6">
        <v>0</v>
      </c>
      <c r="G1138" s="6">
        <v>66</v>
      </c>
      <c r="H1138" s="6">
        <v>1328</v>
      </c>
      <c r="I1138" s="6">
        <v>0</v>
      </c>
      <c r="J1138" s="6">
        <v>0</v>
      </c>
      <c r="K1138" s="6">
        <v>0</v>
      </c>
      <c r="L1138" s="6">
        <v>0</v>
      </c>
      <c r="M1138" s="6">
        <v>0</v>
      </c>
      <c r="N1138" s="6">
        <v>0</v>
      </c>
      <c r="O1138" s="6">
        <v>0</v>
      </c>
      <c r="P1138" s="6">
        <v>0</v>
      </c>
      <c r="Q1138" s="6">
        <v>12</v>
      </c>
      <c r="R1138" s="46" t="s">
        <v>417</v>
      </c>
    </row>
    <row r="1139" spans="1:18">
      <c r="A1139" s="6">
        <v>0</v>
      </c>
      <c r="B1139" s="6">
        <v>0</v>
      </c>
      <c r="C1139" s="6">
        <v>66</v>
      </c>
      <c r="D1139" s="6">
        <v>1328</v>
      </c>
      <c r="E1139" s="6">
        <v>0</v>
      </c>
      <c r="F1139" s="6">
        <v>0</v>
      </c>
      <c r="G1139" s="6">
        <v>66</v>
      </c>
      <c r="H1139" s="6">
        <v>1328</v>
      </c>
      <c r="I1139" s="6">
        <v>0</v>
      </c>
      <c r="J1139" s="6">
        <v>0</v>
      </c>
      <c r="K1139" s="6">
        <v>0</v>
      </c>
      <c r="L1139" s="6">
        <v>0</v>
      </c>
      <c r="M1139" s="6">
        <v>0</v>
      </c>
      <c r="N1139" s="6">
        <v>0</v>
      </c>
      <c r="O1139" s="6">
        <v>0</v>
      </c>
      <c r="P1139" s="6">
        <v>0</v>
      </c>
      <c r="Q1139" s="6">
        <v>13</v>
      </c>
      <c r="R1139" s="46" t="s">
        <v>418</v>
      </c>
    </row>
    <row r="1140" spans="1:18">
      <c r="A1140" s="6">
        <v>66</v>
      </c>
      <c r="B1140" s="6">
        <v>1328</v>
      </c>
      <c r="C1140" s="6">
        <v>66</v>
      </c>
      <c r="D1140" s="6">
        <v>1328</v>
      </c>
      <c r="E1140" s="6">
        <v>0</v>
      </c>
      <c r="F1140" s="6">
        <v>0</v>
      </c>
      <c r="G1140" s="6">
        <v>66</v>
      </c>
      <c r="H1140" s="6">
        <v>1328</v>
      </c>
      <c r="I1140" s="6">
        <v>0</v>
      </c>
      <c r="J1140" s="6">
        <v>0</v>
      </c>
      <c r="K1140" s="6"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v>0</v>
      </c>
      <c r="Q1140" s="6">
        <v>14</v>
      </c>
      <c r="R1140" s="46" t="s">
        <v>419</v>
      </c>
    </row>
    <row r="1141" spans="1:18">
      <c r="A1141" s="6">
        <v>0</v>
      </c>
      <c r="B1141" s="6">
        <v>0</v>
      </c>
      <c r="C1141" s="6">
        <v>0</v>
      </c>
      <c r="D1141" s="6">
        <v>0</v>
      </c>
      <c r="E1141" s="6">
        <v>0</v>
      </c>
      <c r="F1141" s="6">
        <v>0</v>
      </c>
      <c r="G1141" s="6">
        <v>66</v>
      </c>
      <c r="H1141" s="6">
        <v>1328</v>
      </c>
      <c r="I1141" s="6">
        <v>0</v>
      </c>
      <c r="J1141" s="6">
        <v>0</v>
      </c>
      <c r="K1141" s="6">
        <v>0</v>
      </c>
      <c r="L1141" s="6">
        <v>0</v>
      </c>
      <c r="M1141" s="6">
        <v>0</v>
      </c>
      <c r="N1141" s="6">
        <v>0</v>
      </c>
      <c r="O1141" s="6">
        <v>0</v>
      </c>
      <c r="P1141" s="6">
        <v>0</v>
      </c>
      <c r="Q1141" s="6">
        <v>15</v>
      </c>
      <c r="R1141" s="46" t="s">
        <v>420</v>
      </c>
    </row>
    <row r="1142" spans="1:18">
      <c r="A1142" s="6">
        <v>0</v>
      </c>
      <c r="B1142" s="6">
        <v>0</v>
      </c>
      <c r="C1142" s="6">
        <v>0</v>
      </c>
      <c r="D1142" s="6">
        <v>0</v>
      </c>
      <c r="E1142" s="6">
        <v>0</v>
      </c>
      <c r="F1142" s="6">
        <v>0</v>
      </c>
      <c r="G1142" s="6">
        <v>66</v>
      </c>
      <c r="H1142" s="6">
        <v>1328</v>
      </c>
      <c r="I1142" s="6">
        <v>66</v>
      </c>
      <c r="J1142" s="6">
        <v>1328</v>
      </c>
      <c r="K1142" s="6"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v>0</v>
      </c>
      <c r="Q1142" s="6">
        <v>16</v>
      </c>
      <c r="R1142" s="46" t="s">
        <v>421</v>
      </c>
    </row>
    <row r="1143" spans="1:18">
      <c r="A1143" s="6">
        <v>66</v>
      </c>
      <c r="B1143" s="6">
        <v>1328</v>
      </c>
      <c r="C1143" s="6">
        <v>66</v>
      </c>
      <c r="D1143" s="6">
        <v>1328</v>
      </c>
      <c r="E1143" s="6">
        <v>66</v>
      </c>
      <c r="F1143" s="6">
        <v>1328</v>
      </c>
      <c r="G1143" s="6">
        <v>66</v>
      </c>
      <c r="H1143" s="6">
        <v>1328</v>
      </c>
      <c r="I1143" s="6">
        <v>66</v>
      </c>
      <c r="J1143" s="6">
        <v>1328</v>
      </c>
      <c r="K1143" s="6">
        <v>66</v>
      </c>
      <c r="L1143" s="6">
        <v>1328</v>
      </c>
      <c r="M1143" s="6">
        <v>66</v>
      </c>
      <c r="N1143" s="6">
        <v>1328</v>
      </c>
      <c r="O1143" s="6">
        <v>66</v>
      </c>
      <c r="P1143" s="6">
        <v>1328</v>
      </c>
      <c r="Q1143" s="6">
        <v>17</v>
      </c>
      <c r="R1143" s="46" t="s">
        <v>422</v>
      </c>
    </row>
    <row r="1144" spans="1:18">
      <c r="A1144" s="6">
        <v>0</v>
      </c>
      <c r="B1144" s="6">
        <v>0</v>
      </c>
      <c r="C1144" s="6">
        <v>0</v>
      </c>
      <c r="D1144" s="6">
        <v>0</v>
      </c>
      <c r="E1144" s="6">
        <v>66</v>
      </c>
      <c r="F1144" s="6">
        <v>1328</v>
      </c>
      <c r="G1144" s="6">
        <v>0</v>
      </c>
      <c r="H1144" s="6">
        <v>0</v>
      </c>
      <c r="I1144" s="6">
        <v>66</v>
      </c>
      <c r="J1144" s="6">
        <v>1328</v>
      </c>
      <c r="K1144" s="6"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v>0</v>
      </c>
      <c r="Q1144" s="6">
        <v>18</v>
      </c>
      <c r="R1144" s="46" t="s">
        <v>423</v>
      </c>
    </row>
    <row r="1145" spans="1:18">
      <c r="A1145" s="6">
        <v>0</v>
      </c>
      <c r="B1145" s="6">
        <v>0</v>
      </c>
      <c r="C1145" s="6">
        <v>66</v>
      </c>
      <c r="D1145" s="6">
        <v>1328</v>
      </c>
      <c r="E1145" s="6">
        <v>66</v>
      </c>
      <c r="F1145" s="6">
        <v>1328</v>
      </c>
      <c r="G1145" s="6">
        <v>66</v>
      </c>
      <c r="H1145" s="6">
        <v>1328</v>
      </c>
      <c r="I1145" s="6">
        <v>66</v>
      </c>
      <c r="J1145" s="6">
        <v>1328</v>
      </c>
      <c r="K1145" s="6">
        <v>0</v>
      </c>
      <c r="L1145" s="6">
        <v>0</v>
      </c>
      <c r="M1145" s="6">
        <v>0</v>
      </c>
      <c r="N1145" s="6">
        <v>0</v>
      </c>
      <c r="O1145" s="6">
        <v>0</v>
      </c>
      <c r="P1145" s="6">
        <v>0</v>
      </c>
      <c r="Q1145" s="6">
        <v>19</v>
      </c>
      <c r="R1145" s="46" t="s">
        <v>424</v>
      </c>
    </row>
    <row r="1146" spans="1:18">
      <c r="A1146" s="6">
        <v>0</v>
      </c>
      <c r="B1146" s="6">
        <v>0</v>
      </c>
      <c r="C1146" s="6">
        <v>66</v>
      </c>
      <c r="D1146" s="6">
        <v>1328</v>
      </c>
      <c r="E1146" s="6">
        <v>66</v>
      </c>
      <c r="F1146" s="6">
        <v>1328</v>
      </c>
      <c r="G1146" s="6">
        <v>66</v>
      </c>
      <c r="H1146" s="6">
        <v>1328</v>
      </c>
      <c r="I1146" s="6">
        <v>66</v>
      </c>
      <c r="J1146" s="6">
        <v>1328</v>
      </c>
      <c r="K1146" s="6">
        <v>0</v>
      </c>
      <c r="L1146" s="6">
        <v>0</v>
      </c>
      <c r="M1146" s="6">
        <v>0</v>
      </c>
      <c r="N1146" s="6">
        <v>0</v>
      </c>
      <c r="O1146" s="6">
        <v>0</v>
      </c>
      <c r="P1146" s="6">
        <v>0</v>
      </c>
      <c r="Q1146" s="6">
        <v>20</v>
      </c>
      <c r="R1146" s="46" t="s">
        <v>425</v>
      </c>
    </row>
    <row r="1147" spans="1:18">
      <c r="A1147" s="6">
        <v>0</v>
      </c>
      <c r="B1147" s="56">
        <v>0</v>
      </c>
      <c r="C1147" s="6">
        <v>66</v>
      </c>
      <c r="D1147" s="6">
        <v>1328</v>
      </c>
      <c r="E1147" s="6">
        <v>0</v>
      </c>
      <c r="F1147" s="6">
        <v>0</v>
      </c>
      <c r="G1147" s="6">
        <v>66</v>
      </c>
      <c r="H1147" s="6">
        <v>1328</v>
      </c>
      <c r="I1147" s="6">
        <v>0</v>
      </c>
      <c r="J1147" s="6">
        <v>0</v>
      </c>
      <c r="K1147" s="6">
        <v>0</v>
      </c>
      <c r="L1147" s="6">
        <v>0</v>
      </c>
      <c r="M1147" s="6">
        <v>0</v>
      </c>
      <c r="N1147" s="6">
        <v>0</v>
      </c>
      <c r="O1147" s="6">
        <v>0</v>
      </c>
      <c r="P1147" s="6">
        <v>0</v>
      </c>
      <c r="Q1147" s="45">
        <v>21</v>
      </c>
      <c r="R1147" s="46" t="s">
        <v>426</v>
      </c>
    </row>
    <row r="1148" spans="1:18">
      <c r="A1148" s="6">
        <v>0</v>
      </c>
      <c r="B1148" s="56">
        <v>0</v>
      </c>
      <c r="C1148" s="6">
        <v>66</v>
      </c>
      <c r="D1148" s="6">
        <v>1328</v>
      </c>
      <c r="E1148" s="6">
        <v>0</v>
      </c>
      <c r="F1148" s="6">
        <v>0</v>
      </c>
      <c r="G1148" s="6">
        <v>66</v>
      </c>
      <c r="H1148" s="6">
        <v>1328</v>
      </c>
      <c r="I1148" s="6">
        <v>0</v>
      </c>
      <c r="J1148" s="6">
        <v>0</v>
      </c>
      <c r="K1148" s="6">
        <v>0</v>
      </c>
      <c r="L1148" s="6">
        <v>0</v>
      </c>
      <c r="M1148" s="6">
        <v>0</v>
      </c>
      <c r="N1148" s="6">
        <v>0</v>
      </c>
      <c r="O1148" s="6">
        <v>0</v>
      </c>
      <c r="P1148" s="6">
        <v>0</v>
      </c>
      <c r="Q1148" s="45">
        <v>22</v>
      </c>
      <c r="R1148" s="46" t="s">
        <v>427</v>
      </c>
    </row>
    <row r="1149" spans="1:18">
      <c r="A1149" s="6">
        <v>66</v>
      </c>
      <c r="B1149" s="56">
        <v>1328</v>
      </c>
      <c r="C1149" s="6">
        <v>0</v>
      </c>
      <c r="D1149" s="6">
        <v>0</v>
      </c>
      <c r="E1149" s="6">
        <v>0</v>
      </c>
      <c r="F1149" s="6">
        <v>0</v>
      </c>
      <c r="G1149" s="6">
        <v>0</v>
      </c>
      <c r="H1149" s="6">
        <v>0</v>
      </c>
      <c r="I1149" s="6">
        <v>0</v>
      </c>
      <c r="J1149" s="6">
        <v>0</v>
      </c>
      <c r="K1149" s="6">
        <v>0</v>
      </c>
      <c r="L1149" s="6">
        <v>0</v>
      </c>
      <c r="M1149" s="6">
        <v>0</v>
      </c>
      <c r="N1149" s="6">
        <v>0</v>
      </c>
      <c r="O1149" s="6">
        <v>0</v>
      </c>
      <c r="P1149" s="6">
        <v>0</v>
      </c>
      <c r="Q1149" s="45">
        <v>23</v>
      </c>
      <c r="R1149" s="46" t="s">
        <v>428</v>
      </c>
    </row>
    <row r="1150" spans="1:18">
      <c r="A1150" s="6">
        <v>66</v>
      </c>
      <c r="B1150" s="56">
        <v>1328</v>
      </c>
      <c r="C1150" s="6">
        <v>66</v>
      </c>
      <c r="D1150" s="6">
        <v>1328</v>
      </c>
      <c r="E1150" s="6">
        <v>0</v>
      </c>
      <c r="F1150" s="6">
        <v>0</v>
      </c>
      <c r="G1150" s="6">
        <v>66</v>
      </c>
      <c r="H1150" s="6">
        <v>1328</v>
      </c>
      <c r="I1150" s="6">
        <v>66</v>
      </c>
      <c r="J1150" s="6">
        <v>1328</v>
      </c>
      <c r="K1150" s="6">
        <v>0</v>
      </c>
      <c r="L1150" s="6">
        <v>0</v>
      </c>
      <c r="M1150" s="6">
        <v>0</v>
      </c>
      <c r="N1150" s="6">
        <v>0</v>
      </c>
      <c r="O1150" s="6">
        <v>0</v>
      </c>
      <c r="P1150" s="6">
        <v>0</v>
      </c>
      <c r="Q1150" s="45">
        <v>24</v>
      </c>
      <c r="R1150" s="46" t="s">
        <v>429</v>
      </c>
    </row>
    <row r="1151" spans="1:18">
      <c r="A1151" s="6">
        <v>66</v>
      </c>
      <c r="B1151" s="56">
        <v>1328</v>
      </c>
      <c r="C1151" s="6">
        <v>66</v>
      </c>
      <c r="D1151" s="6">
        <v>1328</v>
      </c>
      <c r="E1151" s="6">
        <v>66</v>
      </c>
      <c r="F1151" s="6">
        <v>1328</v>
      </c>
      <c r="G1151" s="6">
        <v>66</v>
      </c>
      <c r="H1151" s="6">
        <v>1328</v>
      </c>
      <c r="I1151" s="6">
        <v>66</v>
      </c>
      <c r="J1151" s="6">
        <v>1328</v>
      </c>
      <c r="K1151" s="6">
        <v>66</v>
      </c>
      <c r="L1151" s="6">
        <v>1328</v>
      </c>
      <c r="M1151" s="6">
        <v>66</v>
      </c>
      <c r="N1151" s="6">
        <v>1328</v>
      </c>
      <c r="O1151" s="6">
        <v>66</v>
      </c>
      <c r="P1151" s="6">
        <v>1328</v>
      </c>
      <c r="Q1151" s="45">
        <v>25</v>
      </c>
      <c r="R1151" s="46" t="s">
        <v>430</v>
      </c>
    </row>
    <row r="1152" spans="1:18">
      <c r="A1152" s="6">
        <v>0</v>
      </c>
      <c r="B1152" s="56">
        <v>0</v>
      </c>
      <c r="C1152" s="6">
        <v>0</v>
      </c>
      <c r="D1152" s="6">
        <v>0</v>
      </c>
      <c r="E1152" s="6">
        <v>66</v>
      </c>
      <c r="F1152" s="6">
        <v>1328</v>
      </c>
      <c r="G1152" s="6">
        <v>0</v>
      </c>
      <c r="H1152" s="6">
        <v>0</v>
      </c>
      <c r="I1152" s="6">
        <v>66</v>
      </c>
      <c r="J1152" s="6">
        <v>1328</v>
      </c>
      <c r="K1152" s="6">
        <v>0</v>
      </c>
      <c r="L1152" s="6">
        <v>0</v>
      </c>
      <c r="M1152" s="6">
        <v>0</v>
      </c>
      <c r="N1152" s="6">
        <v>0</v>
      </c>
      <c r="O1152" s="6">
        <v>0</v>
      </c>
      <c r="P1152" s="6">
        <v>0</v>
      </c>
      <c r="Q1152" s="45">
        <v>26</v>
      </c>
      <c r="R1152" s="46" t="s">
        <v>431</v>
      </c>
    </row>
    <row r="1153" spans="1:19">
      <c r="A1153" s="6">
        <v>0</v>
      </c>
      <c r="B1153" s="56">
        <v>0</v>
      </c>
      <c r="C1153" s="6">
        <v>66</v>
      </c>
      <c r="D1153" s="6">
        <v>1328</v>
      </c>
      <c r="E1153" s="6">
        <v>66</v>
      </c>
      <c r="F1153" s="6">
        <v>1328</v>
      </c>
      <c r="G1153" s="6">
        <v>66</v>
      </c>
      <c r="H1153" s="6">
        <v>1328</v>
      </c>
      <c r="I1153" s="6">
        <v>66</v>
      </c>
      <c r="J1153" s="6">
        <v>1328</v>
      </c>
      <c r="K1153" s="6">
        <v>0</v>
      </c>
      <c r="L1153" s="6">
        <v>0</v>
      </c>
      <c r="M1153" s="6">
        <v>0</v>
      </c>
      <c r="N1153" s="6">
        <v>0</v>
      </c>
      <c r="O1153" s="6">
        <v>0</v>
      </c>
      <c r="P1153" s="6">
        <v>0</v>
      </c>
      <c r="Q1153" s="45">
        <v>27</v>
      </c>
      <c r="R1153" s="46" t="s">
        <v>432</v>
      </c>
    </row>
    <row r="1154" spans="1:19">
      <c r="A1154" s="6">
        <v>0</v>
      </c>
      <c r="B1154" s="56">
        <v>0</v>
      </c>
      <c r="C1154" s="6">
        <v>66</v>
      </c>
      <c r="D1154" s="6">
        <v>1328</v>
      </c>
      <c r="E1154" s="6">
        <v>66</v>
      </c>
      <c r="F1154" s="6">
        <v>1328</v>
      </c>
      <c r="G1154" s="6">
        <v>66</v>
      </c>
      <c r="H1154" s="6">
        <v>1328</v>
      </c>
      <c r="I1154" s="6">
        <v>66</v>
      </c>
      <c r="J1154" s="6">
        <v>1328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0</v>
      </c>
      <c r="Q1154" s="45">
        <v>28</v>
      </c>
      <c r="R1154" s="46" t="s">
        <v>433</v>
      </c>
    </row>
    <row r="1155" spans="1:19">
      <c r="A1155" s="6">
        <v>0</v>
      </c>
      <c r="B1155" s="56">
        <v>0</v>
      </c>
      <c r="C1155" s="6">
        <v>66</v>
      </c>
      <c r="D1155" s="6">
        <v>1328</v>
      </c>
      <c r="E1155" s="6">
        <v>0</v>
      </c>
      <c r="F1155" s="6">
        <v>0</v>
      </c>
      <c r="G1155" s="6">
        <v>66</v>
      </c>
      <c r="H1155" s="6">
        <v>1328</v>
      </c>
      <c r="I1155" s="6">
        <v>0</v>
      </c>
      <c r="J1155" s="6">
        <v>0</v>
      </c>
      <c r="K1155" s="6">
        <v>0</v>
      </c>
      <c r="L1155" s="6">
        <v>0</v>
      </c>
      <c r="M1155" s="6">
        <v>0</v>
      </c>
      <c r="N1155" s="6">
        <v>0</v>
      </c>
      <c r="O1155" s="6">
        <v>0</v>
      </c>
      <c r="P1155" s="6">
        <v>0</v>
      </c>
      <c r="Q1155" s="45">
        <v>29</v>
      </c>
      <c r="R1155" s="46" t="s">
        <v>434</v>
      </c>
    </row>
    <row r="1156" spans="1:19">
      <c r="A1156" s="6">
        <v>0</v>
      </c>
      <c r="B1156" s="56">
        <v>0</v>
      </c>
      <c r="C1156" s="6">
        <v>66</v>
      </c>
      <c r="D1156" s="6">
        <v>1328</v>
      </c>
      <c r="E1156" s="6">
        <v>0</v>
      </c>
      <c r="F1156" s="6">
        <v>0</v>
      </c>
      <c r="G1156" s="6">
        <v>66</v>
      </c>
      <c r="H1156" s="6">
        <v>1328</v>
      </c>
      <c r="I1156" s="6">
        <v>0</v>
      </c>
      <c r="J1156" s="6">
        <v>0</v>
      </c>
      <c r="K1156" s="6">
        <v>0</v>
      </c>
      <c r="L1156" s="6">
        <v>0</v>
      </c>
      <c r="M1156" s="6">
        <v>0</v>
      </c>
      <c r="N1156" s="6">
        <v>0</v>
      </c>
      <c r="O1156" s="6">
        <v>0</v>
      </c>
      <c r="P1156" s="6">
        <v>0</v>
      </c>
      <c r="Q1156" s="45">
        <v>30</v>
      </c>
      <c r="R1156" s="46" t="s">
        <v>435</v>
      </c>
    </row>
    <row r="1157" spans="1:19">
      <c r="A1157" s="6">
        <v>0</v>
      </c>
      <c r="B1157" s="56">
        <v>0</v>
      </c>
      <c r="C1157" s="6">
        <v>0</v>
      </c>
      <c r="D1157" s="6">
        <v>0</v>
      </c>
      <c r="E1157" s="6">
        <v>0</v>
      </c>
      <c r="F1157" s="6">
        <v>0</v>
      </c>
      <c r="G1157" s="6">
        <v>66</v>
      </c>
      <c r="H1157" s="6">
        <v>1328</v>
      </c>
      <c r="I1157" s="6">
        <v>0</v>
      </c>
      <c r="J1157" s="6">
        <v>0</v>
      </c>
      <c r="K1157" s="6">
        <v>0</v>
      </c>
      <c r="L1157" s="6">
        <v>0</v>
      </c>
      <c r="M1157" s="6">
        <v>0</v>
      </c>
      <c r="N1157" s="6">
        <v>0</v>
      </c>
      <c r="O1157" s="6">
        <v>0</v>
      </c>
      <c r="P1157" s="6">
        <v>0</v>
      </c>
      <c r="Q1157" s="45">
        <v>31</v>
      </c>
      <c r="R1157" s="46" t="s">
        <v>436</v>
      </c>
    </row>
    <row r="1158" spans="1:19">
      <c r="A1158" s="6">
        <v>66</v>
      </c>
      <c r="B1158" s="56">
        <v>1328</v>
      </c>
      <c r="C1158" s="6">
        <v>66</v>
      </c>
      <c r="D1158" s="6">
        <v>1328</v>
      </c>
      <c r="E1158" s="6">
        <v>0</v>
      </c>
      <c r="F1158" s="6">
        <v>0</v>
      </c>
      <c r="G1158" s="6">
        <v>66</v>
      </c>
      <c r="H1158" s="6">
        <v>1328</v>
      </c>
      <c r="I1158" s="6">
        <v>0</v>
      </c>
      <c r="J1158" s="6">
        <v>0</v>
      </c>
      <c r="K1158" s="6">
        <v>0</v>
      </c>
      <c r="L1158" s="6">
        <v>0</v>
      </c>
      <c r="M1158" s="6">
        <v>0</v>
      </c>
      <c r="N1158" s="6">
        <v>0</v>
      </c>
      <c r="O1158" s="6">
        <v>0</v>
      </c>
      <c r="P1158" s="6">
        <v>0</v>
      </c>
      <c r="Q1158" s="45">
        <v>32</v>
      </c>
      <c r="R1158" s="46" t="s">
        <v>437</v>
      </c>
    </row>
    <row r="1159" spans="1:19">
      <c r="A1159" s="6">
        <v>0</v>
      </c>
      <c r="B1159" s="56">
        <v>0</v>
      </c>
      <c r="C1159" s="6">
        <v>66</v>
      </c>
      <c r="D1159" s="6">
        <v>1328</v>
      </c>
      <c r="E1159" s="6">
        <v>0</v>
      </c>
      <c r="F1159" s="6">
        <v>0</v>
      </c>
      <c r="G1159" s="6">
        <v>0</v>
      </c>
      <c r="H1159" s="6">
        <v>0</v>
      </c>
      <c r="I1159" s="6">
        <v>0</v>
      </c>
      <c r="J1159" s="6">
        <v>0</v>
      </c>
      <c r="K1159" s="6">
        <v>0</v>
      </c>
      <c r="L1159" s="6">
        <v>0</v>
      </c>
      <c r="M1159" s="6">
        <v>0</v>
      </c>
      <c r="N1159" s="6">
        <v>0</v>
      </c>
      <c r="O1159" s="6">
        <v>0</v>
      </c>
      <c r="P1159" s="6">
        <v>0</v>
      </c>
      <c r="Q1159" s="45">
        <v>33</v>
      </c>
      <c r="R1159" s="46" t="s">
        <v>438</v>
      </c>
    </row>
    <row r="1160" spans="1:19">
      <c r="A1160" s="6">
        <v>66</v>
      </c>
      <c r="B1160" s="56">
        <v>1328</v>
      </c>
      <c r="C1160" s="6">
        <v>66</v>
      </c>
      <c r="D1160" s="6">
        <v>1328</v>
      </c>
      <c r="E1160" s="6">
        <v>0</v>
      </c>
      <c r="F1160" s="6">
        <v>0</v>
      </c>
      <c r="G1160" s="6">
        <v>66</v>
      </c>
      <c r="H1160" s="6">
        <v>1328</v>
      </c>
      <c r="I1160" s="6">
        <v>0</v>
      </c>
      <c r="J1160" s="6">
        <v>0</v>
      </c>
      <c r="K1160" s="6">
        <v>0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  <c r="Q1160" s="45">
        <v>34</v>
      </c>
      <c r="R1160" s="46" t="s">
        <v>439</v>
      </c>
    </row>
    <row r="1161" spans="1:19">
      <c r="A1161" s="8">
        <v>66</v>
      </c>
      <c r="B1161" s="61">
        <v>1328</v>
      </c>
      <c r="C1161" s="8">
        <v>66</v>
      </c>
      <c r="D1161" s="8">
        <v>1328</v>
      </c>
      <c r="E1161" s="8">
        <v>0</v>
      </c>
      <c r="F1161" s="8">
        <v>0</v>
      </c>
      <c r="G1161" s="8">
        <v>66</v>
      </c>
      <c r="H1161" s="8">
        <v>1328</v>
      </c>
      <c r="I1161" s="8">
        <v>0</v>
      </c>
      <c r="J1161" s="8">
        <v>0</v>
      </c>
      <c r="K1161" s="8">
        <v>0</v>
      </c>
      <c r="L1161" s="8">
        <v>0</v>
      </c>
      <c r="M1161" s="8">
        <v>0</v>
      </c>
      <c r="N1161" s="8">
        <v>0</v>
      </c>
      <c r="O1161" s="8">
        <v>0</v>
      </c>
      <c r="P1161" s="8">
        <v>0</v>
      </c>
      <c r="Q1161" s="221">
        <v>35</v>
      </c>
      <c r="R1161" s="222" t="s">
        <v>440</v>
      </c>
      <c r="S1161" s="3"/>
    </row>
    <row r="1162" spans="1:19">
      <c r="A1162" s="8">
        <v>66</v>
      </c>
      <c r="B1162" s="61">
        <v>1328</v>
      </c>
      <c r="C1162" s="8">
        <v>66</v>
      </c>
      <c r="D1162" s="8">
        <v>1328</v>
      </c>
      <c r="E1162" s="8">
        <v>0</v>
      </c>
      <c r="F1162" s="8">
        <v>0</v>
      </c>
      <c r="G1162" s="8">
        <v>66</v>
      </c>
      <c r="H1162" s="8">
        <v>1328</v>
      </c>
      <c r="I1162" s="8">
        <v>0</v>
      </c>
      <c r="J1162" s="8">
        <v>0</v>
      </c>
      <c r="K1162" s="8">
        <v>0</v>
      </c>
      <c r="L1162" s="8">
        <v>0</v>
      </c>
      <c r="M1162" s="8">
        <v>0</v>
      </c>
      <c r="N1162" s="8">
        <v>0</v>
      </c>
      <c r="O1162" s="8">
        <v>0</v>
      </c>
      <c r="P1162" s="8">
        <v>0</v>
      </c>
      <c r="Q1162" s="221">
        <v>36</v>
      </c>
      <c r="R1162" s="222" t="s">
        <v>441</v>
      </c>
      <c r="S1162" s="3"/>
    </row>
    <row r="1163" spans="1:19">
      <c r="A1163" s="8">
        <v>66</v>
      </c>
      <c r="B1163" s="61">
        <v>1328</v>
      </c>
      <c r="C1163" s="8">
        <v>66</v>
      </c>
      <c r="D1163" s="8">
        <v>1328</v>
      </c>
      <c r="E1163" s="8">
        <v>0</v>
      </c>
      <c r="F1163" s="8">
        <v>0</v>
      </c>
      <c r="G1163" s="8">
        <v>66</v>
      </c>
      <c r="H1163" s="8">
        <v>1328</v>
      </c>
      <c r="I1163" s="8">
        <v>0</v>
      </c>
      <c r="J1163" s="8">
        <v>0</v>
      </c>
      <c r="K1163" s="8">
        <v>0</v>
      </c>
      <c r="L1163" s="8">
        <v>0</v>
      </c>
      <c r="M1163" s="8">
        <v>0</v>
      </c>
      <c r="N1163" s="8">
        <v>0</v>
      </c>
      <c r="O1163" s="8">
        <v>0</v>
      </c>
      <c r="P1163" s="8">
        <v>0</v>
      </c>
      <c r="Q1163" s="221">
        <v>37</v>
      </c>
      <c r="R1163" s="222" t="s">
        <v>442</v>
      </c>
      <c r="S1163" s="3"/>
    </row>
    <row r="1164" spans="1:19">
      <c r="A1164" s="8">
        <v>66</v>
      </c>
      <c r="B1164" s="61">
        <v>1328</v>
      </c>
      <c r="C1164" s="8">
        <v>66</v>
      </c>
      <c r="D1164" s="8">
        <v>1328</v>
      </c>
      <c r="E1164" s="8">
        <v>0</v>
      </c>
      <c r="F1164" s="8">
        <v>1328</v>
      </c>
      <c r="G1164" s="8">
        <v>0</v>
      </c>
      <c r="H1164" s="8">
        <v>1328</v>
      </c>
      <c r="I1164" s="8">
        <v>0</v>
      </c>
      <c r="J1164" s="8">
        <v>1328</v>
      </c>
      <c r="K1164" s="8">
        <v>0</v>
      </c>
      <c r="L1164" s="8">
        <v>0</v>
      </c>
      <c r="M1164" s="8">
        <v>0</v>
      </c>
      <c r="N1164" s="8">
        <v>0</v>
      </c>
      <c r="O1164" s="8">
        <v>0</v>
      </c>
      <c r="P1164" s="8">
        <v>0</v>
      </c>
      <c r="Q1164" s="221">
        <v>38</v>
      </c>
      <c r="R1164" s="222" t="s">
        <v>443</v>
      </c>
      <c r="S1164" s="3"/>
    </row>
    <row r="1165" spans="1:19">
      <c r="A1165" s="8">
        <v>66</v>
      </c>
      <c r="B1165" s="61">
        <v>1328</v>
      </c>
      <c r="C1165" s="8">
        <v>66</v>
      </c>
      <c r="D1165" s="8">
        <v>1328</v>
      </c>
      <c r="E1165" s="8">
        <v>0</v>
      </c>
      <c r="F1165" s="8">
        <v>1328</v>
      </c>
      <c r="G1165" s="8">
        <v>0</v>
      </c>
      <c r="H1165" s="8">
        <v>1328</v>
      </c>
      <c r="I1165" s="8">
        <v>0</v>
      </c>
      <c r="J1165" s="8">
        <v>1328</v>
      </c>
      <c r="K1165" s="8">
        <v>0</v>
      </c>
      <c r="L1165" s="8">
        <v>0</v>
      </c>
      <c r="M1165" s="8">
        <v>0</v>
      </c>
      <c r="N1165" s="8">
        <v>0</v>
      </c>
      <c r="O1165" s="8">
        <v>0</v>
      </c>
      <c r="P1165" s="8">
        <v>0</v>
      </c>
      <c r="Q1165" s="221">
        <v>39</v>
      </c>
      <c r="R1165" s="222" t="s">
        <v>444</v>
      </c>
      <c r="S1165" s="3"/>
    </row>
    <row r="1166" spans="1:19">
      <c r="A1166" s="8">
        <v>66</v>
      </c>
      <c r="B1166" s="61">
        <v>1328</v>
      </c>
      <c r="C1166" s="8">
        <v>66</v>
      </c>
      <c r="D1166" s="8">
        <v>1328</v>
      </c>
      <c r="E1166" s="8">
        <v>66</v>
      </c>
      <c r="F1166" s="8">
        <v>1328</v>
      </c>
      <c r="G1166" s="8">
        <v>66</v>
      </c>
      <c r="H1166" s="8">
        <v>1328</v>
      </c>
      <c r="I1166" s="8">
        <v>66</v>
      </c>
      <c r="J1166" s="8">
        <v>1328</v>
      </c>
      <c r="K1166" s="8">
        <v>0</v>
      </c>
      <c r="L1166" s="8">
        <v>0</v>
      </c>
      <c r="M1166" s="8">
        <v>0</v>
      </c>
      <c r="N1166" s="8">
        <v>0</v>
      </c>
      <c r="O1166" s="8">
        <v>0</v>
      </c>
      <c r="P1166" s="8">
        <v>0</v>
      </c>
      <c r="Q1166" s="221">
        <v>40</v>
      </c>
      <c r="R1166" s="222" t="s">
        <v>445</v>
      </c>
      <c r="S1166" s="3"/>
    </row>
    <row r="1167" spans="1:19">
      <c r="A1167" s="8">
        <v>66</v>
      </c>
      <c r="B1167" s="61">
        <v>1328</v>
      </c>
      <c r="C1167" s="8">
        <v>66</v>
      </c>
      <c r="D1167" s="8">
        <v>1328</v>
      </c>
      <c r="E1167" s="8">
        <v>66</v>
      </c>
      <c r="F1167" s="8">
        <v>1328</v>
      </c>
      <c r="G1167" s="8">
        <v>66</v>
      </c>
      <c r="H1167" s="8">
        <v>1328</v>
      </c>
      <c r="I1167" s="8">
        <v>66</v>
      </c>
      <c r="J1167" s="8">
        <v>1328</v>
      </c>
      <c r="K1167" s="8">
        <v>66</v>
      </c>
      <c r="L1167" s="8">
        <v>1328</v>
      </c>
      <c r="M1167" s="8">
        <v>66</v>
      </c>
      <c r="N1167" s="8">
        <v>1328</v>
      </c>
      <c r="O1167" s="8">
        <v>66</v>
      </c>
      <c r="P1167" s="8">
        <v>1328</v>
      </c>
      <c r="Q1167" s="221">
        <v>41</v>
      </c>
      <c r="R1167" s="222" t="s">
        <v>446</v>
      </c>
      <c r="S1167" s="3"/>
    </row>
    <row r="1168" spans="1:19">
      <c r="A1168" s="8">
        <v>66</v>
      </c>
      <c r="B1168" s="61">
        <v>1328</v>
      </c>
      <c r="C1168" s="8">
        <v>66</v>
      </c>
      <c r="D1168" s="8">
        <v>1328</v>
      </c>
      <c r="E1168" s="8">
        <v>66</v>
      </c>
      <c r="F1168" s="8">
        <v>1328</v>
      </c>
      <c r="G1168" s="8">
        <v>66</v>
      </c>
      <c r="H1168" s="8">
        <v>1328</v>
      </c>
      <c r="I1168" s="8">
        <v>66</v>
      </c>
      <c r="J1168" s="8">
        <v>1328</v>
      </c>
      <c r="K1168" s="8">
        <v>0</v>
      </c>
      <c r="L1168" s="8">
        <v>0</v>
      </c>
      <c r="M1168" s="8">
        <v>0</v>
      </c>
      <c r="N1168" s="8">
        <v>0</v>
      </c>
      <c r="O1168" s="8">
        <v>0</v>
      </c>
      <c r="P1168" s="8">
        <v>0</v>
      </c>
      <c r="Q1168" s="221">
        <v>42</v>
      </c>
      <c r="R1168" s="222" t="s">
        <v>447</v>
      </c>
      <c r="S1168" s="3"/>
    </row>
    <row r="1169" spans="1:19">
      <c r="A1169" s="8">
        <v>66</v>
      </c>
      <c r="B1169" s="61">
        <v>1328</v>
      </c>
      <c r="C1169" s="8">
        <v>66</v>
      </c>
      <c r="D1169" s="8">
        <v>1328</v>
      </c>
      <c r="E1169" s="8">
        <v>66</v>
      </c>
      <c r="F1169" s="8">
        <v>1328</v>
      </c>
      <c r="G1169" s="8">
        <v>66</v>
      </c>
      <c r="H1169" s="8">
        <v>1328</v>
      </c>
      <c r="I1169" s="8">
        <v>66</v>
      </c>
      <c r="J1169" s="8">
        <v>1328</v>
      </c>
      <c r="K1169" s="8">
        <v>0</v>
      </c>
      <c r="L1169" s="8">
        <v>0</v>
      </c>
      <c r="M1169" s="8">
        <v>0</v>
      </c>
      <c r="N1169" s="8">
        <v>0</v>
      </c>
      <c r="O1169" s="8">
        <v>0</v>
      </c>
      <c r="P1169" s="8">
        <v>0</v>
      </c>
      <c r="Q1169" s="221">
        <v>43</v>
      </c>
      <c r="R1169" s="222" t="s">
        <v>448</v>
      </c>
      <c r="S1169" s="3"/>
    </row>
    <row r="1170" spans="1:19">
      <c r="A1170" s="6">
        <v>66</v>
      </c>
      <c r="B1170" s="56">
        <v>1328</v>
      </c>
      <c r="C1170" s="6">
        <v>66</v>
      </c>
      <c r="D1170" s="6">
        <v>1328</v>
      </c>
      <c r="E1170" s="6">
        <v>66</v>
      </c>
      <c r="F1170" s="6">
        <v>1328</v>
      </c>
      <c r="G1170" s="6">
        <v>66</v>
      </c>
      <c r="H1170" s="6">
        <v>1328</v>
      </c>
      <c r="I1170" s="6">
        <v>66</v>
      </c>
      <c r="J1170" s="6">
        <v>1328</v>
      </c>
      <c r="K1170" s="6">
        <v>0</v>
      </c>
      <c r="L1170" s="6">
        <v>0</v>
      </c>
      <c r="M1170" s="6">
        <v>0</v>
      </c>
      <c r="N1170" s="6">
        <v>0</v>
      </c>
      <c r="O1170" s="6">
        <v>0</v>
      </c>
      <c r="P1170" s="6">
        <v>0</v>
      </c>
      <c r="Q1170" s="45">
        <v>44</v>
      </c>
      <c r="R1170" s="46" t="s">
        <v>449</v>
      </c>
    </row>
    <row r="1171" spans="1:19">
      <c r="A1171" s="6">
        <v>66</v>
      </c>
      <c r="B1171" s="56">
        <v>1328</v>
      </c>
      <c r="C1171" s="6">
        <v>66</v>
      </c>
      <c r="D1171" s="6">
        <v>1328</v>
      </c>
      <c r="E1171" s="6">
        <v>66</v>
      </c>
      <c r="F1171" s="6">
        <v>1328</v>
      </c>
      <c r="G1171" s="6">
        <v>66</v>
      </c>
      <c r="H1171" s="6">
        <v>1328</v>
      </c>
      <c r="I1171" s="6">
        <v>66</v>
      </c>
      <c r="J1171" s="6">
        <v>1328</v>
      </c>
      <c r="K1171" s="6">
        <v>0</v>
      </c>
      <c r="L1171" s="6">
        <v>0</v>
      </c>
      <c r="M1171" s="6">
        <v>0</v>
      </c>
      <c r="N1171" s="6">
        <v>0</v>
      </c>
      <c r="O1171" s="6">
        <v>0</v>
      </c>
      <c r="P1171" s="6">
        <v>0</v>
      </c>
      <c r="Q1171" s="45">
        <v>45</v>
      </c>
      <c r="R1171" s="46" t="s">
        <v>450</v>
      </c>
    </row>
    <row r="1172" spans="1:19">
      <c r="A1172" s="6">
        <v>66</v>
      </c>
      <c r="B1172" s="56">
        <v>1328</v>
      </c>
      <c r="C1172" s="6">
        <v>66</v>
      </c>
      <c r="D1172" s="6">
        <v>1328</v>
      </c>
      <c r="E1172" s="6">
        <v>66</v>
      </c>
      <c r="F1172" s="6">
        <v>1328</v>
      </c>
      <c r="G1172" s="6">
        <v>66</v>
      </c>
      <c r="H1172" s="6">
        <v>1328</v>
      </c>
      <c r="I1172" s="6">
        <v>66</v>
      </c>
      <c r="J1172" s="6">
        <v>1328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  <c r="Q1172" s="45">
        <v>46</v>
      </c>
      <c r="R1172" s="46" t="s">
        <v>451</v>
      </c>
    </row>
    <row r="1173" spans="1:19">
      <c r="A1173" s="6">
        <v>66</v>
      </c>
      <c r="B1173" s="56">
        <v>1328</v>
      </c>
      <c r="C1173" s="6">
        <v>66</v>
      </c>
      <c r="D1173" s="6">
        <v>1328</v>
      </c>
      <c r="E1173" s="6">
        <v>66</v>
      </c>
      <c r="F1173" s="6">
        <v>1328</v>
      </c>
      <c r="G1173" s="6">
        <v>66</v>
      </c>
      <c r="H1173" s="6">
        <v>1328</v>
      </c>
      <c r="I1173" s="6">
        <v>66</v>
      </c>
      <c r="J1173" s="6">
        <v>1328</v>
      </c>
      <c r="K1173" s="6">
        <v>0</v>
      </c>
      <c r="L1173" s="6">
        <v>0</v>
      </c>
      <c r="M1173" s="6">
        <v>0</v>
      </c>
      <c r="N1173" s="6">
        <v>0</v>
      </c>
      <c r="O1173" s="6">
        <v>0</v>
      </c>
      <c r="P1173" s="6">
        <v>0</v>
      </c>
      <c r="Q1173" s="45">
        <v>47</v>
      </c>
      <c r="R1173" s="46" t="s">
        <v>452</v>
      </c>
    </row>
    <row r="1174" spans="1:19">
      <c r="A1174" s="6">
        <v>66</v>
      </c>
      <c r="B1174" s="56">
        <v>1328</v>
      </c>
      <c r="C1174" s="6">
        <v>66</v>
      </c>
      <c r="D1174" s="6">
        <v>1328</v>
      </c>
      <c r="E1174" s="6">
        <v>0</v>
      </c>
      <c r="F1174" s="6">
        <v>0</v>
      </c>
      <c r="G1174" s="6">
        <v>66</v>
      </c>
      <c r="H1174" s="6">
        <v>1328</v>
      </c>
      <c r="I1174" s="6">
        <v>66</v>
      </c>
      <c r="J1174" s="6">
        <v>1328</v>
      </c>
      <c r="K1174" s="6">
        <v>0</v>
      </c>
      <c r="L1174" s="6">
        <v>0</v>
      </c>
      <c r="M1174" s="6">
        <v>0</v>
      </c>
      <c r="N1174" s="6">
        <v>0</v>
      </c>
      <c r="O1174" s="6">
        <v>0</v>
      </c>
      <c r="P1174" s="6">
        <v>0</v>
      </c>
      <c r="Q1174" s="45">
        <v>48</v>
      </c>
      <c r="R1174" s="46" t="s">
        <v>453</v>
      </c>
    </row>
    <row r="1175" spans="1:19">
      <c r="A1175" s="6">
        <v>66</v>
      </c>
      <c r="B1175" s="56">
        <v>1328</v>
      </c>
      <c r="C1175" s="6">
        <v>66</v>
      </c>
      <c r="D1175" s="6">
        <v>1328</v>
      </c>
      <c r="E1175" s="6">
        <v>66</v>
      </c>
      <c r="F1175" s="6">
        <v>1328</v>
      </c>
      <c r="G1175" s="6">
        <v>66</v>
      </c>
      <c r="H1175" s="6">
        <v>1328</v>
      </c>
      <c r="I1175" s="6">
        <v>66</v>
      </c>
      <c r="J1175" s="6">
        <v>1328</v>
      </c>
      <c r="K1175" s="6">
        <v>66</v>
      </c>
      <c r="L1175" s="6">
        <v>1328</v>
      </c>
      <c r="M1175" s="6">
        <v>66</v>
      </c>
      <c r="N1175" s="6">
        <v>1328</v>
      </c>
      <c r="O1175" s="6">
        <v>66</v>
      </c>
      <c r="P1175" s="6">
        <v>1328</v>
      </c>
      <c r="Q1175" s="45">
        <v>49</v>
      </c>
      <c r="R1175" s="46" t="s">
        <v>454</v>
      </c>
    </row>
    <row r="1176" spans="1:19">
      <c r="A1176" s="6">
        <v>0</v>
      </c>
      <c r="B1176" s="56">
        <v>0</v>
      </c>
      <c r="C1176" s="6">
        <v>0</v>
      </c>
      <c r="D1176" s="6">
        <v>0</v>
      </c>
      <c r="E1176" s="6">
        <v>66</v>
      </c>
      <c r="F1176" s="6">
        <v>1328</v>
      </c>
      <c r="G1176" s="6">
        <v>0</v>
      </c>
      <c r="H1176" s="6">
        <v>0</v>
      </c>
      <c r="I1176" s="6">
        <v>66</v>
      </c>
      <c r="J1176" s="6">
        <v>1328</v>
      </c>
      <c r="K1176" s="6">
        <v>0</v>
      </c>
      <c r="L1176" s="6">
        <v>0</v>
      </c>
      <c r="M1176" s="6">
        <v>0</v>
      </c>
      <c r="N1176" s="6">
        <v>0</v>
      </c>
      <c r="O1176" s="6">
        <v>0</v>
      </c>
      <c r="P1176" s="6">
        <v>0</v>
      </c>
      <c r="Q1176" s="45">
        <v>50</v>
      </c>
      <c r="R1176" s="46" t="s">
        <v>455</v>
      </c>
    </row>
    <row r="1177" spans="1:19">
      <c r="A1177" s="6">
        <v>0</v>
      </c>
      <c r="B1177" s="56">
        <v>0</v>
      </c>
      <c r="C1177" s="6">
        <v>66</v>
      </c>
      <c r="D1177" s="6">
        <v>1328</v>
      </c>
      <c r="E1177" s="6">
        <v>66</v>
      </c>
      <c r="F1177" s="6">
        <v>1328</v>
      </c>
      <c r="G1177" s="6">
        <v>66</v>
      </c>
      <c r="H1177" s="6">
        <v>1328</v>
      </c>
      <c r="I1177" s="6">
        <v>66</v>
      </c>
      <c r="J1177" s="6">
        <v>1328</v>
      </c>
      <c r="K1177" s="6">
        <v>0</v>
      </c>
      <c r="L1177" s="6">
        <v>0</v>
      </c>
      <c r="M1177" s="6">
        <v>0</v>
      </c>
      <c r="N1177" s="6">
        <v>0</v>
      </c>
      <c r="O1177" s="6">
        <v>0</v>
      </c>
      <c r="P1177" s="6">
        <v>0</v>
      </c>
      <c r="Q1177" s="45">
        <v>51</v>
      </c>
      <c r="R1177" s="46" t="s">
        <v>456</v>
      </c>
    </row>
    <row r="1178" spans="1:19">
      <c r="A1178" s="6">
        <v>0</v>
      </c>
      <c r="B1178" s="56">
        <v>0</v>
      </c>
      <c r="C1178" s="6">
        <v>66</v>
      </c>
      <c r="D1178" s="6">
        <v>1328</v>
      </c>
      <c r="E1178" s="6">
        <v>66</v>
      </c>
      <c r="F1178" s="6">
        <v>1328</v>
      </c>
      <c r="G1178" s="6">
        <v>66</v>
      </c>
      <c r="H1178" s="6">
        <v>1328</v>
      </c>
      <c r="I1178" s="6">
        <v>66</v>
      </c>
      <c r="J1178" s="6">
        <v>1328</v>
      </c>
      <c r="K1178" s="6">
        <v>0</v>
      </c>
      <c r="L1178" s="6">
        <v>0</v>
      </c>
      <c r="M1178" s="6">
        <v>0</v>
      </c>
      <c r="N1178" s="6">
        <v>0</v>
      </c>
      <c r="O1178" s="6">
        <v>0</v>
      </c>
      <c r="P1178" s="6">
        <v>0</v>
      </c>
      <c r="Q1178" s="45">
        <v>52</v>
      </c>
      <c r="R1178" s="46" t="s">
        <v>457</v>
      </c>
    </row>
    <row r="1179" spans="1:19">
      <c r="A1179" s="6">
        <v>0</v>
      </c>
      <c r="B1179" s="56">
        <v>0</v>
      </c>
      <c r="C1179" s="6">
        <v>66</v>
      </c>
      <c r="D1179" s="6">
        <v>1328</v>
      </c>
      <c r="E1179" s="6">
        <v>0</v>
      </c>
      <c r="F1179" s="6">
        <v>0</v>
      </c>
      <c r="G1179" s="6">
        <v>66</v>
      </c>
      <c r="H1179" s="6">
        <v>1328</v>
      </c>
      <c r="I1179" s="6">
        <v>0</v>
      </c>
      <c r="J1179" s="6">
        <v>0</v>
      </c>
      <c r="K1179" s="6">
        <v>0</v>
      </c>
      <c r="L1179" s="6">
        <v>0</v>
      </c>
      <c r="M1179" s="6">
        <v>0</v>
      </c>
      <c r="N1179" s="6">
        <v>0</v>
      </c>
      <c r="O1179" s="6">
        <v>0</v>
      </c>
      <c r="P1179" s="6">
        <v>0</v>
      </c>
      <c r="Q1179" s="45">
        <v>53</v>
      </c>
      <c r="R1179" s="46" t="s">
        <v>458</v>
      </c>
    </row>
    <row r="1180" spans="1:19">
      <c r="A1180" s="6">
        <v>0</v>
      </c>
      <c r="B1180" s="56">
        <v>0</v>
      </c>
      <c r="C1180" s="6">
        <v>66</v>
      </c>
      <c r="D1180" s="6">
        <v>1328</v>
      </c>
      <c r="E1180" s="6">
        <v>0</v>
      </c>
      <c r="F1180" s="6">
        <v>0</v>
      </c>
      <c r="G1180" s="6">
        <v>66</v>
      </c>
      <c r="H1180" s="6">
        <v>1328</v>
      </c>
      <c r="I1180" s="6">
        <v>0</v>
      </c>
      <c r="J1180" s="6">
        <v>0</v>
      </c>
      <c r="K1180" s="6">
        <v>0</v>
      </c>
      <c r="L1180" s="6">
        <v>0</v>
      </c>
      <c r="M1180" s="6">
        <v>0</v>
      </c>
      <c r="N1180" s="6">
        <v>0</v>
      </c>
      <c r="O1180" s="6">
        <v>0</v>
      </c>
      <c r="P1180" s="6">
        <v>0</v>
      </c>
      <c r="Q1180" s="45">
        <v>54</v>
      </c>
      <c r="R1180" s="46" t="s">
        <v>459</v>
      </c>
    </row>
    <row r="1181" spans="1:19">
      <c r="A1181" s="6">
        <v>66</v>
      </c>
      <c r="B1181" s="56">
        <v>1328</v>
      </c>
      <c r="C1181" s="6">
        <v>0</v>
      </c>
      <c r="D1181" s="6">
        <v>0</v>
      </c>
      <c r="E1181" s="6">
        <v>0</v>
      </c>
      <c r="F1181" s="6">
        <v>0</v>
      </c>
      <c r="G1181" s="6">
        <v>0</v>
      </c>
      <c r="H1181" s="6">
        <v>0</v>
      </c>
      <c r="I1181" s="6">
        <v>0</v>
      </c>
      <c r="J1181" s="6">
        <v>0</v>
      </c>
      <c r="K1181" s="6">
        <v>0</v>
      </c>
      <c r="L1181" s="6">
        <v>0</v>
      </c>
      <c r="M1181" s="6">
        <v>0</v>
      </c>
      <c r="N1181" s="6">
        <v>0</v>
      </c>
      <c r="O1181" s="6">
        <v>0</v>
      </c>
      <c r="P1181" s="6">
        <v>0</v>
      </c>
      <c r="Q1181" s="45">
        <v>55</v>
      </c>
      <c r="R1181" s="46" t="s">
        <v>460</v>
      </c>
    </row>
    <row r="1182" spans="1:19">
      <c r="A1182" s="6">
        <v>66</v>
      </c>
      <c r="B1182" s="56">
        <v>1328</v>
      </c>
      <c r="C1182" s="6">
        <v>66</v>
      </c>
      <c r="D1182" s="6">
        <v>1328</v>
      </c>
      <c r="E1182" s="6">
        <v>0</v>
      </c>
      <c r="F1182" s="6">
        <v>0</v>
      </c>
      <c r="G1182" s="6">
        <v>66</v>
      </c>
      <c r="H1182" s="6">
        <v>1328</v>
      </c>
      <c r="I1182" s="6">
        <v>66</v>
      </c>
      <c r="J1182" s="6">
        <v>1328</v>
      </c>
      <c r="K1182" s="6"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v>0</v>
      </c>
      <c r="Q1182" s="45">
        <v>56</v>
      </c>
      <c r="R1182" s="46" t="s">
        <v>461</v>
      </c>
    </row>
    <row r="1183" spans="1:19">
      <c r="A1183" s="6">
        <v>66</v>
      </c>
      <c r="B1183" s="56">
        <v>1328</v>
      </c>
      <c r="C1183" s="6">
        <v>66</v>
      </c>
      <c r="D1183" s="6">
        <v>1328</v>
      </c>
      <c r="E1183" s="6">
        <v>66</v>
      </c>
      <c r="F1183" s="6">
        <v>1328</v>
      </c>
      <c r="G1183" s="6">
        <v>66</v>
      </c>
      <c r="H1183" s="6">
        <v>1328</v>
      </c>
      <c r="I1183" s="6">
        <v>66</v>
      </c>
      <c r="J1183" s="6">
        <v>1328</v>
      </c>
      <c r="K1183" s="6">
        <v>66</v>
      </c>
      <c r="L1183" s="6">
        <v>1328</v>
      </c>
      <c r="M1183" s="6">
        <v>66</v>
      </c>
      <c r="N1183" s="6">
        <v>1328</v>
      </c>
      <c r="O1183" s="6">
        <v>66</v>
      </c>
      <c r="P1183" s="6">
        <v>1328</v>
      </c>
      <c r="Q1183" s="45">
        <v>57</v>
      </c>
      <c r="R1183" s="46" t="s">
        <v>462</v>
      </c>
    </row>
    <row r="1184" spans="1:19">
      <c r="A1184" s="6">
        <v>0</v>
      </c>
      <c r="B1184" s="56">
        <v>0</v>
      </c>
      <c r="C1184" s="6">
        <v>0</v>
      </c>
      <c r="D1184" s="6">
        <v>0</v>
      </c>
      <c r="E1184" s="6">
        <v>66</v>
      </c>
      <c r="F1184" s="6">
        <v>1328</v>
      </c>
      <c r="G1184" s="6">
        <v>0</v>
      </c>
      <c r="H1184" s="6">
        <v>0</v>
      </c>
      <c r="I1184" s="6">
        <v>66</v>
      </c>
      <c r="J1184" s="6">
        <v>1328</v>
      </c>
      <c r="K1184" s="6">
        <v>0</v>
      </c>
      <c r="L1184" s="6">
        <v>0</v>
      </c>
      <c r="M1184" s="6">
        <v>0</v>
      </c>
      <c r="N1184" s="6">
        <v>0</v>
      </c>
      <c r="O1184" s="6">
        <v>0</v>
      </c>
      <c r="P1184" s="6">
        <v>0</v>
      </c>
      <c r="Q1184" s="45">
        <v>58</v>
      </c>
      <c r="R1184" s="46" t="s">
        <v>463</v>
      </c>
    </row>
    <row r="1185" spans="1:18">
      <c r="A1185" s="6">
        <v>0</v>
      </c>
      <c r="B1185" s="56">
        <v>0</v>
      </c>
      <c r="C1185" s="6">
        <v>66</v>
      </c>
      <c r="D1185" s="6">
        <v>1328</v>
      </c>
      <c r="E1185" s="6">
        <v>66</v>
      </c>
      <c r="F1185" s="6">
        <v>1328</v>
      </c>
      <c r="G1185" s="6">
        <v>66</v>
      </c>
      <c r="H1185" s="6">
        <v>1328</v>
      </c>
      <c r="I1185" s="6">
        <v>66</v>
      </c>
      <c r="J1185" s="6">
        <v>1328</v>
      </c>
      <c r="K1185" s="6">
        <v>0</v>
      </c>
      <c r="L1185" s="6">
        <v>0</v>
      </c>
      <c r="M1185" s="6">
        <v>0</v>
      </c>
      <c r="N1185" s="6">
        <v>0</v>
      </c>
      <c r="O1185" s="6">
        <v>0</v>
      </c>
      <c r="P1185" s="6">
        <v>0</v>
      </c>
      <c r="Q1185" s="45">
        <v>59</v>
      </c>
      <c r="R1185" s="46" t="s">
        <v>464</v>
      </c>
    </row>
    <row r="1186" spans="1:18">
      <c r="A1186" s="6">
        <v>0</v>
      </c>
      <c r="B1186" s="56">
        <v>0</v>
      </c>
      <c r="C1186" s="6">
        <v>66</v>
      </c>
      <c r="D1186" s="6">
        <v>1328</v>
      </c>
      <c r="E1186" s="6">
        <v>66</v>
      </c>
      <c r="F1186" s="6">
        <v>1328</v>
      </c>
      <c r="G1186" s="6">
        <v>66</v>
      </c>
      <c r="H1186" s="6">
        <v>1328</v>
      </c>
      <c r="I1186" s="6">
        <v>66</v>
      </c>
      <c r="J1186" s="6">
        <v>1328</v>
      </c>
      <c r="K1186" s="6">
        <v>0</v>
      </c>
      <c r="L1186" s="6">
        <v>0</v>
      </c>
      <c r="M1186" s="6">
        <v>0</v>
      </c>
      <c r="N1186" s="6">
        <v>0</v>
      </c>
      <c r="O1186" s="6">
        <v>0</v>
      </c>
      <c r="P1186" s="6">
        <v>0</v>
      </c>
      <c r="Q1186" s="45">
        <v>60</v>
      </c>
      <c r="R1186" s="46" t="s">
        <v>465</v>
      </c>
    </row>
    <row r="1187" spans="1:18">
      <c r="A1187" s="6">
        <v>0</v>
      </c>
      <c r="B1187" s="56">
        <v>0</v>
      </c>
      <c r="C1187" s="6">
        <v>66</v>
      </c>
      <c r="D1187" s="6">
        <v>1328</v>
      </c>
      <c r="E1187" s="6">
        <v>0</v>
      </c>
      <c r="F1187" s="6">
        <v>0</v>
      </c>
      <c r="G1187" s="6">
        <v>66</v>
      </c>
      <c r="H1187" s="6">
        <v>1328</v>
      </c>
      <c r="I1187" s="6">
        <v>0</v>
      </c>
      <c r="J1187" s="6">
        <v>0</v>
      </c>
      <c r="K1187" s="6">
        <v>0</v>
      </c>
      <c r="L1187" s="6">
        <v>0</v>
      </c>
      <c r="M1187" s="6">
        <v>0</v>
      </c>
      <c r="N1187" s="6">
        <v>0</v>
      </c>
      <c r="O1187" s="6">
        <v>0</v>
      </c>
      <c r="P1187" s="6">
        <v>0</v>
      </c>
      <c r="Q1187" s="45">
        <v>61</v>
      </c>
      <c r="R1187" s="46" t="s">
        <v>466</v>
      </c>
    </row>
    <row r="1188" spans="1:18">
      <c r="A1188" s="6">
        <v>0</v>
      </c>
      <c r="B1188" s="56">
        <v>0</v>
      </c>
      <c r="C1188" s="6">
        <v>66</v>
      </c>
      <c r="D1188" s="6">
        <v>1328</v>
      </c>
      <c r="E1188" s="6">
        <v>0</v>
      </c>
      <c r="F1188" s="6">
        <v>0</v>
      </c>
      <c r="G1188" s="6">
        <v>66</v>
      </c>
      <c r="H1188" s="6">
        <v>1328</v>
      </c>
      <c r="I1188" s="6">
        <v>0</v>
      </c>
      <c r="J1188" s="6">
        <v>0</v>
      </c>
      <c r="K1188" s="6">
        <v>0</v>
      </c>
      <c r="L1188" s="6">
        <v>0</v>
      </c>
      <c r="M1188" s="6">
        <v>0</v>
      </c>
      <c r="N1188" s="6">
        <v>0</v>
      </c>
      <c r="O1188" s="6">
        <v>0</v>
      </c>
      <c r="P1188" s="6">
        <v>0</v>
      </c>
      <c r="Q1188" s="45">
        <v>62</v>
      </c>
      <c r="R1188" s="46" t="s">
        <v>467</v>
      </c>
    </row>
    <row r="1189" spans="1:18">
      <c r="A1189" s="6">
        <v>66</v>
      </c>
      <c r="B1189" s="56">
        <v>1328</v>
      </c>
      <c r="C1189" s="6">
        <v>0</v>
      </c>
      <c r="D1189" s="6">
        <v>0</v>
      </c>
      <c r="E1189" s="6">
        <v>0</v>
      </c>
      <c r="F1189" s="6">
        <v>0</v>
      </c>
      <c r="G1189" s="6">
        <v>0</v>
      </c>
      <c r="H1189" s="6">
        <v>0</v>
      </c>
      <c r="I1189" s="6">
        <v>0</v>
      </c>
      <c r="J1189" s="6">
        <v>0</v>
      </c>
      <c r="K1189" s="6">
        <v>0</v>
      </c>
      <c r="L1189" s="6">
        <v>0</v>
      </c>
      <c r="M1189" s="6">
        <v>0</v>
      </c>
      <c r="N1189" s="6">
        <v>0</v>
      </c>
      <c r="O1189" s="6">
        <v>0</v>
      </c>
      <c r="P1189" s="6">
        <v>0</v>
      </c>
      <c r="Q1189" s="45">
        <v>63</v>
      </c>
      <c r="R1189" s="46" t="s">
        <v>468</v>
      </c>
    </row>
    <row r="1190" spans="1:18">
      <c r="A1190" s="6">
        <v>66</v>
      </c>
      <c r="B1190" s="56">
        <v>1328</v>
      </c>
      <c r="C1190" s="6">
        <v>66</v>
      </c>
      <c r="D1190" s="6">
        <v>1328</v>
      </c>
      <c r="E1190" s="6">
        <v>0</v>
      </c>
      <c r="F1190" s="6">
        <v>0</v>
      </c>
      <c r="G1190" s="6">
        <v>66</v>
      </c>
      <c r="H1190" s="6">
        <v>1328</v>
      </c>
      <c r="I1190" s="6">
        <v>66</v>
      </c>
      <c r="J1190" s="6">
        <v>1328</v>
      </c>
      <c r="K1190" s="6"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v>0</v>
      </c>
      <c r="Q1190" s="45">
        <v>64</v>
      </c>
      <c r="R1190" s="46" t="s">
        <v>469</v>
      </c>
    </row>
    <row r="1191" spans="1:18">
      <c r="A1191" s="6">
        <v>66</v>
      </c>
      <c r="B1191" s="56">
        <v>1328</v>
      </c>
      <c r="C1191" s="6">
        <v>66</v>
      </c>
      <c r="D1191" s="6">
        <v>1328</v>
      </c>
      <c r="E1191" s="6">
        <v>66</v>
      </c>
      <c r="F1191" s="6">
        <v>1328</v>
      </c>
      <c r="G1191" s="6">
        <v>66</v>
      </c>
      <c r="H1191" s="6">
        <v>1328</v>
      </c>
      <c r="I1191" s="6">
        <v>66</v>
      </c>
      <c r="J1191" s="6">
        <v>1328</v>
      </c>
      <c r="K1191" s="6">
        <v>66</v>
      </c>
      <c r="L1191" s="6">
        <v>1328</v>
      </c>
      <c r="M1191" s="6">
        <v>66</v>
      </c>
      <c r="N1191" s="6">
        <v>1328</v>
      </c>
      <c r="O1191" s="6">
        <v>66</v>
      </c>
      <c r="P1191" s="6">
        <v>1328</v>
      </c>
      <c r="Q1191" s="45">
        <v>65</v>
      </c>
      <c r="R1191" s="46" t="s">
        <v>470</v>
      </c>
    </row>
    <row r="1192" spans="1:18">
      <c r="A1192" s="6">
        <v>0</v>
      </c>
      <c r="B1192" s="56">
        <v>0</v>
      </c>
      <c r="C1192" s="6">
        <v>0</v>
      </c>
      <c r="D1192" s="6">
        <v>0</v>
      </c>
      <c r="E1192" s="6">
        <v>66</v>
      </c>
      <c r="F1192" s="6">
        <v>1328</v>
      </c>
      <c r="G1192" s="6">
        <v>0</v>
      </c>
      <c r="H1192" s="6">
        <v>0</v>
      </c>
      <c r="I1192" s="6">
        <v>66</v>
      </c>
      <c r="J1192" s="6">
        <v>1328</v>
      </c>
      <c r="K1192" s="6">
        <v>0</v>
      </c>
      <c r="L1192" s="6">
        <v>0</v>
      </c>
      <c r="M1192" s="6">
        <v>0</v>
      </c>
      <c r="N1192" s="6">
        <v>0</v>
      </c>
      <c r="O1192" s="6">
        <v>0</v>
      </c>
      <c r="P1192" s="6">
        <v>0</v>
      </c>
      <c r="Q1192" s="45">
        <v>66</v>
      </c>
      <c r="R1192" s="46" t="s">
        <v>471</v>
      </c>
    </row>
    <row r="1193" spans="1:18">
      <c r="A1193" s="6">
        <v>0</v>
      </c>
      <c r="B1193" s="56">
        <v>0</v>
      </c>
      <c r="C1193" s="6">
        <v>66</v>
      </c>
      <c r="D1193" s="6">
        <v>1328</v>
      </c>
      <c r="E1193" s="6">
        <v>66</v>
      </c>
      <c r="F1193" s="6">
        <v>1328</v>
      </c>
      <c r="G1193" s="6">
        <v>66</v>
      </c>
      <c r="H1193" s="6">
        <v>1328</v>
      </c>
      <c r="I1193" s="6">
        <v>66</v>
      </c>
      <c r="J1193" s="6">
        <v>1328</v>
      </c>
      <c r="K1193" s="6">
        <v>0</v>
      </c>
      <c r="L1193" s="6">
        <v>0</v>
      </c>
      <c r="M1193" s="6">
        <v>0</v>
      </c>
      <c r="N1193" s="6">
        <v>0</v>
      </c>
      <c r="O1193" s="6">
        <v>0</v>
      </c>
      <c r="P1193" s="6">
        <v>0</v>
      </c>
      <c r="Q1193" s="45">
        <v>67</v>
      </c>
      <c r="R1193" s="46" t="s">
        <v>472</v>
      </c>
    </row>
    <row r="1194" spans="1:18">
      <c r="A1194" s="6">
        <v>0</v>
      </c>
      <c r="B1194" s="56">
        <v>0</v>
      </c>
      <c r="C1194" s="6">
        <v>66</v>
      </c>
      <c r="D1194" s="6">
        <v>1328</v>
      </c>
      <c r="E1194" s="6">
        <v>66</v>
      </c>
      <c r="F1194" s="6">
        <v>1328</v>
      </c>
      <c r="G1194" s="6">
        <v>66</v>
      </c>
      <c r="H1194" s="6">
        <v>1328</v>
      </c>
      <c r="I1194" s="6">
        <v>66</v>
      </c>
      <c r="J1194" s="6">
        <v>1328</v>
      </c>
      <c r="K1194" s="6">
        <v>0</v>
      </c>
      <c r="L1194" s="6">
        <v>0</v>
      </c>
      <c r="M1194" s="6">
        <v>0</v>
      </c>
      <c r="N1194" s="6">
        <v>0</v>
      </c>
      <c r="O1194" s="6">
        <v>0</v>
      </c>
      <c r="P1194" s="6">
        <v>0</v>
      </c>
      <c r="Q1194" s="45">
        <v>68</v>
      </c>
      <c r="R1194" s="46" t="s">
        <v>473</v>
      </c>
    </row>
    <row r="1195" spans="1:18">
      <c r="A1195" s="6">
        <v>0</v>
      </c>
      <c r="B1195" s="56">
        <v>0</v>
      </c>
      <c r="C1195" s="6">
        <v>66</v>
      </c>
      <c r="D1195" s="6">
        <v>1328</v>
      </c>
      <c r="E1195" s="6">
        <v>0</v>
      </c>
      <c r="F1195" s="6">
        <v>0</v>
      </c>
      <c r="G1195" s="6">
        <v>66</v>
      </c>
      <c r="H1195" s="6">
        <v>1328</v>
      </c>
      <c r="I1195" s="6">
        <v>0</v>
      </c>
      <c r="J1195" s="6">
        <v>0</v>
      </c>
      <c r="K1195" s="6">
        <v>0</v>
      </c>
      <c r="L1195" s="6">
        <v>0</v>
      </c>
      <c r="M1195" s="6">
        <v>0</v>
      </c>
      <c r="N1195" s="6">
        <v>0</v>
      </c>
      <c r="O1195" s="6">
        <v>0</v>
      </c>
      <c r="P1195" s="6">
        <v>0</v>
      </c>
      <c r="Q1195" s="45">
        <v>69</v>
      </c>
      <c r="R1195" s="46" t="s">
        <v>474</v>
      </c>
    </row>
    <row r="1196" spans="1:18">
      <c r="A1196" s="6">
        <v>0</v>
      </c>
      <c r="B1196" s="56">
        <v>0</v>
      </c>
      <c r="C1196" s="6">
        <v>66</v>
      </c>
      <c r="D1196" s="6">
        <v>1328</v>
      </c>
      <c r="E1196" s="6">
        <v>0</v>
      </c>
      <c r="F1196" s="6">
        <v>0</v>
      </c>
      <c r="G1196" s="6">
        <v>66</v>
      </c>
      <c r="H1196" s="6">
        <v>1328</v>
      </c>
      <c r="I1196" s="6">
        <v>0</v>
      </c>
      <c r="J1196" s="6">
        <v>0</v>
      </c>
      <c r="K1196" s="6">
        <v>0</v>
      </c>
      <c r="L1196" s="6">
        <v>0</v>
      </c>
      <c r="M1196" s="6">
        <v>0</v>
      </c>
      <c r="N1196" s="6">
        <v>0</v>
      </c>
      <c r="O1196" s="6">
        <v>0</v>
      </c>
      <c r="P1196" s="6">
        <v>0</v>
      </c>
      <c r="Q1196" s="45">
        <v>70</v>
      </c>
      <c r="R1196" s="46" t="s">
        <v>475</v>
      </c>
    </row>
    <row r="1197" spans="1:18">
      <c r="A1197" s="6">
        <v>66</v>
      </c>
      <c r="B1197" s="56">
        <v>1328</v>
      </c>
      <c r="C1197" s="6">
        <v>0</v>
      </c>
      <c r="D1197" s="6">
        <v>0</v>
      </c>
      <c r="E1197" s="6">
        <v>0</v>
      </c>
      <c r="F1197" s="6">
        <v>0</v>
      </c>
      <c r="G1197" s="6">
        <v>0</v>
      </c>
      <c r="H1197" s="6">
        <v>0</v>
      </c>
      <c r="I1197" s="6">
        <v>0</v>
      </c>
      <c r="J1197" s="6">
        <v>0</v>
      </c>
      <c r="K1197" s="6">
        <v>0</v>
      </c>
      <c r="L1197" s="6">
        <v>0</v>
      </c>
      <c r="M1197" s="6">
        <v>0</v>
      </c>
      <c r="N1197" s="6">
        <v>0</v>
      </c>
      <c r="O1197" s="6">
        <v>0</v>
      </c>
      <c r="P1197" s="6">
        <v>0</v>
      </c>
      <c r="Q1197" s="45">
        <v>71</v>
      </c>
      <c r="R1197" s="46" t="s">
        <v>476</v>
      </c>
    </row>
    <row r="1198" spans="1:18">
      <c r="A1198" s="6">
        <v>66</v>
      </c>
      <c r="B1198" s="56">
        <v>1328</v>
      </c>
      <c r="C1198" s="6">
        <v>66</v>
      </c>
      <c r="D1198" s="6">
        <v>1328</v>
      </c>
      <c r="E1198" s="6">
        <v>0</v>
      </c>
      <c r="F1198" s="6">
        <v>0</v>
      </c>
      <c r="G1198" s="6">
        <v>66</v>
      </c>
      <c r="H1198" s="6">
        <v>1328</v>
      </c>
      <c r="I1198" s="6">
        <v>66</v>
      </c>
      <c r="J1198" s="6">
        <v>1328</v>
      </c>
      <c r="K1198" s="6">
        <v>0</v>
      </c>
      <c r="L1198" s="6">
        <v>0</v>
      </c>
      <c r="M1198" s="6">
        <v>0</v>
      </c>
      <c r="N1198" s="6">
        <v>0</v>
      </c>
      <c r="O1198" s="6">
        <v>0</v>
      </c>
      <c r="P1198" s="6">
        <v>0</v>
      </c>
      <c r="Q1198" s="45">
        <v>72</v>
      </c>
      <c r="R1198" s="46" t="s">
        <v>477</v>
      </c>
    </row>
    <row r="1199" spans="1:18">
      <c r="A1199" s="6">
        <v>66</v>
      </c>
      <c r="B1199" s="56">
        <v>1328</v>
      </c>
      <c r="C1199" s="6">
        <v>66</v>
      </c>
      <c r="D1199" s="6">
        <v>1328</v>
      </c>
      <c r="E1199" s="6">
        <v>66</v>
      </c>
      <c r="F1199" s="6">
        <v>1328</v>
      </c>
      <c r="G1199" s="6">
        <v>66</v>
      </c>
      <c r="H1199" s="6">
        <v>1328</v>
      </c>
      <c r="I1199" s="6">
        <v>66</v>
      </c>
      <c r="J1199" s="6">
        <v>1328</v>
      </c>
      <c r="K1199" s="6">
        <v>66</v>
      </c>
      <c r="L1199" s="6">
        <v>1328</v>
      </c>
      <c r="M1199" s="6">
        <v>66</v>
      </c>
      <c r="N1199" s="6">
        <v>1328</v>
      </c>
      <c r="O1199" s="6">
        <v>66</v>
      </c>
      <c r="P1199" s="6">
        <v>1328</v>
      </c>
      <c r="Q1199" s="45">
        <v>73</v>
      </c>
      <c r="R1199" s="46" t="s">
        <v>478</v>
      </c>
    </row>
    <row r="1200" spans="1:18">
      <c r="A1200" s="6">
        <v>0</v>
      </c>
      <c r="B1200" s="56">
        <v>0</v>
      </c>
      <c r="C1200" s="6">
        <v>0</v>
      </c>
      <c r="D1200" s="6">
        <v>0</v>
      </c>
      <c r="E1200" s="6">
        <v>66</v>
      </c>
      <c r="F1200" s="6">
        <v>1328</v>
      </c>
      <c r="G1200" s="6">
        <v>0</v>
      </c>
      <c r="H1200" s="6">
        <v>0</v>
      </c>
      <c r="I1200" s="6">
        <v>66</v>
      </c>
      <c r="J1200" s="6">
        <v>1328</v>
      </c>
      <c r="K1200" s="6"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0</v>
      </c>
      <c r="Q1200" s="45">
        <v>74</v>
      </c>
      <c r="R1200" s="46" t="s">
        <v>479</v>
      </c>
    </row>
    <row r="1201" spans="1:23">
      <c r="A1201" s="6">
        <v>0</v>
      </c>
      <c r="B1201" s="56">
        <v>0</v>
      </c>
      <c r="C1201" s="6">
        <v>66</v>
      </c>
      <c r="D1201" s="6">
        <v>1328</v>
      </c>
      <c r="E1201" s="6">
        <v>66</v>
      </c>
      <c r="F1201" s="6">
        <v>1328</v>
      </c>
      <c r="G1201" s="6">
        <v>66</v>
      </c>
      <c r="H1201" s="6">
        <v>1328</v>
      </c>
      <c r="I1201" s="6">
        <v>66</v>
      </c>
      <c r="J1201" s="6">
        <v>1328</v>
      </c>
      <c r="K1201" s="6">
        <v>0</v>
      </c>
      <c r="L1201" s="6">
        <v>0</v>
      </c>
      <c r="M1201" s="6">
        <v>0</v>
      </c>
      <c r="N1201" s="6">
        <v>0</v>
      </c>
      <c r="O1201" s="6">
        <v>0</v>
      </c>
      <c r="P1201" s="6">
        <v>0</v>
      </c>
      <c r="Q1201" s="45">
        <v>75</v>
      </c>
      <c r="R1201" s="46" t="s">
        <v>480</v>
      </c>
    </row>
    <row r="1202" spans="1:23">
      <c r="A1202" s="6">
        <v>0</v>
      </c>
      <c r="B1202" s="56">
        <v>0</v>
      </c>
      <c r="C1202" s="6">
        <v>66</v>
      </c>
      <c r="D1202" s="6">
        <v>1328</v>
      </c>
      <c r="E1202" s="6">
        <v>66</v>
      </c>
      <c r="F1202" s="6">
        <v>1328</v>
      </c>
      <c r="G1202" s="6">
        <v>66</v>
      </c>
      <c r="H1202" s="6">
        <v>1328</v>
      </c>
      <c r="I1202" s="6">
        <v>66</v>
      </c>
      <c r="J1202" s="6">
        <v>1328</v>
      </c>
      <c r="K1202" s="6">
        <v>0</v>
      </c>
      <c r="L1202" s="6">
        <v>0</v>
      </c>
      <c r="M1202" s="6">
        <v>0</v>
      </c>
      <c r="N1202" s="6">
        <v>0</v>
      </c>
      <c r="O1202" s="6">
        <v>0</v>
      </c>
      <c r="P1202" s="6">
        <v>0</v>
      </c>
      <c r="Q1202" s="45">
        <v>76</v>
      </c>
      <c r="R1202" s="46" t="s">
        <v>481</v>
      </c>
    </row>
    <row r="1203" spans="1:23">
      <c r="A1203" s="6">
        <v>0</v>
      </c>
      <c r="B1203" s="56">
        <v>0</v>
      </c>
      <c r="C1203" s="6">
        <v>66</v>
      </c>
      <c r="D1203" s="6">
        <v>1328</v>
      </c>
      <c r="E1203" s="6">
        <v>0</v>
      </c>
      <c r="F1203" s="6">
        <v>0</v>
      </c>
      <c r="G1203" s="6">
        <v>66</v>
      </c>
      <c r="H1203" s="6">
        <v>1328</v>
      </c>
      <c r="I1203" s="6">
        <v>0</v>
      </c>
      <c r="J1203" s="6">
        <v>0</v>
      </c>
      <c r="K1203" s="6">
        <v>0</v>
      </c>
      <c r="L1203" s="6">
        <v>0</v>
      </c>
      <c r="M1203" s="6">
        <v>0</v>
      </c>
      <c r="N1203" s="6">
        <v>0</v>
      </c>
      <c r="O1203" s="6">
        <v>0</v>
      </c>
      <c r="P1203" s="6">
        <v>0</v>
      </c>
      <c r="Q1203" s="45">
        <v>77</v>
      </c>
      <c r="R1203" s="46" t="s">
        <v>482</v>
      </c>
    </row>
    <row r="1204" spans="1:23">
      <c r="A1204" s="6">
        <v>0</v>
      </c>
      <c r="B1204" s="56">
        <v>0</v>
      </c>
      <c r="C1204" s="6">
        <v>66</v>
      </c>
      <c r="D1204" s="6">
        <v>1328</v>
      </c>
      <c r="E1204" s="6">
        <v>0</v>
      </c>
      <c r="F1204" s="6">
        <v>0</v>
      </c>
      <c r="G1204" s="6">
        <v>66</v>
      </c>
      <c r="H1204" s="6">
        <v>1328</v>
      </c>
      <c r="I1204" s="6">
        <v>0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  <c r="Q1204" s="45">
        <v>78</v>
      </c>
      <c r="R1204" s="46" t="s">
        <v>483</v>
      </c>
    </row>
    <row r="1205" spans="1:23">
      <c r="A1205" s="6">
        <v>66</v>
      </c>
      <c r="B1205" s="56">
        <v>1328</v>
      </c>
      <c r="C1205" s="6">
        <v>0</v>
      </c>
      <c r="D1205" s="6">
        <v>0</v>
      </c>
      <c r="E1205" s="6">
        <v>0</v>
      </c>
      <c r="F1205" s="6">
        <v>0</v>
      </c>
      <c r="G1205" s="6">
        <v>0</v>
      </c>
      <c r="H1205" s="6">
        <v>0</v>
      </c>
      <c r="I1205" s="6">
        <v>0</v>
      </c>
      <c r="J1205" s="6">
        <v>0</v>
      </c>
      <c r="K1205" s="6">
        <v>0</v>
      </c>
      <c r="L1205" s="6">
        <v>0</v>
      </c>
      <c r="M1205" s="6">
        <v>0</v>
      </c>
      <c r="N1205" s="6">
        <v>0</v>
      </c>
      <c r="O1205" s="6">
        <v>0</v>
      </c>
      <c r="P1205" s="6">
        <v>0</v>
      </c>
      <c r="Q1205" s="45">
        <v>79</v>
      </c>
      <c r="R1205" s="46" t="s">
        <v>484</v>
      </c>
    </row>
    <row r="1206" spans="1:23">
      <c r="A1206" s="6">
        <v>66</v>
      </c>
      <c r="B1206" s="56">
        <v>1328</v>
      </c>
      <c r="C1206" s="6">
        <v>66</v>
      </c>
      <c r="D1206" s="6">
        <v>1328</v>
      </c>
      <c r="E1206" s="6">
        <v>0</v>
      </c>
      <c r="F1206" s="6">
        <v>0</v>
      </c>
      <c r="G1206" s="6">
        <v>66</v>
      </c>
      <c r="H1206" s="6">
        <v>1328</v>
      </c>
      <c r="I1206" s="6">
        <v>66</v>
      </c>
      <c r="J1206" s="6">
        <v>1328</v>
      </c>
      <c r="K1206" s="6">
        <v>0</v>
      </c>
      <c r="L1206" s="6">
        <v>0</v>
      </c>
      <c r="M1206" s="6">
        <v>0</v>
      </c>
      <c r="N1206" s="6">
        <v>0</v>
      </c>
      <c r="O1206" s="6">
        <v>0</v>
      </c>
      <c r="P1206" s="6">
        <v>0</v>
      </c>
      <c r="Q1206" s="45">
        <v>80</v>
      </c>
      <c r="R1206" s="46" t="s">
        <v>485</v>
      </c>
    </row>
    <row r="1207" spans="1:23">
      <c r="A1207" s="6">
        <v>66</v>
      </c>
      <c r="B1207" s="56">
        <v>1328</v>
      </c>
      <c r="C1207" s="6">
        <v>66</v>
      </c>
      <c r="D1207" s="6">
        <v>1328</v>
      </c>
      <c r="E1207" s="6">
        <v>0</v>
      </c>
      <c r="F1207" s="6">
        <v>0</v>
      </c>
      <c r="G1207" s="6">
        <v>66</v>
      </c>
      <c r="H1207" s="6">
        <v>1328</v>
      </c>
      <c r="I1207" s="6">
        <v>0</v>
      </c>
      <c r="J1207" s="6">
        <v>0</v>
      </c>
      <c r="K1207" s="6">
        <v>0</v>
      </c>
      <c r="L1207" s="6">
        <v>0</v>
      </c>
      <c r="M1207" s="6">
        <v>0</v>
      </c>
      <c r="N1207" s="6">
        <v>0</v>
      </c>
      <c r="O1207" s="6">
        <v>0</v>
      </c>
      <c r="P1207" s="6">
        <v>0</v>
      </c>
      <c r="Q1207" s="45">
        <v>201</v>
      </c>
      <c r="R1207" s="46" t="s">
        <v>486</v>
      </c>
    </row>
    <row r="1208" spans="1:23">
      <c r="A1208" s="6">
        <v>66</v>
      </c>
      <c r="B1208" s="56">
        <v>1328</v>
      </c>
      <c r="C1208" s="6">
        <v>66</v>
      </c>
      <c r="D1208" s="6">
        <v>1328</v>
      </c>
      <c r="E1208" s="6">
        <v>0</v>
      </c>
      <c r="F1208" s="6">
        <v>0</v>
      </c>
      <c r="G1208" s="6">
        <v>66</v>
      </c>
      <c r="H1208" s="6">
        <v>1328</v>
      </c>
      <c r="I1208" s="6">
        <v>0</v>
      </c>
      <c r="J1208" s="6">
        <v>0</v>
      </c>
      <c r="K1208" s="6">
        <v>0</v>
      </c>
      <c r="L1208" s="6">
        <v>0</v>
      </c>
      <c r="M1208" s="6">
        <v>0</v>
      </c>
      <c r="N1208" s="6">
        <v>0</v>
      </c>
      <c r="O1208" s="6">
        <v>0</v>
      </c>
      <c r="P1208" s="6">
        <v>0</v>
      </c>
      <c r="Q1208" s="45">
        <v>202</v>
      </c>
      <c r="R1208" s="46" t="s">
        <v>487</v>
      </c>
    </row>
    <row r="1209" spans="1:23">
      <c r="A1209" s="6">
        <v>66</v>
      </c>
      <c r="B1209" s="56">
        <v>1328</v>
      </c>
      <c r="C1209" s="6">
        <v>66</v>
      </c>
      <c r="D1209" s="6">
        <v>1328</v>
      </c>
      <c r="E1209" s="6">
        <v>0</v>
      </c>
      <c r="F1209" s="6">
        <v>0</v>
      </c>
      <c r="G1209" s="6">
        <v>66</v>
      </c>
      <c r="H1209" s="6">
        <v>1328</v>
      </c>
      <c r="I1209" s="6">
        <v>0</v>
      </c>
      <c r="J1209" s="6">
        <v>0</v>
      </c>
      <c r="K1209" s="6">
        <v>0</v>
      </c>
      <c r="L1209" s="6">
        <v>0</v>
      </c>
      <c r="M1209" s="6">
        <v>0</v>
      </c>
      <c r="N1209" s="6">
        <v>0</v>
      </c>
      <c r="O1209" s="6">
        <v>0</v>
      </c>
      <c r="P1209" s="6">
        <v>0</v>
      </c>
      <c r="Q1209" s="45">
        <v>203</v>
      </c>
      <c r="R1209" s="46" t="s">
        <v>488</v>
      </c>
    </row>
    <row r="1210" spans="1:23">
      <c r="A1210" s="6">
        <v>66</v>
      </c>
      <c r="B1210" s="56">
        <v>1328</v>
      </c>
      <c r="C1210" s="6">
        <v>66</v>
      </c>
      <c r="D1210" s="6">
        <v>1328</v>
      </c>
      <c r="E1210" s="6">
        <v>0</v>
      </c>
      <c r="F1210" s="6">
        <v>0</v>
      </c>
      <c r="G1210" s="6">
        <v>66</v>
      </c>
      <c r="H1210" s="6">
        <v>1328</v>
      </c>
      <c r="I1210" s="6">
        <v>0</v>
      </c>
      <c r="J1210" s="6">
        <v>0</v>
      </c>
      <c r="K1210" s="6">
        <v>0</v>
      </c>
      <c r="L1210" s="6">
        <v>0</v>
      </c>
      <c r="M1210" s="6">
        <v>0</v>
      </c>
      <c r="N1210" s="6">
        <v>0</v>
      </c>
      <c r="O1210" s="6">
        <v>0</v>
      </c>
      <c r="P1210" s="6">
        <v>0</v>
      </c>
      <c r="Q1210" s="45">
        <v>204</v>
      </c>
      <c r="R1210" s="46" t="s">
        <v>489</v>
      </c>
    </row>
    <row r="1211" spans="1:23">
      <c r="A1211" s="6">
        <v>66</v>
      </c>
      <c r="B1211" s="56">
        <v>1328</v>
      </c>
      <c r="C1211" s="6">
        <v>66</v>
      </c>
      <c r="D1211" s="6">
        <v>1328</v>
      </c>
      <c r="E1211" s="6">
        <v>0</v>
      </c>
      <c r="F1211" s="6">
        <v>0</v>
      </c>
      <c r="G1211" s="6">
        <v>66</v>
      </c>
      <c r="H1211" s="6">
        <v>1328</v>
      </c>
      <c r="I1211" s="6">
        <v>0</v>
      </c>
      <c r="J1211" s="6">
        <v>0</v>
      </c>
      <c r="K1211" s="6">
        <v>0</v>
      </c>
      <c r="L1211" s="6">
        <v>0</v>
      </c>
      <c r="M1211" s="6">
        <v>0</v>
      </c>
      <c r="N1211" s="6">
        <v>0</v>
      </c>
      <c r="O1211" s="6">
        <v>0</v>
      </c>
      <c r="P1211" s="6">
        <v>0</v>
      </c>
      <c r="Q1211" s="45">
        <v>205</v>
      </c>
      <c r="R1211" s="46" t="s">
        <v>490</v>
      </c>
    </row>
    <row r="1212" spans="1:23">
      <c r="A1212" s="6">
        <v>66</v>
      </c>
      <c r="B1212" s="56">
        <v>1328</v>
      </c>
      <c r="C1212" s="6">
        <v>66</v>
      </c>
      <c r="D1212" s="6">
        <v>1328</v>
      </c>
      <c r="E1212" s="6">
        <v>0</v>
      </c>
      <c r="F1212" s="6">
        <v>0</v>
      </c>
      <c r="G1212" s="6">
        <v>66</v>
      </c>
      <c r="H1212" s="6">
        <v>1328</v>
      </c>
      <c r="I1212" s="6">
        <v>0</v>
      </c>
      <c r="J1212" s="6">
        <v>0</v>
      </c>
      <c r="K1212" s="6">
        <v>0</v>
      </c>
      <c r="L1212" s="6">
        <v>0</v>
      </c>
      <c r="M1212" s="6">
        <v>0</v>
      </c>
      <c r="N1212" s="6">
        <v>0</v>
      </c>
      <c r="O1212" s="6">
        <v>0</v>
      </c>
      <c r="P1212" s="6">
        <v>0</v>
      </c>
      <c r="Q1212" s="45">
        <v>206</v>
      </c>
      <c r="R1212" s="46" t="s">
        <v>491</v>
      </c>
    </row>
    <row r="1213" spans="1:23">
      <c r="A1213" s="6">
        <v>66</v>
      </c>
      <c r="B1213" s="56">
        <v>1328</v>
      </c>
      <c r="C1213" s="6">
        <v>66</v>
      </c>
      <c r="D1213" s="6">
        <v>1328</v>
      </c>
      <c r="E1213" s="6">
        <v>0</v>
      </c>
      <c r="F1213" s="6">
        <v>0</v>
      </c>
      <c r="G1213" s="6">
        <v>66</v>
      </c>
      <c r="H1213" s="6">
        <v>1328</v>
      </c>
      <c r="I1213" s="6">
        <v>0</v>
      </c>
      <c r="J1213" s="6">
        <v>0</v>
      </c>
      <c r="K1213" s="6">
        <v>0</v>
      </c>
      <c r="L1213" s="6">
        <v>0</v>
      </c>
      <c r="M1213" s="6">
        <v>0</v>
      </c>
      <c r="N1213" s="6">
        <v>0</v>
      </c>
      <c r="O1213" s="6">
        <v>0</v>
      </c>
      <c r="P1213" s="6">
        <v>0</v>
      </c>
      <c r="Q1213" s="45">
        <v>207</v>
      </c>
      <c r="R1213" s="46" t="s">
        <v>492</v>
      </c>
    </row>
    <row r="1214" spans="1:23">
      <c r="A1214" s="6">
        <v>66</v>
      </c>
      <c r="B1214" s="56">
        <v>1328</v>
      </c>
      <c r="C1214" s="6">
        <v>66</v>
      </c>
      <c r="D1214" s="6">
        <v>1328</v>
      </c>
      <c r="E1214" s="6">
        <v>0</v>
      </c>
      <c r="F1214" s="6">
        <v>0</v>
      </c>
      <c r="G1214" s="6">
        <v>66</v>
      </c>
      <c r="H1214" s="6">
        <v>1328</v>
      </c>
      <c r="I1214" s="6">
        <v>0</v>
      </c>
      <c r="J1214" s="6">
        <v>0</v>
      </c>
      <c r="K1214" s="6">
        <v>0</v>
      </c>
      <c r="L1214" s="6">
        <v>0</v>
      </c>
      <c r="M1214" s="6">
        <v>0</v>
      </c>
      <c r="N1214" s="6">
        <v>0</v>
      </c>
      <c r="O1214" s="6">
        <v>0</v>
      </c>
      <c r="P1214" s="6">
        <v>0</v>
      </c>
      <c r="Q1214" s="45">
        <v>208</v>
      </c>
      <c r="R1214" s="47" t="s">
        <v>493</v>
      </c>
    </row>
    <row r="1215" spans="1:23">
      <c r="A1215" s="1" t="s">
        <v>2</v>
      </c>
      <c r="B1215" s="2" t="s">
        <v>497</v>
      </c>
      <c r="C1215" t="s">
        <v>498</v>
      </c>
      <c r="F1215" s="38"/>
      <c r="G1215" s="38"/>
      <c r="I1215" s="2" t="s">
        <v>499</v>
      </c>
      <c r="J1215" s="2">
        <v>1</v>
      </c>
    </row>
    <row r="1216" spans="1:23">
      <c r="A1216" s="6" t="s">
        <v>1656</v>
      </c>
      <c r="B1216" s="6">
        <v>0</v>
      </c>
      <c r="C1216" s="6">
        <v>50</v>
      </c>
      <c r="D1216" s="6">
        <v>50</v>
      </c>
      <c r="E1216" s="6">
        <v>40</v>
      </c>
      <c r="F1216" s="6">
        <v>0</v>
      </c>
      <c r="G1216" s="6">
        <v>0</v>
      </c>
      <c r="H1216" s="6">
        <v>0</v>
      </c>
      <c r="I1216" t="s">
        <v>500</v>
      </c>
      <c r="L1216" s="10" t="s">
        <v>1207</v>
      </c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</row>
    <row r="1217" spans="1:23">
      <c r="A1217" s="6">
        <v>0</v>
      </c>
      <c r="B1217" s="6">
        <v>0</v>
      </c>
      <c r="C1217" s="6">
        <v>0</v>
      </c>
      <c r="D1217" s="6">
        <v>0</v>
      </c>
      <c r="E1217" s="6">
        <v>0</v>
      </c>
      <c r="F1217" s="6">
        <v>0</v>
      </c>
      <c r="G1217" s="6">
        <v>0</v>
      </c>
      <c r="H1217" s="6">
        <v>0</v>
      </c>
      <c r="I1217" t="s">
        <v>501</v>
      </c>
      <c r="L1217" s="10"/>
      <c r="M1217" s="10" t="s">
        <v>1311</v>
      </c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</row>
    <row r="1218" spans="1:23">
      <c r="A1218" s="6">
        <v>0</v>
      </c>
      <c r="B1218" s="6">
        <v>0</v>
      </c>
      <c r="C1218" s="6">
        <v>0</v>
      </c>
      <c r="D1218" s="6">
        <v>0</v>
      </c>
      <c r="E1218" s="6">
        <v>0</v>
      </c>
      <c r="F1218" s="6">
        <v>0</v>
      </c>
      <c r="G1218" s="6">
        <v>0</v>
      </c>
      <c r="H1218" s="6">
        <v>0</v>
      </c>
      <c r="I1218" t="s">
        <v>502</v>
      </c>
      <c r="L1218" s="10" t="s">
        <v>1208</v>
      </c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</row>
    <row r="1219" spans="1:23" ht="15">
      <c r="A1219" s="6">
        <v>0</v>
      </c>
      <c r="B1219" s="6">
        <v>0</v>
      </c>
      <c r="C1219" s="6">
        <v>0</v>
      </c>
      <c r="D1219" s="6">
        <v>0</v>
      </c>
      <c r="E1219" s="6">
        <v>0</v>
      </c>
      <c r="F1219" s="6">
        <v>0</v>
      </c>
      <c r="G1219" s="6">
        <v>0</v>
      </c>
      <c r="H1219" s="6">
        <v>0</v>
      </c>
      <c r="I1219" t="s">
        <v>503</v>
      </c>
      <c r="L1219" s="10"/>
      <c r="M1219" s="202" t="s">
        <v>1312</v>
      </c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</row>
    <row r="1220" spans="1:23" ht="15">
      <c r="A1220" s="6">
        <v>0</v>
      </c>
      <c r="B1220" s="6">
        <v>0</v>
      </c>
      <c r="C1220" s="6">
        <v>0</v>
      </c>
      <c r="D1220" s="6">
        <v>0</v>
      </c>
      <c r="E1220" s="6">
        <v>0</v>
      </c>
      <c r="F1220" s="6">
        <v>0</v>
      </c>
      <c r="G1220" s="6">
        <v>0</v>
      </c>
      <c r="H1220" s="6">
        <v>0</v>
      </c>
      <c r="I1220" t="s">
        <v>504</v>
      </c>
      <c r="L1220" s="10" t="s">
        <v>1310</v>
      </c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</row>
    <row r="1221" spans="1:23" ht="15">
      <c r="A1221" s="6">
        <v>0</v>
      </c>
      <c r="B1221" s="6">
        <v>0</v>
      </c>
      <c r="C1221" s="6">
        <v>0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  <c r="I1221" t="s">
        <v>505</v>
      </c>
      <c r="L1221" s="10"/>
      <c r="M1221" s="202" t="s">
        <v>1313</v>
      </c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</row>
    <row r="1222" spans="1:23">
      <c r="A1222" s="6">
        <v>0</v>
      </c>
      <c r="B1222" s="6">
        <v>0</v>
      </c>
      <c r="C1222" s="6">
        <v>0</v>
      </c>
      <c r="D1222" s="6">
        <v>0</v>
      </c>
      <c r="E1222" s="6">
        <v>0</v>
      </c>
      <c r="F1222" s="6">
        <v>0</v>
      </c>
      <c r="G1222" s="6">
        <v>0</v>
      </c>
      <c r="H1222" s="6">
        <v>0</v>
      </c>
      <c r="I1222" t="s">
        <v>506</v>
      </c>
    </row>
    <row r="1223" spans="1:23">
      <c r="A1223" s="6">
        <v>0</v>
      </c>
      <c r="B1223" s="6">
        <v>0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t="s">
        <v>507</v>
      </c>
      <c r="M1223" t="s">
        <v>1341</v>
      </c>
    </row>
    <row r="1224" spans="1:23">
      <c r="A1224" s="6">
        <v>0</v>
      </c>
      <c r="B1224" s="6">
        <v>0</v>
      </c>
      <c r="C1224" s="6">
        <v>0</v>
      </c>
      <c r="D1224" s="6">
        <v>0</v>
      </c>
      <c r="E1224" s="6">
        <v>0</v>
      </c>
      <c r="F1224" s="6">
        <v>0</v>
      </c>
      <c r="G1224" s="6">
        <v>0</v>
      </c>
      <c r="H1224" s="6">
        <v>0</v>
      </c>
      <c r="I1224" t="s">
        <v>508</v>
      </c>
      <c r="M1224" s="137" t="s">
        <v>1342</v>
      </c>
    </row>
    <row r="1225" spans="1:23">
      <c r="A1225" s="6">
        <v>0</v>
      </c>
      <c r="B1225" s="6">
        <v>0</v>
      </c>
      <c r="C1225" s="6">
        <v>0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  <c r="I1225" t="s">
        <v>509</v>
      </c>
    </row>
    <row r="1226" spans="1:23">
      <c r="A1226" s="6" t="s">
        <v>1427</v>
      </c>
      <c r="B1226" s="6" t="s">
        <v>1427</v>
      </c>
      <c r="C1226" s="6" t="s">
        <v>1427</v>
      </c>
      <c r="D1226" s="6" t="s">
        <v>1427</v>
      </c>
      <c r="E1226" s="6">
        <v>0</v>
      </c>
      <c r="F1226" s="6">
        <v>0</v>
      </c>
      <c r="G1226" s="6">
        <v>0</v>
      </c>
      <c r="H1226" s="6">
        <v>0</v>
      </c>
      <c r="I1226" t="s">
        <v>510</v>
      </c>
    </row>
    <row r="1227" spans="1:23">
      <c r="A1227" s="2" t="s">
        <v>32</v>
      </c>
      <c r="B1227" s="81"/>
      <c r="F1227" s="38"/>
      <c r="G1227" s="38"/>
    </row>
    <row r="1228" spans="1:23">
      <c r="A1228" s="2" t="s">
        <v>1653</v>
      </c>
      <c r="B1228"/>
      <c r="F1228" s="38"/>
      <c r="G1228" s="38"/>
    </row>
    <row r="1229" spans="1:23">
      <c r="A1229" s="1" t="s">
        <v>26</v>
      </c>
      <c r="B1229" s="2" t="s">
        <v>1428</v>
      </c>
      <c r="F1229" s="38"/>
      <c r="G1229" s="38"/>
      <c r="I1229" s="2" t="s">
        <v>499</v>
      </c>
      <c r="J1229" s="2">
        <f>J1215+1</f>
        <v>2</v>
      </c>
      <c r="K1229" s="2" t="s">
        <v>511</v>
      </c>
    </row>
    <row r="1230" spans="1:23">
      <c r="A1230" s="6" t="s">
        <v>1196</v>
      </c>
      <c r="B1230" s="6">
        <v>0</v>
      </c>
      <c r="C1230" s="6">
        <v>28</v>
      </c>
      <c r="D1230" s="6">
        <v>28</v>
      </c>
      <c r="E1230" s="6">
        <v>20</v>
      </c>
      <c r="F1230" s="6">
        <v>0</v>
      </c>
      <c r="G1230" s="6">
        <v>0</v>
      </c>
      <c r="H1230" s="6" t="s">
        <v>1429</v>
      </c>
      <c r="I1230" t="s">
        <v>500</v>
      </c>
    </row>
    <row r="1231" spans="1:23">
      <c r="A1231" s="6">
        <v>0</v>
      </c>
      <c r="B1231" s="6">
        <v>0</v>
      </c>
      <c r="C1231" s="6">
        <v>0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t="s">
        <v>501</v>
      </c>
      <c r="N1231" s="82"/>
    </row>
    <row r="1232" spans="1:23">
      <c r="A1232" s="6">
        <v>0</v>
      </c>
      <c r="B1232" s="6">
        <v>0</v>
      </c>
      <c r="C1232" s="6">
        <v>0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t="s">
        <v>502</v>
      </c>
      <c r="N1232" s="82"/>
    </row>
    <row r="1233" spans="1:11">
      <c r="A1233" s="6">
        <v>0</v>
      </c>
      <c r="B1233" s="6">
        <v>0</v>
      </c>
      <c r="C1233" s="6">
        <v>0</v>
      </c>
      <c r="D1233" s="6">
        <v>0</v>
      </c>
      <c r="E1233" s="6">
        <v>0</v>
      </c>
      <c r="F1233" s="6">
        <v>0</v>
      </c>
      <c r="G1233" s="6">
        <v>0</v>
      </c>
      <c r="H1233" s="6">
        <v>0</v>
      </c>
      <c r="I1233" t="s">
        <v>503</v>
      </c>
    </row>
    <row r="1234" spans="1:11">
      <c r="A1234" s="6">
        <v>0</v>
      </c>
      <c r="B1234" s="6">
        <v>0</v>
      </c>
      <c r="C1234" s="6">
        <v>0</v>
      </c>
      <c r="D1234" s="6">
        <v>0</v>
      </c>
      <c r="E1234" s="6">
        <v>0</v>
      </c>
      <c r="F1234" s="6">
        <v>0</v>
      </c>
      <c r="G1234" s="6">
        <v>0</v>
      </c>
      <c r="H1234" s="6">
        <v>0</v>
      </c>
      <c r="I1234" t="s">
        <v>504</v>
      </c>
    </row>
    <row r="1235" spans="1:11">
      <c r="A1235" s="6">
        <v>0</v>
      </c>
      <c r="B1235" s="6">
        <v>0</v>
      </c>
      <c r="C1235" s="6">
        <v>0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t="s">
        <v>505</v>
      </c>
    </row>
    <row r="1236" spans="1:11">
      <c r="A1236" s="6">
        <v>0</v>
      </c>
      <c r="B1236" s="6">
        <v>0</v>
      </c>
      <c r="C1236" s="6">
        <v>0</v>
      </c>
      <c r="D1236" s="6">
        <v>0</v>
      </c>
      <c r="E1236" s="6">
        <v>0</v>
      </c>
      <c r="F1236" s="6">
        <v>0</v>
      </c>
      <c r="G1236" s="6">
        <v>0</v>
      </c>
      <c r="H1236" s="6">
        <v>0</v>
      </c>
      <c r="I1236" t="s">
        <v>506</v>
      </c>
    </row>
    <row r="1237" spans="1:11">
      <c r="A1237" s="6">
        <v>0</v>
      </c>
      <c r="B1237" s="6">
        <v>0</v>
      </c>
      <c r="C1237" s="6">
        <v>0</v>
      </c>
      <c r="D1237" s="6">
        <v>0</v>
      </c>
      <c r="E1237" s="6">
        <v>0</v>
      </c>
      <c r="F1237" s="6">
        <v>0</v>
      </c>
      <c r="G1237" s="6">
        <v>0</v>
      </c>
      <c r="H1237" s="6">
        <v>0</v>
      </c>
      <c r="I1237" t="s">
        <v>507</v>
      </c>
    </row>
    <row r="1238" spans="1:11">
      <c r="A1238" s="6">
        <v>0</v>
      </c>
      <c r="B1238" s="6">
        <v>0</v>
      </c>
      <c r="C1238" s="6">
        <v>0</v>
      </c>
      <c r="D1238" s="6">
        <v>0</v>
      </c>
      <c r="E1238" s="6">
        <v>0</v>
      </c>
      <c r="F1238" s="6">
        <v>0</v>
      </c>
      <c r="G1238" s="6">
        <v>0</v>
      </c>
      <c r="H1238" s="6">
        <v>0</v>
      </c>
      <c r="I1238" t="s">
        <v>508</v>
      </c>
    </row>
    <row r="1239" spans="1:11">
      <c r="A1239" s="6">
        <v>0</v>
      </c>
      <c r="B1239" s="6">
        <v>0</v>
      </c>
      <c r="C1239" s="6">
        <v>0</v>
      </c>
      <c r="D1239" s="6">
        <v>0</v>
      </c>
      <c r="E1239" s="6">
        <v>0</v>
      </c>
      <c r="F1239" s="6">
        <v>0</v>
      </c>
      <c r="G1239" s="6">
        <v>0</v>
      </c>
      <c r="H1239" s="6">
        <v>0</v>
      </c>
      <c r="I1239" t="s">
        <v>509</v>
      </c>
    </row>
    <row r="1240" spans="1:11">
      <c r="A1240" s="6">
        <v>0</v>
      </c>
      <c r="B1240" s="6">
        <v>0</v>
      </c>
      <c r="C1240" s="6">
        <v>0</v>
      </c>
      <c r="D1240" s="6">
        <v>0</v>
      </c>
      <c r="E1240" s="6">
        <v>0</v>
      </c>
      <c r="F1240" s="6">
        <v>0</v>
      </c>
      <c r="G1240" s="6">
        <v>0</v>
      </c>
      <c r="H1240" s="6">
        <v>0</v>
      </c>
      <c r="I1240" t="s">
        <v>510</v>
      </c>
    </row>
    <row r="1241" spans="1:11">
      <c r="A1241" s="1" t="s">
        <v>26</v>
      </c>
      <c r="B1241" s="2" t="s">
        <v>1428</v>
      </c>
      <c r="F1241" s="38"/>
      <c r="G1241" s="38"/>
      <c r="I1241" s="2" t="s">
        <v>499</v>
      </c>
      <c r="J1241" s="2">
        <f>J1229+1</f>
        <v>3</v>
      </c>
      <c r="K1241" s="2" t="s">
        <v>511</v>
      </c>
    </row>
    <row r="1242" spans="1:11">
      <c r="A1242" s="6">
        <v>0</v>
      </c>
      <c r="B1242" s="6">
        <v>0</v>
      </c>
      <c r="C1242" s="6">
        <v>0</v>
      </c>
      <c r="D1242" s="6">
        <v>0</v>
      </c>
      <c r="E1242" s="6">
        <v>0</v>
      </c>
      <c r="F1242" s="6">
        <v>0</v>
      </c>
      <c r="G1242" s="6">
        <v>80</v>
      </c>
      <c r="H1242" s="6">
        <v>0</v>
      </c>
      <c r="I1242" t="s">
        <v>500</v>
      </c>
    </row>
    <row r="1243" spans="1:11">
      <c r="A1243" s="6">
        <v>0</v>
      </c>
      <c r="B1243" s="6">
        <v>0</v>
      </c>
      <c r="C1243" s="6">
        <v>0</v>
      </c>
      <c r="D1243" s="6">
        <v>0</v>
      </c>
      <c r="E1243" s="6">
        <v>0</v>
      </c>
      <c r="F1243" s="6">
        <v>0</v>
      </c>
      <c r="G1243" s="6">
        <v>0</v>
      </c>
      <c r="H1243" s="6">
        <v>0</v>
      </c>
      <c r="I1243" t="s">
        <v>501</v>
      </c>
    </row>
    <row r="1244" spans="1:11">
      <c r="A1244" s="6">
        <v>0</v>
      </c>
      <c r="B1244" s="6">
        <v>0</v>
      </c>
      <c r="C1244" s="6">
        <v>0</v>
      </c>
      <c r="D1244" s="6">
        <v>0</v>
      </c>
      <c r="E1244" s="6">
        <v>0</v>
      </c>
      <c r="F1244" s="6">
        <v>0</v>
      </c>
      <c r="G1244" s="6">
        <v>0</v>
      </c>
      <c r="H1244" s="6">
        <v>0</v>
      </c>
      <c r="I1244" t="s">
        <v>502</v>
      </c>
    </row>
    <row r="1245" spans="1:11">
      <c r="A1245" s="6">
        <v>0</v>
      </c>
      <c r="B1245" s="6">
        <v>0</v>
      </c>
      <c r="C1245" s="6">
        <v>0</v>
      </c>
      <c r="D1245" s="6">
        <v>0</v>
      </c>
      <c r="E1245" s="6">
        <v>0</v>
      </c>
      <c r="F1245" s="6">
        <v>0</v>
      </c>
      <c r="G1245" s="6">
        <v>0</v>
      </c>
      <c r="H1245" s="6">
        <v>0</v>
      </c>
      <c r="I1245" t="s">
        <v>503</v>
      </c>
    </row>
    <row r="1246" spans="1:11">
      <c r="A1246" s="6">
        <v>0</v>
      </c>
      <c r="B1246" s="6">
        <v>0</v>
      </c>
      <c r="C1246" s="6">
        <v>0</v>
      </c>
      <c r="D1246" s="6">
        <v>0</v>
      </c>
      <c r="E1246" s="6">
        <v>0</v>
      </c>
      <c r="F1246" s="6">
        <v>0</v>
      </c>
      <c r="G1246" s="6">
        <v>0</v>
      </c>
      <c r="H1246" s="6">
        <v>0</v>
      </c>
      <c r="I1246" t="s">
        <v>504</v>
      </c>
    </row>
    <row r="1247" spans="1:11">
      <c r="A1247" s="6">
        <v>0</v>
      </c>
      <c r="B1247" s="6">
        <v>0</v>
      </c>
      <c r="C1247" s="6">
        <v>0</v>
      </c>
      <c r="D1247" s="6">
        <v>0</v>
      </c>
      <c r="E1247" s="6">
        <v>0</v>
      </c>
      <c r="F1247" s="6">
        <v>0</v>
      </c>
      <c r="G1247" s="6">
        <v>0</v>
      </c>
      <c r="H1247" s="6">
        <v>0</v>
      </c>
      <c r="I1247" t="s">
        <v>505</v>
      </c>
    </row>
    <row r="1248" spans="1:11">
      <c r="A1248" s="6">
        <v>0</v>
      </c>
      <c r="B1248" s="6">
        <v>0</v>
      </c>
      <c r="C1248" s="6">
        <v>0</v>
      </c>
      <c r="D1248" s="6">
        <v>0</v>
      </c>
      <c r="E1248" s="6">
        <v>0</v>
      </c>
      <c r="F1248" s="6">
        <v>0</v>
      </c>
      <c r="G1248" s="6">
        <v>0</v>
      </c>
      <c r="H1248" s="6">
        <v>0</v>
      </c>
      <c r="I1248" t="s">
        <v>506</v>
      </c>
    </row>
    <row r="1249" spans="1:11">
      <c r="A1249" s="6">
        <v>0</v>
      </c>
      <c r="B1249" s="6">
        <v>0</v>
      </c>
      <c r="C1249" s="6">
        <v>0</v>
      </c>
      <c r="D1249" s="6">
        <v>0</v>
      </c>
      <c r="E1249" s="6">
        <v>0</v>
      </c>
      <c r="F1249" s="6">
        <v>0</v>
      </c>
      <c r="G1249" s="6">
        <v>0</v>
      </c>
      <c r="H1249" s="6">
        <v>0</v>
      </c>
      <c r="I1249" t="s">
        <v>507</v>
      </c>
    </row>
    <row r="1250" spans="1:11">
      <c r="A1250" s="6">
        <v>0</v>
      </c>
      <c r="B1250" s="6">
        <v>0</v>
      </c>
      <c r="C1250" s="6">
        <v>0</v>
      </c>
      <c r="D1250" s="6">
        <v>0</v>
      </c>
      <c r="E1250" s="6">
        <v>0</v>
      </c>
      <c r="F1250" s="6">
        <v>0</v>
      </c>
      <c r="G1250" s="6">
        <v>0</v>
      </c>
      <c r="H1250" s="6">
        <v>0</v>
      </c>
      <c r="I1250" t="s">
        <v>508</v>
      </c>
    </row>
    <row r="1251" spans="1:11">
      <c r="A1251" s="6">
        <v>0</v>
      </c>
      <c r="B1251" s="6">
        <v>0</v>
      </c>
      <c r="C1251" s="6">
        <v>0</v>
      </c>
      <c r="D1251" s="6">
        <v>0</v>
      </c>
      <c r="E1251" s="6">
        <v>0</v>
      </c>
      <c r="F1251" s="6">
        <v>0</v>
      </c>
      <c r="G1251" s="6">
        <v>0</v>
      </c>
      <c r="H1251" s="6">
        <v>0</v>
      </c>
      <c r="I1251" t="s">
        <v>509</v>
      </c>
    </row>
    <row r="1252" spans="1:11">
      <c r="A1252" s="6">
        <v>0</v>
      </c>
      <c r="B1252" s="6">
        <v>0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t="s">
        <v>510</v>
      </c>
    </row>
    <row r="1253" spans="1:11">
      <c r="A1253" s="2" t="s">
        <v>32</v>
      </c>
      <c r="B1253" s="81"/>
      <c r="F1253" s="38"/>
      <c r="G1253" s="38"/>
    </row>
    <row r="1254" spans="1:11">
      <c r="A1254" s="2" t="s">
        <v>32</v>
      </c>
      <c r="B1254"/>
      <c r="F1254" s="38"/>
      <c r="G1254" s="38"/>
      <c r="I1254" s="2" t="s">
        <v>499</v>
      </c>
      <c r="J1254" s="2">
        <f>J1241+1</f>
        <v>4</v>
      </c>
      <c r="K1254" s="2" t="s">
        <v>511</v>
      </c>
    </row>
    <row r="1255" spans="1:11">
      <c r="A1255" s="1" t="s">
        <v>26</v>
      </c>
      <c r="B1255" s="2" t="s">
        <v>1428</v>
      </c>
      <c r="F1255" s="38"/>
      <c r="G1255" s="38"/>
    </row>
    <row r="1256" spans="1:11">
      <c r="A1256" s="6">
        <v>0</v>
      </c>
      <c r="B1256" s="6">
        <v>18</v>
      </c>
      <c r="C1256" s="6">
        <v>0</v>
      </c>
      <c r="D1256" s="6">
        <v>0</v>
      </c>
      <c r="E1256" s="6">
        <v>0</v>
      </c>
      <c r="F1256" s="6">
        <v>0</v>
      </c>
      <c r="G1256" s="6">
        <v>0</v>
      </c>
      <c r="H1256" s="6">
        <v>0</v>
      </c>
      <c r="I1256" t="s">
        <v>500</v>
      </c>
    </row>
    <row r="1257" spans="1:11">
      <c r="A1257" s="6">
        <v>0</v>
      </c>
      <c r="B1257" s="6">
        <v>0</v>
      </c>
      <c r="C1257" s="6">
        <v>0</v>
      </c>
      <c r="D1257" s="6">
        <v>0</v>
      </c>
      <c r="E1257" s="6">
        <v>0</v>
      </c>
      <c r="F1257" s="6">
        <v>0</v>
      </c>
      <c r="G1257" s="6">
        <v>0</v>
      </c>
      <c r="H1257" s="6">
        <v>0</v>
      </c>
      <c r="I1257" t="s">
        <v>501</v>
      </c>
    </row>
    <row r="1258" spans="1:11">
      <c r="A1258" s="6">
        <v>0</v>
      </c>
      <c r="B1258" s="6">
        <v>0</v>
      </c>
      <c r="C1258" s="6">
        <v>0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t="s">
        <v>502</v>
      </c>
    </row>
    <row r="1259" spans="1:11">
      <c r="A1259" s="6">
        <v>0</v>
      </c>
      <c r="B1259" s="6">
        <v>0</v>
      </c>
      <c r="C1259" s="6">
        <v>0</v>
      </c>
      <c r="D1259" s="6">
        <v>0</v>
      </c>
      <c r="E1259" s="6">
        <v>0</v>
      </c>
      <c r="F1259" s="6">
        <v>0</v>
      </c>
      <c r="G1259" s="6">
        <v>0</v>
      </c>
      <c r="H1259" s="6">
        <v>0</v>
      </c>
      <c r="I1259" t="s">
        <v>503</v>
      </c>
    </row>
    <row r="1260" spans="1:11">
      <c r="A1260" s="6">
        <v>0</v>
      </c>
      <c r="B1260" s="6">
        <v>0</v>
      </c>
      <c r="C1260" s="6">
        <v>0</v>
      </c>
      <c r="D1260" s="6">
        <v>0</v>
      </c>
      <c r="E1260" s="6">
        <v>0</v>
      </c>
      <c r="F1260" s="6">
        <v>0</v>
      </c>
      <c r="G1260" s="6">
        <v>0</v>
      </c>
      <c r="H1260" s="6">
        <v>0</v>
      </c>
      <c r="I1260" t="s">
        <v>504</v>
      </c>
    </row>
    <row r="1261" spans="1:11">
      <c r="A1261" s="6">
        <v>0</v>
      </c>
      <c r="B1261" s="6">
        <v>0</v>
      </c>
      <c r="C1261" s="6">
        <v>0</v>
      </c>
      <c r="D1261" s="6">
        <v>0</v>
      </c>
      <c r="E1261" s="6">
        <v>0</v>
      </c>
      <c r="F1261" s="6">
        <v>0</v>
      </c>
      <c r="G1261" s="6">
        <v>0</v>
      </c>
      <c r="H1261" s="6">
        <v>0</v>
      </c>
      <c r="I1261" t="s">
        <v>505</v>
      </c>
    </row>
    <row r="1262" spans="1:11">
      <c r="A1262" s="6">
        <v>0</v>
      </c>
      <c r="B1262" s="6">
        <v>0</v>
      </c>
      <c r="C1262" s="6">
        <v>0</v>
      </c>
      <c r="D1262" s="6">
        <v>0</v>
      </c>
      <c r="E1262" s="6">
        <v>0</v>
      </c>
      <c r="F1262" s="6">
        <v>0</v>
      </c>
      <c r="G1262" s="6">
        <v>0</v>
      </c>
      <c r="H1262" s="6">
        <v>0</v>
      </c>
      <c r="I1262" t="s">
        <v>506</v>
      </c>
    </row>
    <row r="1263" spans="1:11">
      <c r="A1263" s="6">
        <v>0</v>
      </c>
      <c r="B1263" s="6">
        <v>0</v>
      </c>
      <c r="C1263" s="6">
        <v>0</v>
      </c>
      <c r="D1263" s="6">
        <v>0</v>
      </c>
      <c r="E1263" s="6">
        <v>0</v>
      </c>
      <c r="F1263" s="6">
        <v>0</v>
      </c>
      <c r="G1263" s="6">
        <v>0</v>
      </c>
      <c r="H1263" s="6">
        <v>0</v>
      </c>
      <c r="I1263" t="s">
        <v>507</v>
      </c>
    </row>
    <row r="1264" spans="1:11">
      <c r="A1264" s="6">
        <v>0</v>
      </c>
      <c r="B1264" s="6">
        <v>0</v>
      </c>
      <c r="C1264" s="6">
        <v>0</v>
      </c>
      <c r="D1264" s="6">
        <v>0</v>
      </c>
      <c r="E1264" s="6">
        <v>0</v>
      </c>
      <c r="F1264" s="6">
        <v>0</v>
      </c>
      <c r="G1264" s="6">
        <v>0</v>
      </c>
      <c r="H1264" s="6">
        <v>0</v>
      </c>
      <c r="I1264" t="s">
        <v>508</v>
      </c>
    </row>
    <row r="1265" spans="1:11">
      <c r="A1265" s="6">
        <v>0</v>
      </c>
      <c r="B1265" s="6">
        <v>0</v>
      </c>
      <c r="C1265" s="6">
        <v>0</v>
      </c>
      <c r="D1265" s="6">
        <v>0</v>
      </c>
      <c r="E1265" s="6">
        <v>0</v>
      </c>
      <c r="F1265" s="6">
        <v>0</v>
      </c>
      <c r="G1265" s="6">
        <v>0</v>
      </c>
      <c r="H1265" s="6">
        <v>0</v>
      </c>
      <c r="I1265" t="s">
        <v>509</v>
      </c>
    </row>
    <row r="1266" spans="1:11">
      <c r="A1266" s="6">
        <v>0</v>
      </c>
      <c r="B1266" s="6">
        <v>0</v>
      </c>
      <c r="C1266" s="6">
        <v>0</v>
      </c>
      <c r="D1266" s="6">
        <v>0</v>
      </c>
      <c r="E1266" s="6">
        <v>0</v>
      </c>
      <c r="F1266" s="6">
        <v>0</v>
      </c>
      <c r="G1266" s="6">
        <v>0</v>
      </c>
      <c r="H1266" s="6">
        <v>0</v>
      </c>
      <c r="I1266" t="s">
        <v>510</v>
      </c>
    </row>
    <row r="1267" spans="1:11">
      <c r="A1267" s="2" t="s">
        <v>32</v>
      </c>
      <c r="B1267" s="81"/>
      <c r="F1267" s="38"/>
      <c r="G1267" s="38"/>
    </row>
    <row r="1268" spans="1:11">
      <c r="A1268" s="2" t="s">
        <v>32</v>
      </c>
      <c r="B1268"/>
      <c r="F1268" s="38"/>
      <c r="G1268" s="38"/>
      <c r="I1268" s="2" t="s">
        <v>499</v>
      </c>
      <c r="J1268" s="2">
        <f>J1254+1</f>
        <v>5</v>
      </c>
      <c r="K1268" s="2" t="s">
        <v>511</v>
      </c>
    </row>
    <row r="1269" spans="1:11">
      <c r="A1269" s="1" t="s">
        <v>26</v>
      </c>
      <c r="B1269" s="2" t="s">
        <v>1428</v>
      </c>
      <c r="F1269" s="38"/>
      <c r="G1269" s="38"/>
    </row>
    <row r="1270" spans="1:11">
      <c r="A1270" s="6">
        <v>0</v>
      </c>
      <c r="B1270" s="6">
        <v>0</v>
      </c>
      <c r="C1270" s="6">
        <v>0</v>
      </c>
      <c r="D1270" s="6">
        <v>0</v>
      </c>
      <c r="E1270" s="6">
        <v>0</v>
      </c>
      <c r="F1270" s="6">
        <v>0</v>
      </c>
      <c r="G1270" s="6">
        <v>0</v>
      </c>
      <c r="H1270" s="6">
        <v>0</v>
      </c>
      <c r="I1270" t="s">
        <v>500</v>
      </c>
    </row>
    <row r="1271" spans="1:11">
      <c r="A1271" s="6">
        <v>0</v>
      </c>
      <c r="B1271" s="6">
        <v>0</v>
      </c>
      <c r="C1271" s="6">
        <v>0</v>
      </c>
      <c r="D1271" s="6">
        <v>0</v>
      </c>
      <c r="E1271" s="6">
        <v>0</v>
      </c>
      <c r="F1271" s="6">
        <v>0</v>
      </c>
      <c r="G1271" s="6">
        <v>0</v>
      </c>
      <c r="H1271" s="6">
        <v>0</v>
      </c>
      <c r="I1271" t="s">
        <v>501</v>
      </c>
    </row>
    <row r="1272" spans="1:11">
      <c r="A1272" s="6">
        <v>0</v>
      </c>
      <c r="B1272" s="6">
        <v>0</v>
      </c>
      <c r="C1272" s="6">
        <v>0</v>
      </c>
      <c r="D1272" s="6">
        <v>0</v>
      </c>
      <c r="E1272" s="6">
        <v>0</v>
      </c>
      <c r="F1272" s="6">
        <v>0</v>
      </c>
      <c r="G1272" s="6">
        <v>0</v>
      </c>
      <c r="H1272" s="6">
        <v>0</v>
      </c>
      <c r="I1272" t="s">
        <v>502</v>
      </c>
    </row>
    <row r="1273" spans="1:11">
      <c r="A1273" s="6">
        <v>0</v>
      </c>
      <c r="B1273" s="6">
        <v>0</v>
      </c>
      <c r="C1273" s="6">
        <v>0</v>
      </c>
      <c r="D1273" s="6">
        <v>0</v>
      </c>
      <c r="E1273" s="6">
        <v>0</v>
      </c>
      <c r="F1273" s="6">
        <v>0</v>
      </c>
      <c r="G1273" s="6">
        <v>0</v>
      </c>
      <c r="H1273" s="6">
        <v>0</v>
      </c>
      <c r="I1273" t="s">
        <v>503</v>
      </c>
    </row>
    <row r="1274" spans="1:11">
      <c r="A1274" s="6">
        <v>0</v>
      </c>
      <c r="B1274" s="6">
        <v>0</v>
      </c>
      <c r="C1274" s="6">
        <v>0</v>
      </c>
      <c r="D1274" s="6">
        <v>0</v>
      </c>
      <c r="E1274" s="6">
        <v>0</v>
      </c>
      <c r="F1274" s="6">
        <v>0</v>
      </c>
      <c r="G1274" s="6">
        <v>0</v>
      </c>
      <c r="H1274" s="6">
        <v>0</v>
      </c>
      <c r="I1274" t="s">
        <v>504</v>
      </c>
    </row>
    <row r="1275" spans="1:11">
      <c r="A1275" s="6">
        <v>0</v>
      </c>
      <c r="B1275" s="6">
        <v>0</v>
      </c>
      <c r="C1275" s="6">
        <v>0</v>
      </c>
      <c r="D1275" s="6">
        <v>0</v>
      </c>
      <c r="E1275" s="6">
        <v>0</v>
      </c>
      <c r="F1275" s="6">
        <v>0</v>
      </c>
      <c r="G1275" s="6">
        <v>0</v>
      </c>
      <c r="H1275" s="6">
        <v>0</v>
      </c>
      <c r="I1275" t="s">
        <v>505</v>
      </c>
    </row>
    <row r="1276" spans="1:11">
      <c r="A1276" s="6">
        <v>0</v>
      </c>
      <c r="B1276" s="6">
        <v>0</v>
      </c>
      <c r="C1276" s="6">
        <v>0</v>
      </c>
      <c r="D1276" s="6">
        <v>0</v>
      </c>
      <c r="E1276" s="6">
        <v>0</v>
      </c>
      <c r="F1276" s="6">
        <v>0</v>
      </c>
      <c r="G1276" s="6">
        <v>0</v>
      </c>
      <c r="H1276" s="6">
        <v>0</v>
      </c>
      <c r="I1276" t="s">
        <v>506</v>
      </c>
    </row>
    <row r="1277" spans="1:11">
      <c r="A1277" s="6">
        <v>0</v>
      </c>
      <c r="B1277" s="6">
        <v>0</v>
      </c>
      <c r="C1277" s="6">
        <v>0</v>
      </c>
      <c r="D1277" s="6">
        <v>0</v>
      </c>
      <c r="E1277" s="6">
        <v>0</v>
      </c>
      <c r="F1277" s="6">
        <v>0</v>
      </c>
      <c r="G1277" s="6">
        <v>0</v>
      </c>
      <c r="H1277" s="6">
        <v>0</v>
      </c>
      <c r="I1277" t="s">
        <v>507</v>
      </c>
    </row>
    <row r="1278" spans="1:11">
      <c r="A1278" s="6">
        <v>0</v>
      </c>
      <c r="B1278" s="6">
        <v>0</v>
      </c>
      <c r="C1278" s="6">
        <v>0</v>
      </c>
      <c r="D1278" s="6">
        <v>0</v>
      </c>
      <c r="E1278" s="6">
        <v>0</v>
      </c>
      <c r="F1278" s="6">
        <v>0</v>
      </c>
      <c r="G1278" s="6">
        <v>0</v>
      </c>
      <c r="H1278" s="6">
        <v>0</v>
      </c>
      <c r="I1278" t="s">
        <v>508</v>
      </c>
    </row>
    <row r="1279" spans="1:11">
      <c r="A1279" s="6">
        <v>0</v>
      </c>
      <c r="B1279" s="6">
        <v>0</v>
      </c>
      <c r="C1279" s="6">
        <v>0</v>
      </c>
      <c r="D1279" s="6">
        <v>0</v>
      </c>
      <c r="E1279" s="6">
        <v>0</v>
      </c>
      <c r="F1279" s="6">
        <v>0</v>
      </c>
      <c r="G1279" s="6">
        <v>0</v>
      </c>
      <c r="H1279" s="6">
        <v>0</v>
      </c>
      <c r="I1279" t="s">
        <v>509</v>
      </c>
    </row>
    <row r="1280" spans="1:11">
      <c r="A1280" s="6">
        <v>0</v>
      </c>
      <c r="B1280" s="6">
        <v>0</v>
      </c>
      <c r="C1280" s="6">
        <v>0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  <c r="I1280" t="s">
        <v>510</v>
      </c>
    </row>
    <row r="1281" spans="1:11">
      <c r="A1281" s="2" t="s">
        <v>32</v>
      </c>
      <c r="B1281" s="81"/>
      <c r="F1281" s="38"/>
      <c r="G1281" s="38"/>
    </row>
    <row r="1282" spans="1:11">
      <c r="A1282" s="2" t="s">
        <v>32</v>
      </c>
      <c r="B1282"/>
      <c r="F1282" s="38"/>
      <c r="G1282" s="38"/>
      <c r="I1282" s="2" t="s">
        <v>499</v>
      </c>
      <c r="J1282" s="2">
        <f>J1268+1</f>
        <v>6</v>
      </c>
      <c r="K1282" s="2" t="s">
        <v>511</v>
      </c>
    </row>
    <row r="1283" spans="1:11">
      <c r="A1283" s="1" t="s">
        <v>26</v>
      </c>
      <c r="B1283" s="2" t="s">
        <v>1428</v>
      </c>
      <c r="F1283" s="38"/>
      <c r="G1283" s="38"/>
    </row>
    <row r="1284" spans="1:11">
      <c r="A1284" s="6">
        <v>0</v>
      </c>
      <c r="B1284" s="6">
        <v>0</v>
      </c>
      <c r="C1284" s="6">
        <v>0</v>
      </c>
      <c r="D1284" s="6">
        <v>0</v>
      </c>
      <c r="E1284" s="6">
        <v>0</v>
      </c>
      <c r="F1284" s="6">
        <v>0</v>
      </c>
      <c r="G1284" s="6">
        <v>0</v>
      </c>
      <c r="H1284" s="6">
        <v>0</v>
      </c>
      <c r="I1284" t="s">
        <v>500</v>
      </c>
    </row>
    <row r="1285" spans="1:11">
      <c r="A1285" s="6">
        <v>0</v>
      </c>
      <c r="B1285" s="6">
        <v>0</v>
      </c>
      <c r="C1285" s="6">
        <v>0</v>
      </c>
      <c r="D1285" s="6">
        <v>0</v>
      </c>
      <c r="E1285" s="6">
        <v>0</v>
      </c>
      <c r="F1285" s="6">
        <v>0</v>
      </c>
      <c r="G1285" s="6">
        <v>0</v>
      </c>
      <c r="H1285" s="6">
        <v>0</v>
      </c>
      <c r="I1285" t="s">
        <v>501</v>
      </c>
    </row>
    <row r="1286" spans="1:11">
      <c r="A1286" s="6">
        <v>0</v>
      </c>
      <c r="B1286" s="6">
        <v>0</v>
      </c>
      <c r="C1286" s="6">
        <v>0</v>
      </c>
      <c r="D1286" s="6">
        <v>0</v>
      </c>
      <c r="E1286" s="6">
        <v>0</v>
      </c>
      <c r="F1286" s="6">
        <v>0</v>
      </c>
      <c r="G1286" s="6">
        <v>0</v>
      </c>
      <c r="H1286" s="6">
        <v>0</v>
      </c>
      <c r="I1286" t="s">
        <v>502</v>
      </c>
    </row>
    <row r="1287" spans="1:11">
      <c r="A1287" s="6">
        <v>0</v>
      </c>
      <c r="B1287" s="6">
        <v>0</v>
      </c>
      <c r="C1287" s="6">
        <v>0</v>
      </c>
      <c r="D1287" s="6">
        <v>0</v>
      </c>
      <c r="E1287" s="6">
        <v>0</v>
      </c>
      <c r="F1287" s="6">
        <v>0</v>
      </c>
      <c r="G1287" s="6">
        <v>0</v>
      </c>
      <c r="H1287" s="6">
        <v>0</v>
      </c>
      <c r="I1287" t="s">
        <v>503</v>
      </c>
    </row>
    <row r="1288" spans="1:11">
      <c r="A1288" s="6">
        <v>0</v>
      </c>
      <c r="B1288" s="6">
        <v>0</v>
      </c>
      <c r="C1288" s="6">
        <v>0</v>
      </c>
      <c r="D1288" s="6">
        <v>0</v>
      </c>
      <c r="E1288" s="6">
        <v>0</v>
      </c>
      <c r="F1288" s="6">
        <v>0</v>
      </c>
      <c r="G1288" s="6">
        <v>0</v>
      </c>
      <c r="H1288" s="6">
        <v>0</v>
      </c>
      <c r="I1288" t="s">
        <v>504</v>
      </c>
    </row>
    <row r="1289" spans="1:11">
      <c r="A1289" s="6">
        <v>0</v>
      </c>
      <c r="B1289" s="6">
        <v>0</v>
      </c>
      <c r="C1289" s="6">
        <v>0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  <c r="I1289" t="s">
        <v>505</v>
      </c>
    </row>
    <row r="1290" spans="1:11">
      <c r="A1290" s="6">
        <v>0</v>
      </c>
      <c r="B1290" s="6">
        <v>0</v>
      </c>
      <c r="C1290" s="6">
        <v>0</v>
      </c>
      <c r="D1290" s="6">
        <v>0</v>
      </c>
      <c r="E1290" s="6">
        <v>0</v>
      </c>
      <c r="F1290" s="6">
        <v>0</v>
      </c>
      <c r="G1290" s="6">
        <v>0</v>
      </c>
      <c r="H1290" s="6">
        <v>0</v>
      </c>
      <c r="I1290" t="s">
        <v>506</v>
      </c>
    </row>
    <row r="1291" spans="1:11">
      <c r="A1291" s="6">
        <v>0</v>
      </c>
      <c r="B1291" s="6">
        <v>0</v>
      </c>
      <c r="C1291" s="6">
        <v>0</v>
      </c>
      <c r="D1291" s="6">
        <v>0</v>
      </c>
      <c r="E1291" s="6">
        <v>0</v>
      </c>
      <c r="F1291" s="6">
        <v>0</v>
      </c>
      <c r="G1291" s="6">
        <v>0</v>
      </c>
      <c r="H1291" s="6">
        <v>0</v>
      </c>
      <c r="I1291" t="s">
        <v>507</v>
      </c>
    </row>
    <row r="1292" spans="1:11">
      <c r="A1292" s="6">
        <v>0</v>
      </c>
      <c r="B1292" s="6">
        <v>0</v>
      </c>
      <c r="C1292" s="6">
        <v>0</v>
      </c>
      <c r="D1292" s="6">
        <v>0</v>
      </c>
      <c r="E1292" s="6">
        <v>0</v>
      </c>
      <c r="F1292" s="6">
        <v>0</v>
      </c>
      <c r="G1292" s="6">
        <v>0</v>
      </c>
      <c r="H1292" s="6">
        <v>0</v>
      </c>
      <c r="I1292" t="s">
        <v>508</v>
      </c>
    </row>
    <row r="1293" spans="1:11">
      <c r="A1293" s="6">
        <v>0</v>
      </c>
      <c r="B1293" s="6">
        <v>0</v>
      </c>
      <c r="C1293" s="6">
        <v>0</v>
      </c>
      <c r="D1293" s="6">
        <v>0</v>
      </c>
      <c r="E1293" s="6">
        <v>0</v>
      </c>
      <c r="F1293" s="6">
        <v>0</v>
      </c>
      <c r="G1293" s="6">
        <v>0</v>
      </c>
      <c r="H1293" s="6">
        <v>0</v>
      </c>
      <c r="I1293" t="s">
        <v>509</v>
      </c>
    </row>
    <row r="1294" spans="1:11">
      <c r="A1294" s="6">
        <v>0</v>
      </c>
      <c r="B1294" s="6">
        <v>0</v>
      </c>
      <c r="C1294" s="6">
        <v>0</v>
      </c>
      <c r="D1294" s="6">
        <v>0</v>
      </c>
      <c r="E1294" s="6">
        <v>0</v>
      </c>
      <c r="F1294" s="6">
        <v>0</v>
      </c>
      <c r="G1294" s="6">
        <v>0</v>
      </c>
      <c r="H1294" s="6">
        <v>0</v>
      </c>
      <c r="I1294" t="s">
        <v>510</v>
      </c>
    </row>
    <row r="1295" spans="1:11">
      <c r="A1295" s="2" t="s">
        <v>32</v>
      </c>
      <c r="B1295" s="81"/>
      <c r="F1295" s="38"/>
      <c r="G1295" s="38"/>
    </row>
    <row r="1296" spans="1:11">
      <c r="A1296" s="2" t="s">
        <v>32</v>
      </c>
      <c r="B1296"/>
      <c r="F1296" s="38"/>
      <c r="G1296" s="38"/>
      <c r="I1296" s="2" t="s">
        <v>499</v>
      </c>
      <c r="J1296" s="2">
        <f>J1282+1</f>
        <v>7</v>
      </c>
      <c r="K1296" s="2" t="s">
        <v>511</v>
      </c>
    </row>
    <row r="1297" spans="1:11">
      <c r="A1297" s="1" t="s">
        <v>26</v>
      </c>
      <c r="B1297" s="2" t="s">
        <v>1428</v>
      </c>
      <c r="F1297" s="38"/>
      <c r="G1297" s="38"/>
    </row>
    <row r="1298" spans="1:11">
      <c r="A1298" s="6">
        <v>0</v>
      </c>
      <c r="B1298" s="6">
        <v>0</v>
      </c>
      <c r="C1298" s="6">
        <v>0</v>
      </c>
      <c r="D1298" s="6">
        <v>0</v>
      </c>
      <c r="E1298" s="6">
        <v>0</v>
      </c>
      <c r="F1298" s="6">
        <v>60</v>
      </c>
      <c r="G1298" s="6">
        <v>0</v>
      </c>
      <c r="H1298" s="6">
        <v>0</v>
      </c>
      <c r="I1298" t="s">
        <v>500</v>
      </c>
    </row>
    <row r="1299" spans="1:11">
      <c r="A1299" s="6">
        <v>0</v>
      </c>
      <c r="B1299" s="6">
        <v>0</v>
      </c>
      <c r="C1299" s="6">
        <v>0</v>
      </c>
      <c r="D1299" s="6">
        <v>0</v>
      </c>
      <c r="E1299" s="6">
        <v>0</v>
      </c>
      <c r="F1299" s="6">
        <v>0</v>
      </c>
      <c r="G1299" s="6">
        <v>0</v>
      </c>
      <c r="H1299" s="6">
        <v>0</v>
      </c>
      <c r="I1299" t="s">
        <v>501</v>
      </c>
    </row>
    <row r="1300" spans="1:11">
      <c r="A1300" s="6">
        <v>0</v>
      </c>
      <c r="B1300" s="6">
        <v>0</v>
      </c>
      <c r="C1300" s="6">
        <v>0</v>
      </c>
      <c r="D1300" s="6">
        <v>0</v>
      </c>
      <c r="E1300" s="6">
        <v>0</v>
      </c>
      <c r="F1300" s="6">
        <v>0</v>
      </c>
      <c r="G1300" s="6">
        <v>0</v>
      </c>
      <c r="H1300" s="6">
        <v>0</v>
      </c>
      <c r="I1300" t="s">
        <v>502</v>
      </c>
    </row>
    <row r="1301" spans="1:11">
      <c r="A1301" s="6">
        <v>0</v>
      </c>
      <c r="B1301" s="6">
        <v>0</v>
      </c>
      <c r="C1301" s="6">
        <v>0</v>
      </c>
      <c r="D1301" s="6">
        <v>0</v>
      </c>
      <c r="E1301" s="6">
        <v>0</v>
      </c>
      <c r="F1301" s="6">
        <v>0</v>
      </c>
      <c r="G1301" s="6">
        <v>0</v>
      </c>
      <c r="H1301" s="6">
        <v>0</v>
      </c>
      <c r="I1301" t="s">
        <v>503</v>
      </c>
    </row>
    <row r="1302" spans="1:11">
      <c r="A1302" s="6">
        <v>0</v>
      </c>
      <c r="B1302" s="6">
        <v>0</v>
      </c>
      <c r="C1302" s="6">
        <v>0</v>
      </c>
      <c r="D1302" s="6">
        <v>0</v>
      </c>
      <c r="E1302" s="6">
        <v>0</v>
      </c>
      <c r="F1302" s="6">
        <v>0</v>
      </c>
      <c r="G1302" s="6">
        <v>0</v>
      </c>
      <c r="H1302" s="6">
        <v>0</v>
      </c>
      <c r="I1302" t="s">
        <v>504</v>
      </c>
    </row>
    <row r="1303" spans="1:11">
      <c r="A1303" s="6">
        <v>0</v>
      </c>
      <c r="B1303" s="6">
        <v>0</v>
      </c>
      <c r="C1303" s="6">
        <v>0</v>
      </c>
      <c r="D1303" s="6">
        <v>0</v>
      </c>
      <c r="E1303" s="6">
        <v>0</v>
      </c>
      <c r="F1303" s="6">
        <v>0</v>
      </c>
      <c r="G1303" s="6">
        <v>0</v>
      </c>
      <c r="H1303" s="6">
        <v>0</v>
      </c>
      <c r="I1303" t="s">
        <v>505</v>
      </c>
    </row>
    <row r="1304" spans="1:11">
      <c r="A1304" s="6">
        <v>0</v>
      </c>
      <c r="B1304" s="6">
        <v>0</v>
      </c>
      <c r="C1304" s="6">
        <v>0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t="s">
        <v>506</v>
      </c>
    </row>
    <row r="1305" spans="1:11">
      <c r="A1305" s="6">
        <v>0</v>
      </c>
      <c r="B1305" s="6">
        <v>0</v>
      </c>
      <c r="C1305" s="6">
        <v>0</v>
      </c>
      <c r="D1305" s="6">
        <v>0</v>
      </c>
      <c r="E1305" s="6">
        <v>0</v>
      </c>
      <c r="F1305" s="6">
        <v>0</v>
      </c>
      <c r="G1305" s="6">
        <v>0</v>
      </c>
      <c r="H1305" s="6">
        <v>0</v>
      </c>
      <c r="I1305" t="s">
        <v>507</v>
      </c>
    </row>
    <row r="1306" spans="1:11">
      <c r="A1306" s="6">
        <v>0</v>
      </c>
      <c r="B1306" s="6">
        <v>0</v>
      </c>
      <c r="C1306" s="6">
        <v>0</v>
      </c>
      <c r="D1306" s="6">
        <v>0</v>
      </c>
      <c r="E1306" s="6">
        <v>0</v>
      </c>
      <c r="F1306" s="6">
        <v>0</v>
      </c>
      <c r="G1306" s="6">
        <v>0</v>
      </c>
      <c r="H1306" s="6">
        <v>0</v>
      </c>
      <c r="I1306" t="s">
        <v>508</v>
      </c>
    </row>
    <row r="1307" spans="1:11">
      <c r="A1307" s="6">
        <v>0</v>
      </c>
      <c r="B1307" s="6">
        <v>0</v>
      </c>
      <c r="C1307" s="6">
        <v>0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  <c r="I1307" t="s">
        <v>509</v>
      </c>
    </row>
    <row r="1308" spans="1:11">
      <c r="A1308" s="6">
        <v>0</v>
      </c>
      <c r="B1308" s="6">
        <v>0</v>
      </c>
      <c r="C1308" s="6">
        <v>0</v>
      </c>
      <c r="D1308" s="6">
        <v>0</v>
      </c>
      <c r="E1308" s="6">
        <v>0</v>
      </c>
      <c r="F1308" s="6">
        <v>0</v>
      </c>
      <c r="G1308" s="6">
        <v>0</v>
      </c>
      <c r="H1308" s="6">
        <v>0</v>
      </c>
      <c r="I1308" t="s">
        <v>510</v>
      </c>
    </row>
    <row r="1309" spans="1:11">
      <c r="A1309" s="2" t="s">
        <v>32</v>
      </c>
      <c r="B1309" s="81"/>
      <c r="F1309" s="38"/>
      <c r="G1309" s="38"/>
    </row>
    <row r="1310" spans="1:11">
      <c r="A1310" s="2" t="s">
        <v>32</v>
      </c>
      <c r="B1310"/>
      <c r="F1310" s="38"/>
      <c r="G1310" s="38"/>
      <c r="I1310" s="2" t="s">
        <v>499</v>
      </c>
      <c r="J1310" s="2">
        <f>J1296+1</f>
        <v>8</v>
      </c>
      <c r="K1310" s="2" t="s">
        <v>511</v>
      </c>
    </row>
    <row r="1311" spans="1:11">
      <c r="A1311" s="1" t="s">
        <v>26</v>
      </c>
      <c r="B1311" s="2" t="s">
        <v>1428</v>
      </c>
      <c r="F1311" s="38"/>
      <c r="G1311" s="38"/>
    </row>
    <row r="1312" spans="1:11">
      <c r="A1312" s="6">
        <v>0</v>
      </c>
      <c r="B1312" s="6">
        <v>0</v>
      </c>
      <c r="C1312" s="6">
        <v>0</v>
      </c>
      <c r="D1312" s="6">
        <v>0</v>
      </c>
      <c r="E1312" s="6">
        <v>0</v>
      </c>
      <c r="F1312" s="6">
        <v>60</v>
      </c>
      <c r="G1312" s="6">
        <v>0</v>
      </c>
      <c r="H1312" s="6">
        <v>0</v>
      </c>
      <c r="I1312" t="s">
        <v>500</v>
      </c>
    </row>
    <row r="1313" spans="1:11">
      <c r="A1313" s="6">
        <v>0</v>
      </c>
      <c r="B1313" s="6">
        <v>0</v>
      </c>
      <c r="C1313" s="6">
        <v>0</v>
      </c>
      <c r="D1313" s="6">
        <v>0</v>
      </c>
      <c r="E1313" s="6">
        <v>0</v>
      </c>
      <c r="F1313" s="6">
        <v>0</v>
      </c>
      <c r="G1313" s="6">
        <v>0</v>
      </c>
      <c r="H1313" s="6">
        <v>0</v>
      </c>
      <c r="I1313" t="s">
        <v>501</v>
      </c>
    </row>
    <row r="1314" spans="1:11">
      <c r="A1314" s="6">
        <v>0</v>
      </c>
      <c r="B1314" s="6">
        <v>0</v>
      </c>
      <c r="C1314" s="6">
        <v>0</v>
      </c>
      <c r="D1314" s="6">
        <v>0</v>
      </c>
      <c r="E1314" s="6">
        <v>0</v>
      </c>
      <c r="F1314" s="6">
        <v>0</v>
      </c>
      <c r="G1314" s="6">
        <v>0</v>
      </c>
      <c r="H1314" s="6">
        <v>0</v>
      </c>
      <c r="I1314" t="s">
        <v>502</v>
      </c>
    </row>
    <row r="1315" spans="1:11">
      <c r="A1315" s="6">
        <v>0</v>
      </c>
      <c r="B1315" s="6">
        <v>0</v>
      </c>
      <c r="C1315" s="6">
        <v>0</v>
      </c>
      <c r="D1315" s="6">
        <v>0</v>
      </c>
      <c r="E1315" s="6">
        <v>0</v>
      </c>
      <c r="F1315" s="6">
        <v>0</v>
      </c>
      <c r="G1315" s="6">
        <v>0</v>
      </c>
      <c r="H1315" s="6">
        <v>0</v>
      </c>
      <c r="I1315" t="s">
        <v>503</v>
      </c>
    </row>
    <row r="1316" spans="1:11">
      <c r="A1316" s="6">
        <v>0</v>
      </c>
      <c r="B1316" s="6">
        <v>0</v>
      </c>
      <c r="C1316" s="6">
        <v>0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  <c r="I1316" t="s">
        <v>504</v>
      </c>
    </row>
    <row r="1317" spans="1:11">
      <c r="A1317" s="6">
        <v>0</v>
      </c>
      <c r="B1317" s="6">
        <v>0</v>
      </c>
      <c r="C1317" s="6">
        <v>0</v>
      </c>
      <c r="D1317" s="6">
        <v>0</v>
      </c>
      <c r="E1317" s="6">
        <v>0</v>
      </c>
      <c r="F1317" s="6">
        <v>0</v>
      </c>
      <c r="G1317" s="6">
        <v>0</v>
      </c>
      <c r="H1317" s="6">
        <v>0</v>
      </c>
      <c r="I1317" t="s">
        <v>505</v>
      </c>
    </row>
    <row r="1318" spans="1:11">
      <c r="A1318" s="6">
        <v>0</v>
      </c>
      <c r="B1318" s="6">
        <v>0</v>
      </c>
      <c r="C1318" s="6">
        <v>0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  <c r="I1318" t="s">
        <v>506</v>
      </c>
    </row>
    <row r="1319" spans="1:11">
      <c r="A1319" s="6">
        <v>0</v>
      </c>
      <c r="B1319" s="6">
        <v>0</v>
      </c>
      <c r="C1319" s="6">
        <v>0</v>
      </c>
      <c r="D1319" s="6">
        <v>0</v>
      </c>
      <c r="E1319" s="6">
        <v>0</v>
      </c>
      <c r="F1319" s="6">
        <v>0</v>
      </c>
      <c r="G1319" s="6">
        <v>0</v>
      </c>
      <c r="H1319" s="6">
        <v>0</v>
      </c>
      <c r="I1319" t="s">
        <v>507</v>
      </c>
    </row>
    <row r="1320" spans="1:11">
      <c r="A1320" s="6">
        <v>0</v>
      </c>
      <c r="B1320" s="6">
        <v>0</v>
      </c>
      <c r="C1320" s="6">
        <v>0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  <c r="I1320" t="s">
        <v>508</v>
      </c>
    </row>
    <row r="1321" spans="1:11">
      <c r="A1321" s="6">
        <v>0</v>
      </c>
      <c r="B1321" s="6">
        <v>0</v>
      </c>
      <c r="C1321" s="6">
        <v>0</v>
      </c>
      <c r="D1321" s="6">
        <v>0</v>
      </c>
      <c r="E1321" s="6">
        <v>0</v>
      </c>
      <c r="F1321" s="6">
        <v>0</v>
      </c>
      <c r="G1321" s="6">
        <v>0</v>
      </c>
      <c r="H1321" s="6">
        <v>0</v>
      </c>
      <c r="I1321" t="s">
        <v>509</v>
      </c>
    </row>
    <row r="1322" spans="1:11">
      <c r="A1322" s="6">
        <v>0</v>
      </c>
      <c r="B1322" s="6">
        <v>0</v>
      </c>
      <c r="C1322" s="6">
        <v>0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t="s">
        <v>510</v>
      </c>
    </row>
    <row r="1323" spans="1:11">
      <c r="A1323" s="2" t="s">
        <v>32</v>
      </c>
      <c r="B1323" s="81"/>
      <c r="F1323" s="38"/>
      <c r="G1323" s="38"/>
    </row>
    <row r="1324" spans="1:11">
      <c r="A1324" s="2" t="s">
        <v>32</v>
      </c>
      <c r="B1324"/>
      <c r="F1324" s="38"/>
      <c r="G1324" s="38"/>
      <c r="I1324" s="2" t="s">
        <v>499</v>
      </c>
      <c r="J1324" s="2">
        <f>J1310+1</f>
        <v>9</v>
      </c>
      <c r="K1324" s="2" t="s">
        <v>511</v>
      </c>
    </row>
    <row r="1325" spans="1:11">
      <c r="A1325" s="1" t="s">
        <v>26</v>
      </c>
      <c r="B1325" s="2" t="s">
        <v>1428</v>
      </c>
      <c r="F1325" s="38"/>
      <c r="G1325" s="38"/>
    </row>
    <row r="1326" spans="1:11">
      <c r="A1326" s="6">
        <v>0</v>
      </c>
      <c r="B1326" s="6">
        <v>0</v>
      </c>
      <c r="C1326" s="6">
        <v>0</v>
      </c>
      <c r="D1326" s="6">
        <v>0</v>
      </c>
      <c r="E1326" s="6">
        <v>0</v>
      </c>
      <c r="F1326" s="6">
        <v>60</v>
      </c>
      <c r="G1326" s="6">
        <v>0</v>
      </c>
      <c r="H1326" s="6">
        <v>0</v>
      </c>
      <c r="I1326" t="s">
        <v>500</v>
      </c>
    </row>
    <row r="1327" spans="1:11">
      <c r="A1327" s="6">
        <v>0</v>
      </c>
      <c r="B1327" s="6">
        <v>0</v>
      </c>
      <c r="C1327" s="6">
        <v>0</v>
      </c>
      <c r="D1327" s="6">
        <v>0</v>
      </c>
      <c r="E1327" s="6">
        <v>0</v>
      </c>
      <c r="F1327" s="6">
        <v>0</v>
      </c>
      <c r="G1327" s="6">
        <v>0</v>
      </c>
      <c r="H1327" s="6">
        <v>0</v>
      </c>
      <c r="I1327" t="s">
        <v>501</v>
      </c>
    </row>
    <row r="1328" spans="1:11">
      <c r="A1328" s="6">
        <v>0</v>
      </c>
      <c r="B1328" s="6">
        <v>0</v>
      </c>
      <c r="C1328" s="6">
        <v>0</v>
      </c>
      <c r="D1328" s="6">
        <v>0</v>
      </c>
      <c r="E1328" s="6">
        <v>0</v>
      </c>
      <c r="F1328" s="6">
        <v>0</v>
      </c>
      <c r="G1328" s="6">
        <v>0</v>
      </c>
      <c r="H1328" s="6">
        <v>0</v>
      </c>
      <c r="I1328" t="s">
        <v>502</v>
      </c>
    </row>
    <row r="1329" spans="1:11">
      <c r="A1329" s="6">
        <v>0</v>
      </c>
      <c r="B1329" s="6">
        <v>0</v>
      </c>
      <c r="C1329" s="6">
        <v>0</v>
      </c>
      <c r="D1329" s="6">
        <v>0</v>
      </c>
      <c r="E1329" s="6">
        <v>0</v>
      </c>
      <c r="F1329" s="6">
        <v>0</v>
      </c>
      <c r="G1329" s="6">
        <v>0</v>
      </c>
      <c r="H1329" s="6">
        <v>0</v>
      </c>
      <c r="I1329" t="s">
        <v>503</v>
      </c>
    </row>
    <row r="1330" spans="1:11">
      <c r="A1330" s="6">
        <v>0</v>
      </c>
      <c r="B1330" s="6">
        <v>0</v>
      </c>
      <c r="C1330" s="6">
        <v>0</v>
      </c>
      <c r="D1330" s="6">
        <v>0</v>
      </c>
      <c r="E1330" s="6">
        <v>0</v>
      </c>
      <c r="F1330" s="6">
        <v>0</v>
      </c>
      <c r="G1330" s="6">
        <v>0</v>
      </c>
      <c r="H1330" s="6">
        <v>0</v>
      </c>
      <c r="I1330" t="s">
        <v>504</v>
      </c>
    </row>
    <row r="1331" spans="1:11">
      <c r="A1331" s="6">
        <v>0</v>
      </c>
      <c r="B1331" s="6">
        <v>0</v>
      </c>
      <c r="C1331" s="6">
        <v>0</v>
      </c>
      <c r="D1331" s="6">
        <v>0</v>
      </c>
      <c r="E1331" s="6">
        <v>0</v>
      </c>
      <c r="F1331" s="6">
        <v>0</v>
      </c>
      <c r="G1331" s="6">
        <v>0</v>
      </c>
      <c r="H1331" s="6">
        <v>0</v>
      </c>
      <c r="I1331" t="s">
        <v>505</v>
      </c>
    </row>
    <row r="1332" spans="1:11">
      <c r="A1332" s="6">
        <v>0</v>
      </c>
      <c r="B1332" s="6">
        <v>0</v>
      </c>
      <c r="C1332" s="6">
        <v>0</v>
      </c>
      <c r="D1332" s="6">
        <v>0</v>
      </c>
      <c r="E1332" s="6">
        <v>0</v>
      </c>
      <c r="F1332" s="6">
        <v>0</v>
      </c>
      <c r="G1332" s="6">
        <v>0</v>
      </c>
      <c r="H1332" s="6">
        <v>0</v>
      </c>
      <c r="I1332" t="s">
        <v>506</v>
      </c>
    </row>
    <row r="1333" spans="1:11">
      <c r="A1333" s="6">
        <v>0</v>
      </c>
      <c r="B1333" s="6">
        <v>0</v>
      </c>
      <c r="C1333" s="6">
        <v>0</v>
      </c>
      <c r="D1333" s="6">
        <v>0</v>
      </c>
      <c r="E1333" s="6">
        <v>0</v>
      </c>
      <c r="F1333" s="6">
        <v>0</v>
      </c>
      <c r="G1333" s="6">
        <v>0</v>
      </c>
      <c r="H1333" s="6">
        <v>0</v>
      </c>
      <c r="I1333" t="s">
        <v>507</v>
      </c>
    </row>
    <row r="1334" spans="1:11">
      <c r="A1334" s="6">
        <v>0</v>
      </c>
      <c r="B1334" s="6">
        <v>0</v>
      </c>
      <c r="C1334" s="6">
        <v>0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t="s">
        <v>508</v>
      </c>
    </row>
    <row r="1335" spans="1:11">
      <c r="A1335" s="6">
        <v>0</v>
      </c>
      <c r="B1335" s="6">
        <v>0</v>
      </c>
      <c r="C1335" s="6">
        <v>0</v>
      </c>
      <c r="D1335" s="6">
        <v>0</v>
      </c>
      <c r="E1335" s="6">
        <v>0</v>
      </c>
      <c r="F1335" s="6">
        <v>0</v>
      </c>
      <c r="G1335" s="6">
        <v>0</v>
      </c>
      <c r="H1335" s="6">
        <v>0</v>
      </c>
      <c r="I1335" t="s">
        <v>509</v>
      </c>
    </row>
    <row r="1336" spans="1:11">
      <c r="A1336" s="6">
        <v>0</v>
      </c>
      <c r="B1336" s="6">
        <v>0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t="s">
        <v>510</v>
      </c>
    </row>
    <row r="1337" spans="1:11">
      <c r="A1337" s="2" t="s">
        <v>32</v>
      </c>
      <c r="B1337" s="81"/>
      <c r="F1337" s="38"/>
      <c r="G1337" s="38"/>
    </row>
    <row r="1338" spans="1:11">
      <c r="A1338" s="2" t="s">
        <v>32</v>
      </c>
      <c r="B1338"/>
      <c r="F1338" s="38"/>
      <c r="G1338" s="38"/>
      <c r="I1338" s="2" t="s">
        <v>499</v>
      </c>
      <c r="J1338" s="2">
        <f>J1324+1</f>
        <v>10</v>
      </c>
      <c r="K1338" s="2" t="s">
        <v>511</v>
      </c>
    </row>
    <row r="1339" spans="1:11">
      <c r="A1339" s="1" t="s">
        <v>26</v>
      </c>
      <c r="B1339" s="2" t="s">
        <v>1428</v>
      </c>
      <c r="F1339" s="38"/>
      <c r="G1339" s="38"/>
    </row>
    <row r="1340" spans="1:11">
      <c r="A1340" s="6">
        <v>0</v>
      </c>
      <c r="B1340" s="6">
        <v>0</v>
      </c>
      <c r="C1340" s="6">
        <v>0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  <c r="I1340" t="s">
        <v>500</v>
      </c>
    </row>
    <row r="1341" spans="1:11">
      <c r="A1341" s="6">
        <v>0</v>
      </c>
      <c r="B1341" s="6">
        <v>0</v>
      </c>
      <c r="C1341" s="6">
        <v>0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  <c r="I1341" t="s">
        <v>501</v>
      </c>
    </row>
    <row r="1342" spans="1:11">
      <c r="A1342" s="6">
        <v>0</v>
      </c>
      <c r="B1342" s="6">
        <v>0</v>
      </c>
      <c r="C1342" s="6">
        <v>0</v>
      </c>
      <c r="D1342" s="6">
        <v>0</v>
      </c>
      <c r="E1342" s="6">
        <v>0</v>
      </c>
      <c r="F1342" s="6">
        <v>0</v>
      </c>
      <c r="G1342" s="6">
        <v>0</v>
      </c>
      <c r="H1342" s="6">
        <v>0</v>
      </c>
      <c r="I1342" t="s">
        <v>502</v>
      </c>
    </row>
    <row r="1343" spans="1:11">
      <c r="A1343" s="6">
        <v>0</v>
      </c>
      <c r="B1343" s="6">
        <v>0</v>
      </c>
      <c r="C1343" s="6">
        <v>0</v>
      </c>
      <c r="D1343" s="6">
        <v>0</v>
      </c>
      <c r="E1343" s="6">
        <v>0</v>
      </c>
      <c r="F1343" s="6">
        <v>0</v>
      </c>
      <c r="G1343" s="6">
        <v>0</v>
      </c>
      <c r="H1343" s="6">
        <v>0</v>
      </c>
      <c r="I1343" t="s">
        <v>503</v>
      </c>
    </row>
    <row r="1344" spans="1:11">
      <c r="A1344" s="6">
        <v>0</v>
      </c>
      <c r="B1344" s="6">
        <v>0</v>
      </c>
      <c r="C1344" s="6">
        <v>0</v>
      </c>
      <c r="D1344" s="6">
        <v>0</v>
      </c>
      <c r="E1344" s="6">
        <v>0</v>
      </c>
      <c r="F1344" s="6">
        <v>0</v>
      </c>
      <c r="G1344" s="6">
        <v>0</v>
      </c>
      <c r="H1344" s="6">
        <v>0</v>
      </c>
      <c r="I1344" t="s">
        <v>504</v>
      </c>
    </row>
    <row r="1345" spans="1:11">
      <c r="A1345" s="6">
        <v>0</v>
      </c>
      <c r="B1345" s="6">
        <v>0</v>
      </c>
      <c r="C1345" s="6">
        <v>0</v>
      </c>
      <c r="D1345" s="6">
        <v>0</v>
      </c>
      <c r="E1345" s="6">
        <v>0</v>
      </c>
      <c r="F1345" s="6">
        <v>0</v>
      </c>
      <c r="G1345" s="6">
        <v>0</v>
      </c>
      <c r="H1345" s="6">
        <v>0</v>
      </c>
      <c r="I1345" t="s">
        <v>505</v>
      </c>
    </row>
    <row r="1346" spans="1:11">
      <c r="A1346" s="6">
        <v>0</v>
      </c>
      <c r="B1346" s="6">
        <v>0</v>
      </c>
      <c r="C1346" s="6">
        <v>0</v>
      </c>
      <c r="D1346" s="6">
        <v>0</v>
      </c>
      <c r="E1346" s="6">
        <v>0</v>
      </c>
      <c r="F1346" s="6">
        <v>0</v>
      </c>
      <c r="G1346" s="6">
        <v>0</v>
      </c>
      <c r="H1346" s="6">
        <v>0</v>
      </c>
      <c r="I1346" t="s">
        <v>506</v>
      </c>
    </row>
    <row r="1347" spans="1:11">
      <c r="A1347" s="6">
        <v>0</v>
      </c>
      <c r="B1347" s="6">
        <v>0</v>
      </c>
      <c r="C1347" s="6">
        <v>0</v>
      </c>
      <c r="D1347" s="6">
        <v>0</v>
      </c>
      <c r="E1347" s="6">
        <v>0</v>
      </c>
      <c r="F1347" s="6">
        <v>0</v>
      </c>
      <c r="G1347" s="6">
        <v>0</v>
      </c>
      <c r="H1347" s="6">
        <v>0</v>
      </c>
      <c r="I1347" t="s">
        <v>507</v>
      </c>
    </row>
    <row r="1348" spans="1:11">
      <c r="A1348" s="6">
        <v>0</v>
      </c>
      <c r="B1348" s="6">
        <v>0</v>
      </c>
      <c r="C1348" s="6">
        <v>0</v>
      </c>
      <c r="D1348" s="6">
        <v>0</v>
      </c>
      <c r="E1348" s="6">
        <v>0</v>
      </c>
      <c r="F1348" s="6">
        <v>0</v>
      </c>
      <c r="G1348" s="6">
        <v>0</v>
      </c>
      <c r="H1348" s="6">
        <v>0</v>
      </c>
      <c r="I1348" t="s">
        <v>508</v>
      </c>
    </row>
    <row r="1349" spans="1:11">
      <c r="A1349" s="6">
        <v>0</v>
      </c>
      <c r="B1349" s="6">
        <v>0</v>
      </c>
      <c r="C1349" s="6">
        <v>0</v>
      </c>
      <c r="D1349" s="6">
        <v>0</v>
      </c>
      <c r="E1349" s="6">
        <v>0</v>
      </c>
      <c r="F1349" s="6">
        <v>0</v>
      </c>
      <c r="G1349" s="6">
        <v>0</v>
      </c>
      <c r="H1349" s="6">
        <v>0</v>
      </c>
      <c r="I1349" t="s">
        <v>509</v>
      </c>
    </row>
    <row r="1350" spans="1:11">
      <c r="A1350" s="6">
        <v>0</v>
      </c>
      <c r="B1350" s="6">
        <v>0</v>
      </c>
      <c r="C1350" s="6">
        <v>0</v>
      </c>
      <c r="D1350" s="6">
        <v>0</v>
      </c>
      <c r="E1350" s="6">
        <v>0</v>
      </c>
      <c r="F1350" s="6">
        <v>0</v>
      </c>
      <c r="G1350" s="6">
        <v>0</v>
      </c>
      <c r="H1350" s="6">
        <v>0</v>
      </c>
      <c r="I1350" t="s">
        <v>510</v>
      </c>
    </row>
    <row r="1351" spans="1:11">
      <c r="A1351" s="2" t="s">
        <v>32</v>
      </c>
      <c r="B1351" s="81"/>
      <c r="F1351" s="38"/>
      <c r="G1351" s="38"/>
    </row>
    <row r="1352" spans="1:11">
      <c r="A1352" s="2" t="s">
        <v>32</v>
      </c>
      <c r="B1352"/>
      <c r="F1352" s="38"/>
      <c r="G1352" s="38"/>
      <c r="I1352" s="2" t="s">
        <v>499</v>
      </c>
      <c r="J1352" s="2">
        <f>J1338+1</f>
        <v>11</v>
      </c>
      <c r="K1352" s="2" t="s">
        <v>511</v>
      </c>
    </row>
    <row r="1353" spans="1:11">
      <c r="A1353" s="1" t="s">
        <v>26</v>
      </c>
      <c r="B1353" s="2" t="s">
        <v>1428</v>
      </c>
      <c r="F1353" s="38"/>
      <c r="G1353" s="38"/>
    </row>
    <row r="1354" spans="1:11">
      <c r="A1354" s="6">
        <v>0</v>
      </c>
      <c r="B1354" s="6">
        <v>0</v>
      </c>
      <c r="C1354" s="6">
        <v>0</v>
      </c>
      <c r="D1354" s="6">
        <v>0</v>
      </c>
      <c r="E1354" s="6">
        <v>0</v>
      </c>
      <c r="F1354" s="6">
        <v>0</v>
      </c>
      <c r="G1354" s="6">
        <v>0</v>
      </c>
      <c r="H1354" s="6">
        <v>0</v>
      </c>
      <c r="I1354" t="s">
        <v>500</v>
      </c>
    </row>
    <row r="1355" spans="1:11">
      <c r="A1355" s="6">
        <v>0</v>
      </c>
      <c r="B1355" s="6">
        <v>0</v>
      </c>
      <c r="C1355" s="6">
        <v>0</v>
      </c>
      <c r="D1355" s="6">
        <v>0</v>
      </c>
      <c r="E1355" s="6">
        <v>0</v>
      </c>
      <c r="F1355" s="6">
        <v>0</v>
      </c>
      <c r="G1355" s="6">
        <v>0</v>
      </c>
      <c r="H1355" s="6">
        <v>0</v>
      </c>
      <c r="I1355" t="s">
        <v>501</v>
      </c>
    </row>
    <row r="1356" spans="1:11">
      <c r="A1356" s="6">
        <v>0</v>
      </c>
      <c r="B1356" s="6">
        <v>0</v>
      </c>
      <c r="C1356" s="6">
        <v>0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  <c r="I1356" t="s">
        <v>502</v>
      </c>
    </row>
    <row r="1357" spans="1:11">
      <c r="A1357" s="6">
        <v>0</v>
      </c>
      <c r="B1357" s="6">
        <v>0</v>
      </c>
      <c r="C1357" s="6">
        <v>0</v>
      </c>
      <c r="D1357" s="6">
        <v>0</v>
      </c>
      <c r="E1357" s="6">
        <v>0</v>
      </c>
      <c r="F1357" s="6">
        <v>0</v>
      </c>
      <c r="G1357" s="6">
        <v>0</v>
      </c>
      <c r="H1357" s="6">
        <v>0</v>
      </c>
      <c r="I1357" t="s">
        <v>503</v>
      </c>
    </row>
    <row r="1358" spans="1:11">
      <c r="A1358" s="6">
        <v>0</v>
      </c>
      <c r="B1358" s="6">
        <v>0</v>
      </c>
      <c r="C1358" s="6">
        <v>0</v>
      </c>
      <c r="D1358" s="6">
        <v>0</v>
      </c>
      <c r="E1358" s="6">
        <v>0</v>
      </c>
      <c r="F1358" s="6">
        <v>0</v>
      </c>
      <c r="G1358" s="6">
        <v>0</v>
      </c>
      <c r="H1358" s="6">
        <v>0</v>
      </c>
      <c r="I1358" t="s">
        <v>504</v>
      </c>
    </row>
    <row r="1359" spans="1:11">
      <c r="A1359" s="6">
        <v>0</v>
      </c>
      <c r="B1359" s="6">
        <v>0</v>
      </c>
      <c r="C1359" s="6">
        <v>0</v>
      </c>
      <c r="D1359" s="6">
        <v>0</v>
      </c>
      <c r="E1359" s="6">
        <v>0</v>
      </c>
      <c r="F1359" s="6">
        <v>0</v>
      </c>
      <c r="G1359" s="6">
        <v>0</v>
      </c>
      <c r="H1359" s="6">
        <v>0</v>
      </c>
      <c r="I1359" t="s">
        <v>505</v>
      </c>
    </row>
    <row r="1360" spans="1:11">
      <c r="A1360" s="6">
        <v>0</v>
      </c>
      <c r="B1360" s="6">
        <v>0</v>
      </c>
      <c r="C1360" s="6">
        <v>0</v>
      </c>
      <c r="D1360" s="6">
        <v>0</v>
      </c>
      <c r="E1360" s="6">
        <v>0</v>
      </c>
      <c r="F1360" s="6">
        <v>0</v>
      </c>
      <c r="G1360" s="6">
        <v>0</v>
      </c>
      <c r="H1360" s="6">
        <v>0</v>
      </c>
      <c r="I1360" t="s">
        <v>506</v>
      </c>
    </row>
    <row r="1361" spans="1:11">
      <c r="A1361" s="6">
        <v>0</v>
      </c>
      <c r="B1361" s="6">
        <v>0</v>
      </c>
      <c r="C1361" s="6">
        <v>0</v>
      </c>
      <c r="D1361" s="6">
        <v>0</v>
      </c>
      <c r="E1361" s="6">
        <v>0</v>
      </c>
      <c r="F1361" s="6">
        <v>0</v>
      </c>
      <c r="G1361" s="6">
        <v>0</v>
      </c>
      <c r="H1361" s="6">
        <v>0</v>
      </c>
      <c r="I1361" t="s">
        <v>507</v>
      </c>
    </row>
    <row r="1362" spans="1:11">
      <c r="A1362" s="6">
        <v>0</v>
      </c>
      <c r="B1362" s="6">
        <v>0</v>
      </c>
      <c r="C1362" s="6">
        <v>0</v>
      </c>
      <c r="D1362" s="6">
        <v>0</v>
      </c>
      <c r="E1362" s="6">
        <v>0</v>
      </c>
      <c r="F1362" s="6">
        <v>0</v>
      </c>
      <c r="G1362" s="6">
        <v>0</v>
      </c>
      <c r="H1362" s="6">
        <v>0</v>
      </c>
      <c r="I1362" t="s">
        <v>508</v>
      </c>
    </row>
    <row r="1363" spans="1:11">
      <c r="A1363" s="6">
        <v>0</v>
      </c>
      <c r="B1363" s="6">
        <v>0</v>
      </c>
      <c r="C1363" s="6">
        <v>0</v>
      </c>
      <c r="D1363" s="6">
        <v>0</v>
      </c>
      <c r="E1363" s="6">
        <v>0</v>
      </c>
      <c r="F1363" s="6">
        <v>0</v>
      </c>
      <c r="G1363" s="6">
        <v>0</v>
      </c>
      <c r="H1363" s="6">
        <v>0</v>
      </c>
      <c r="I1363" t="s">
        <v>509</v>
      </c>
    </row>
    <row r="1364" spans="1:11">
      <c r="A1364" s="6">
        <v>0</v>
      </c>
      <c r="B1364" s="6">
        <v>0</v>
      </c>
      <c r="C1364" s="6">
        <v>0</v>
      </c>
      <c r="D1364" s="6">
        <v>0</v>
      </c>
      <c r="E1364" s="6">
        <v>0</v>
      </c>
      <c r="F1364" s="6">
        <v>0</v>
      </c>
      <c r="G1364" s="6">
        <v>0</v>
      </c>
      <c r="H1364" s="6">
        <v>0</v>
      </c>
      <c r="I1364" t="s">
        <v>510</v>
      </c>
    </row>
    <row r="1365" spans="1:11">
      <c r="A1365" s="2" t="s">
        <v>32</v>
      </c>
      <c r="B1365" s="81"/>
      <c r="F1365" s="38"/>
      <c r="G1365" s="38"/>
    </row>
    <row r="1366" spans="1:11">
      <c r="A1366" s="2" t="s">
        <v>32</v>
      </c>
      <c r="B1366"/>
      <c r="F1366" s="38"/>
      <c r="G1366" s="38"/>
      <c r="I1366" s="2" t="s">
        <v>499</v>
      </c>
      <c r="J1366" s="2">
        <f>J1352+1</f>
        <v>12</v>
      </c>
      <c r="K1366" s="2" t="s">
        <v>511</v>
      </c>
    </row>
    <row r="1367" spans="1:11">
      <c r="A1367" s="1" t="s">
        <v>26</v>
      </c>
      <c r="B1367" s="2" t="s">
        <v>1428</v>
      </c>
      <c r="F1367" s="38"/>
      <c r="G1367" s="38"/>
    </row>
    <row r="1368" spans="1:11">
      <c r="A1368" s="6">
        <v>0</v>
      </c>
      <c r="B1368" s="6">
        <v>0</v>
      </c>
      <c r="C1368" s="6">
        <v>0</v>
      </c>
      <c r="D1368" s="6">
        <v>0</v>
      </c>
      <c r="E1368" s="6">
        <v>0</v>
      </c>
      <c r="F1368" s="6">
        <v>0</v>
      </c>
      <c r="G1368" s="6">
        <v>0</v>
      </c>
      <c r="H1368" s="6">
        <v>0</v>
      </c>
      <c r="I1368" t="s">
        <v>500</v>
      </c>
    </row>
    <row r="1369" spans="1:11">
      <c r="A1369" s="6">
        <v>0</v>
      </c>
      <c r="B1369" s="6">
        <v>0</v>
      </c>
      <c r="C1369" s="6" t="s">
        <v>1427</v>
      </c>
      <c r="D1369" s="6">
        <v>0</v>
      </c>
      <c r="E1369" s="6">
        <v>0</v>
      </c>
      <c r="F1369" s="6">
        <v>0</v>
      </c>
      <c r="G1369" s="6">
        <v>0</v>
      </c>
      <c r="H1369" s="6">
        <v>0</v>
      </c>
      <c r="I1369" t="s">
        <v>501</v>
      </c>
    </row>
    <row r="1370" spans="1:11">
      <c r="A1370" s="6">
        <v>0</v>
      </c>
      <c r="B1370" s="6">
        <v>0</v>
      </c>
      <c r="C1370" s="6">
        <v>0</v>
      </c>
      <c r="D1370" s="6">
        <v>0</v>
      </c>
      <c r="E1370" s="6">
        <v>0</v>
      </c>
      <c r="F1370" s="6">
        <v>0</v>
      </c>
      <c r="G1370" s="6">
        <v>0</v>
      </c>
      <c r="H1370" s="6">
        <v>0</v>
      </c>
      <c r="I1370" t="s">
        <v>502</v>
      </c>
    </row>
    <row r="1371" spans="1:11">
      <c r="A1371" s="6">
        <v>0</v>
      </c>
      <c r="B1371" s="6">
        <v>0</v>
      </c>
      <c r="C1371" s="6">
        <v>0</v>
      </c>
      <c r="D1371" s="6">
        <v>0</v>
      </c>
      <c r="E1371" s="6">
        <v>0</v>
      </c>
      <c r="F1371" s="6">
        <v>0</v>
      </c>
      <c r="G1371" s="6">
        <v>0</v>
      </c>
      <c r="H1371" s="6">
        <v>0</v>
      </c>
      <c r="I1371" t="s">
        <v>503</v>
      </c>
    </row>
    <row r="1372" spans="1:11">
      <c r="A1372" s="6">
        <v>0</v>
      </c>
      <c r="B1372" s="6">
        <v>0</v>
      </c>
      <c r="C1372" s="6">
        <v>0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  <c r="I1372" t="s">
        <v>504</v>
      </c>
    </row>
    <row r="1373" spans="1:11">
      <c r="A1373" s="6">
        <v>0</v>
      </c>
      <c r="B1373" s="6">
        <v>0</v>
      </c>
      <c r="C1373" s="6">
        <v>0</v>
      </c>
      <c r="D1373" s="6">
        <v>0</v>
      </c>
      <c r="E1373" s="6">
        <v>0</v>
      </c>
      <c r="F1373" s="6">
        <v>0</v>
      </c>
      <c r="G1373" s="6">
        <v>0</v>
      </c>
      <c r="H1373" s="6">
        <v>0</v>
      </c>
      <c r="I1373" t="s">
        <v>505</v>
      </c>
    </row>
    <row r="1374" spans="1:11">
      <c r="A1374" s="6">
        <v>0</v>
      </c>
      <c r="B1374" s="6">
        <v>0</v>
      </c>
      <c r="C1374" s="6">
        <v>0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t="s">
        <v>506</v>
      </c>
    </row>
    <row r="1375" spans="1:11">
      <c r="A1375" s="6">
        <v>0</v>
      </c>
      <c r="B1375" s="6">
        <v>0</v>
      </c>
      <c r="C1375" s="6">
        <v>0</v>
      </c>
      <c r="D1375" s="6">
        <v>0</v>
      </c>
      <c r="E1375" s="6">
        <v>0</v>
      </c>
      <c r="F1375" s="6">
        <v>0</v>
      </c>
      <c r="G1375" s="6">
        <v>0</v>
      </c>
      <c r="H1375" s="6">
        <v>0</v>
      </c>
      <c r="I1375" t="s">
        <v>507</v>
      </c>
    </row>
    <row r="1376" spans="1:11">
      <c r="A1376" s="6">
        <v>0</v>
      </c>
      <c r="B1376" s="6">
        <v>0</v>
      </c>
      <c r="C1376" s="6">
        <v>0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  <c r="I1376" t="s">
        <v>508</v>
      </c>
    </row>
    <row r="1377" spans="1:11">
      <c r="A1377" s="6">
        <v>0</v>
      </c>
      <c r="B1377" s="6">
        <v>0</v>
      </c>
      <c r="C1377" s="6">
        <v>0</v>
      </c>
      <c r="D1377" s="6">
        <v>0</v>
      </c>
      <c r="E1377" s="6">
        <v>0</v>
      </c>
      <c r="F1377" s="6">
        <v>0</v>
      </c>
      <c r="G1377" s="6">
        <v>0</v>
      </c>
      <c r="H1377" s="6">
        <v>0</v>
      </c>
      <c r="I1377" t="s">
        <v>509</v>
      </c>
    </row>
    <row r="1378" spans="1:11">
      <c r="A1378" s="6">
        <v>0</v>
      </c>
      <c r="B1378" s="6">
        <v>0</v>
      </c>
      <c r="C1378" s="6">
        <v>0</v>
      </c>
      <c r="D1378" s="6">
        <v>0</v>
      </c>
      <c r="E1378" s="6">
        <v>0</v>
      </c>
      <c r="F1378" s="6">
        <v>0</v>
      </c>
      <c r="G1378" s="6">
        <v>0</v>
      </c>
      <c r="H1378" s="6">
        <v>0</v>
      </c>
      <c r="I1378" t="s">
        <v>510</v>
      </c>
    </row>
    <row r="1379" spans="1:11">
      <c r="A1379" s="2" t="s">
        <v>32</v>
      </c>
      <c r="B1379" s="81"/>
      <c r="F1379" s="38"/>
      <c r="G1379" s="38"/>
    </row>
    <row r="1380" spans="1:11">
      <c r="A1380" s="2" t="s">
        <v>32</v>
      </c>
      <c r="B1380"/>
      <c r="F1380" s="38"/>
      <c r="G1380" s="38"/>
      <c r="I1380" s="2" t="s">
        <v>499</v>
      </c>
      <c r="J1380" s="2">
        <f>J1366+1</f>
        <v>13</v>
      </c>
      <c r="K1380" s="2" t="s">
        <v>511</v>
      </c>
    </row>
    <row r="1381" spans="1:11">
      <c r="A1381" s="1" t="s">
        <v>26</v>
      </c>
      <c r="B1381" s="2" t="s">
        <v>1428</v>
      </c>
      <c r="F1381" s="38"/>
      <c r="G1381" s="38"/>
    </row>
    <row r="1382" spans="1:11">
      <c r="A1382" s="6">
        <v>0</v>
      </c>
      <c r="B1382" s="6">
        <v>0</v>
      </c>
      <c r="C1382" s="6">
        <v>0</v>
      </c>
      <c r="D1382" s="6">
        <v>0</v>
      </c>
      <c r="E1382" s="6">
        <v>0</v>
      </c>
      <c r="F1382" s="6">
        <v>0</v>
      </c>
      <c r="G1382" s="6">
        <v>0</v>
      </c>
      <c r="H1382" s="6">
        <v>0</v>
      </c>
      <c r="I1382" t="s">
        <v>500</v>
      </c>
    </row>
    <row r="1383" spans="1:11">
      <c r="A1383" s="6">
        <v>0</v>
      </c>
      <c r="B1383" s="6">
        <v>0</v>
      </c>
      <c r="C1383" s="6">
        <v>0</v>
      </c>
      <c r="D1383" s="6">
        <v>0</v>
      </c>
      <c r="E1383" s="6">
        <v>0</v>
      </c>
      <c r="F1383" s="6">
        <v>0</v>
      </c>
      <c r="G1383" s="6">
        <v>0</v>
      </c>
      <c r="H1383" s="6">
        <v>0</v>
      </c>
      <c r="I1383" t="s">
        <v>501</v>
      </c>
    </row>
    <row r="1384" spans="1:11">
      <c r="A1384" s="6">
        <v>0</v>
      </c>
      <c r="B1384" s="6">
        <v>0</v>
      </c>
      <c r="C1384" s="6">
        <v>0</v>
      </c>
      <c r="D1384" s="6">
        <v>0</v>
      </c>
      <c r="E1384" s="6">
        <v>0</v>
      </c>
      <c r="F1384" s="6">
        <v>0</v>
      </c>
      <c r="G1384" s="6">
        <v>0</v>
      </c>
      <c r="H1384" s="6">
        <v>0</v>
      </c>
      <c r="I1384" t="s">
        <v>502</v>
      </c>
    </row>
    <row r="1385" spans="1:11">
      <c r="A1385" s="6">
        <v>0</v>
      </c>
      <c r="B1385" s="6">
        <v>0</v>
      </c>
      <c r="C1385" s="6">
        <v>0</v>
      </c>
      <c r="D1385" s="6">
        <v>0</v>
      </c>
      <c r="E1385" s="6">
        <v>0</v>
      </c>
      <c r="F1385" s="6">
        <v>0</v>
      </c>
      <c r="G1385" s="6">
        <v>0</v>
      </c>
      <c r="H1385" s="6">
        <v>0</v>
      </c>
      <c r="I1385" t="s">
        <v>503</v>
      </c>
    </row>
    <row r="1386" spans="1:11">
      <c r="A1386" s="6">
        <v>0</v>
      </c>
      <c r="B1386" s="6">
        <v>0</v>
      </c>
      <c r="C1386" s="6">
        <v>0</v>
      </c>
      <c r="D1386" s="6">
        <v>0</v>
      </c>
      <c r="E1386" s="6">
        <v>0</v>
      </c>
      <c r="F1386" s="6">
        <v>0</v>
      </c>
      <c r="G1386" s="6">
        <v>0</v>
      </c>
      <c r="H1386" s="6">
        <v>0</v>
      </c>
      <c r="I1386" t="s">
        <v>504</v>
      </c>
    </row>
    <row r="1387" spans="1:11">
      <c r="A1387" s="6">
        <v>0</v>
      </c>
      <c r="B1387" s="6">
        <v>0</v>
      </c>
      <c r="C1387" s="6">
        <v>0</v>
      </c>
      <c r="D1387" s="6">
        <v>0</v>
      </c>
      <c r="E1387" s="6">
        <v>0</v>
      </c>
      <c r="F1387" s="6">
        <v>0</v>
      </c>
      <c r="G1387" s="6">
        <v>0</v>
      </c>
      <c r="H1387" s="6">
        <v>0</v>
      </c>
      <c r="I1387" t="s">
        <v>505</v>
      </c>
    </row>
    <row r="1388" spans="1:11">
      <c r="A1388" s="6">
        <v>0</v>
      </c>
      <c r="B1388" s="6">
        <v>0</v>
      </c>
      <c r="C1388" s="6">
        <v>0</v>
      </c>
      <c r="D1388" s="6">
        <v>0</v>
      </c>
      <c r="E1388" s="6">
        <v>0</v>
      </c>
      <c r="F1388" s="6">
        <v>0</v>
      </c>
      <c r="G1388" s="6">
        <v>0</v>
      </c>
      <c r="H1388" s="6">
        <v>0</v>
      </c>
      <c r="I1388" t="s">
        <v>506</v>
      </c>
    </row>
    <row r="1389" spans="1:11">
      <c r="A1389" s="6">
        <v>0</v>
      </c>
      <c r="B1389" s="6">
        <v>0</v>
      </c>
      <c r="C1389" s="6">
        <v>0</v>
      </c>
      <c r="D1389" s="6">
        <v>0</v>
      </c>
      <c r="E1389" s="6">
        <v>0</v>
      </c>
      <c r="F1389" s="6">
        <v>0</v>
      </c>
      <c r="G1389" s="6">
        <v>0</v>
      </c>
      <c r="H1389" s="6">
        <v>0</v>
      </c>
      <c r="I1389" t="s">
        <v>507</v>
      </c>
    </row>
    <row r="1390" spans="1:11">
      <c r="A1390" s="6">
        <v>0</v>
      </c>
      <c r="B1390" s="6">
        <v>0</v>
      </c>
      <c r="C1390" s="6">
        <v>0</v>
      </c>
      <c r="D1390" s="6">
        <v>0</v>
      </c>
      <c r="E1390" s="6">
        <v>0</v>
      </c>
      <c r="F1390" s="6">
        <v>0</v>
      </c>
      <c r="G1390" s="6">
        <v>0</v>
      </c>
      <c r="H1390" s="6">
        <v>0</v>
      </c>
      <c r="I1390" t="s">
        <v>508</v>
      </c>
    </row>
    <row r="1391" spans="1:11">
      <c r="A1391" s="6">
        <v>0</v>
      </c>
      <c r="B1391" s="6">
        <v>0</v>
      </c>
      <c r="C1391" s="6">
        <v>0</v>
      </c>
      <c r="D1391" s="6">
        <v>0</v>
      </c>
      <c r="E1391" s="6">
        <v>0</v>
      </c>
      <c r="F1391" s="6">
        <v>0</v>
      </c>
      <c r="G1391" s="6">
        <v>0</v>
      </c>
      <c r="H1391" s="6">
        <v>0</v>
      </c>
      <c r="I1391" t="s">
        <v>509</v>
      </c>
    </row>
    <row r="1392" spans="1:11">
      <c r="A1392" s="6" t="s">
        <v>1427</v>
      </c>
      <c r="B1392" s="6" t="s">
        <v>1427</v>
      </c>
      <c r="C1392" s="6" t="s">
        <v>1427</v>
      </c>
      <c r="D1392" s="6" t="s">
        <v>1427</v>
      </c>
      <c r="E1392" s="6">
        <v>0</v>
      </c>
      <c r="F1392" s="6">
        <v>0</v>
      </c>
      <c r="G1392" s="6">
        <v>0</v>
      </c>
      <c r="H1392" s="6">
        <v>0</v>
      </c>
      <c r="I1392" t="s">
        <v>510</v>
      </c>
    </row>
    <row r="1393" spans="1:11">
      <c r="A1393" s="2" t="s">
        <v>32</v>
      </c>
      <c r="B1393" s="81"/>
      <c r="F1393" s="38"/>
      <c r="G1393" s="38"/>
    </row>
    <row r="1394" spans="1:11">
      <c r="A1394" s="2" t="s">
        <v>32</v>
      </c>
      <c r="B1394"/>
      <c r="F1394" s="38"/>
      <c r="G1394" s="38"/>
      <c r="I1394" s="2" t="s">
        <v>499</v>
      </c>
      <c r="J1394" s="2">
        <f>J1380+1</f>
        <v>14</v>
      </c>
      <c r="K1394" s="2" t="s">
        <v>511</v>
      </c>
    </row>
    <row r="1395" spans="1:11">
      <c r="A1395" s="1" t="s">
        <v>26</v>
      </c>
      <c r="B1395" s="2" t="s">
        <v>1428</v>
      </c>
      <c r="F1395" s="38"/>
      <c r="G1395" s="38"/>
    </row>
    <row r="1396" spans="1:11">
      <c r="A1396" s="6">
        <v>0</v>
      </c>
      <c r="B1396" s="6">
        <v>0</v>
      </c>
      <c r="C1396" s="6">
        <v>0</v>
      </c>
      <c r="D1396" s="6">
        <v>0</v>
      </c>
      <c r="E1396" s="6">
        <v>0</v>
      </c>
      <c r="F1396" s="6">
        <v>0</v>
      </c>
      <c r="G1396" s="6">
        <v>0</v>
      </c>
      <c r="H1396" s="6">
        <v>0</v>
      </c>
      <c r="I1396" t="s">
        <v>500</v>
      </c>
    </row>
    <row r="1397" spans="1:11">
      <c r="A1397" s="6" t="s">
        <v>1646</v>
      </c>
      <c r="B1397" s="6">
        <v>0</v>
      </c>
      <c r="C1397" s="6">
        <v>0</v>
      </c>
      <c r="D1397" s="6">
        <v>0</v>
      </c>
      <c r="E1397" s="6">
        <v>0</v>
      </c>
      <c r="F1397" s="6">
        <v>0</v>
      </c>
      <c r="G1397" s="6">
        <v>0</v>
      </c>
      <c r="H1397" s="6">
        <v>0</v>
      </c>
      <c r="I1397" t="s">
        <v>501</v>
      </c>
    </row>
    <row r="1398" spans="1:11">
      <c r="A1398" s="6">
        <v>0</v>
      </c>
      <c r="B1398" s="6">
        <v>0</v>
      </c>
      <c r="C1398" s="6">
        <v>0</v>
      </c>
      <c r="D1398" s="6">
        <v>0</v>
      </c>
      <c r="E1398" s="6">
        <v>0</v>
      </c>
      <c r="F1398" s="6">
        <v>0</v>
      </c>
      <c r="G1398" s="6">
        <v>0</v>
      </c>
      <c r="H1398" s="6">
        <v>0</v>
      </c>
      <c r="I1398" t="s">
        <v>502</v>
      </c>
    </row>
    <row r="1399" spans="1:11">
      <c r="A1399" s="6">
        <v>0</v>
      </c>
      <c r="B1399" s="6">
        <v>0</v>
      </c>
      <c r="C1399" s="6">
        <v>0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  <c r="I1399" t="s">
        <v>503</v>
      </c>
    </row>
    <row r="1400" spans="1:11">
      <c r="A1400" s="6">
        <v>0</v>
      </c>
      <c r="B1400" s="6">
        <v>0</v>
      </c>
      <c r="C1400" s="6">
        <v>0</v>
      </c>
      <c r="D1400" s="6">
        <v>0</v>
      </c>
      <c r="E1400" s="6">
        <v>0</v>
      </c>
      <c r="F1400" s="6">
        <v>0</v>
      </c>
      <c r="G1400" s="6">
        <v>0</v>
      </c>
      <c r="H1400" s="6">
        <v>0</v>
      </c>
      <c r="I1400" t="s">
        <v>504</v>
      </c>
    </row>
    <row r="1401" spans="1:11">
      <c r="A1401" s="6">
        <v>0</v>
      </c>
      <c r="B1401" s="6">
        <v>0</v>
      </c>
      <c r="C1401" s="6">
        <v>0</v>
      </c>
      <c r="D1401" s="6">
        <v>0</v>
      </c>
      <c r="E1401" s="6">
        <v>0</v>
      </c>
      <c r="F1401" s="6">
        <v>0</v>
      </c>
      <c r="G1401" s="6">
        <v>0</v>
      </c>
      <c r="H1401" s="6">
        <v>0</v>
      </c>
      <c r="I1401" t="s">
        <v>505</v>
      </c>
    </row>
    <row r="1402" spans="1:11">
      <c r="A1402" s="6">
        <v>0</v>
      </c>
      <c r="B1402" s="6">
        <v>0</v>
      </c>
      <c r="C1402" s="6">
        <v>0</v>
      </c>
      <c r="D1402" s="6">
        <v>0</v>
      </c>
      <c r="E1402" s="6">
        <v>0</v>
      </c>
      <c r="F1402" s="6">
        <v>0</v>
      </c>
      <c r="G1402" s="6">
        <v>0</v>
      </c>
      <c r="H1402" s="6">
        <v>0</v>
      </c>
      <c r="I1402" t="s">
        <v>506</v>
      </c>
    </row>
    <row r="1403" spans="1:11">
      <c r="A1403" s="6">
        <v>0</v>
      </c>
      <c r="B1403" s="6">
        <v>0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  <c r="H1403" s="6">
        <v>0</v>
      </c>
      <c r="I1403" t="s">
        <v>507</v>
      </c>
    </row>
    <row r="1404" spans="1:11">
      <c r="A1404" s="6">
        <v>0</v>
      </c>
      <c r="B1404" s="6">
        <v>0</v>
      </c>
      <c r="C1404" s="6">
        <v>0</v>
      </c>
      <c r="D1404" s="6">
        <v>0</v>
      </c>
      <c r="E1404" s="6">
        <v>0</v>
      </c>
      <c r="F1404" s="6">
        <v>0</v>
      </c>
      <c r="G1404" s="6">
        <v>0</v>
      </c>
      <c r="H1404" s="6">
        <v>0</v>
      </c>
      <c r="I1404" t="s">
        <v>508</v>
      </c>
    </row>
    <row r="1405" spans="1:11">
      <c r="A1405" s="6">
        <v>0</v>
      </c>
      <c r="B1405" s="6">
        <v>0</v>
      </c>
      <c r="C1405" s="6">
        <v>0</v>
      </c>
      <c r="D1405" s="6">
        <v>0</v>
      </c>
      <c r="E1405" s="6">
        <v>0</v>
      </c>
      <c r="F1405" s="6">
        <v>0</v>
      </c>
      <c r="G1405" s="6">
        <v>0</v>
      </c>
      <c r="H1405" s="6">
        <v>0</v>
      </c>
      <c r="I1405" t="s">
        <v>509</v>
      </c>
    </row>
    <row r="1406" spans="1:11">
      <c r="A1406" s="6">
        <v>0</v>
      </c>
      <c r="B1406" s="6">
        <v>0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t="s">
        <v>510</v>
      </c>
    </row>
    <row r="1407" spans="1:11">
      <c r="A1407" s="2" t="s">
        <v>32</v>
      </c>
      <c r="B1407" s="81"/>
      <c r="F1407" s="38"/>
      <c r="G1407" s="38"/>
    </row>
    <row r="1408" spans="1:11">
      <c r="A1408" s="2" t="s">
        <v>32</v>
      </c>
      <c r="B1408"/>
      <c r="F1408" s="38"/>
      <c r="G1408" s="38"/>
      <c r="I1408" s="2" t="s">
        <v>499</v>
      </c>
      <c r="J1408" s="2">
        <f>J1394+1</f>
        <v>15</v>
      </c>
      <c r="K1408" s="2" t="s">
        <v>511</v>
      </c>
    </row>
    <row r="1409" spans="1:11">
      <c r="A1409" s="1" t="s">
        <v>26</v>
      </c>
      <c r="B1409" s="2" t="s">
        <v>1428</v>
      </c>
      <c r="F1409" s="38"/>
      <c r="G1409" s="38"/>
    </row>
    <row r="1410" spans="1:11">
      <c r="A1410" s="6">
        <v>0</v>
      </c>
      <c r="B1410" s="6">
        <v>0</v>
      </c>
      <c r="C1410" s="6">
        <v>0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  <c r="I1410" t="s">
        <v>500</v>
      </c>
    </row>
    <row r="1411" spans="1:11">
      <c r="A1411" s="6" t="s">
        <v>1427</v>
      </c>
      <c r="B1411" s="6">
        <v>0</v>
      </c>
      <c r="C1411" s="6">
        <v>0</v>
      </c>
      <c r="D1411" s="6">
        <v>0</v>
      </c>
      <c r="E1411" s="6">
        <v>0</v>
      </c>
      <c r="F1411" s="6">
        <v>0</v>
      </c>
      <c r="G1411" s="6">
        <v>0</v>
      </c>
      <c r="H1411" s="6">
        <v>0</v>
      </c>
      <c r="I1411" t="s">
        <v>501</v>
      </c>
    </row>
    <row r="1412" spans="1:11">
      <c r="A1412" s="6">
        <v>0</v>
      </c>
      <c r="B1412" s="6">
        <v>0</v>
      </c>
      <c r="C1412" s="6">
        <v>0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  <c r="I1412" t="s">
        <v>502</v>
      </c>
    </row>
    <row r="1413" spans="1:11">
      <c r="A1413" s="6">
        <v>0</v>
      </c>
      <c r="B1413" s="6">
        <v>0</v>
      </c>
      <c r="C1413" s="6">
        <v>0</v>
      </c>
      <c r="D1413" s="6">
        <v>0</v>
      </c>
      <c r="E1413" s="6">
        <v>0</v>
      </c>
      <c r="F1413" s="6">
        <v>0</v>
      </c>
      <c r="G1413" s="6">
        <v>0</v>
      </c>
      <c r="H1413" s="6">
        <v>0</v>
      </c>
      <c r="I1413" t="s">
        <v>503</v>
      </c>
    </row>
    <row r="1414" spans="1:11">
      <c r="A1414" s="6">
        <v>0</v>
      </c>
      <c r="B1414" s="6">
        <v>0</v>
      </c>
      <c r="C1414" s="6">
        <v>0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  <c r="I1414" t="s">
        <v>504</v>
      </c>
    </row>
    <row r="1415" spans="1:11">
      <c r="A1415" s="6">
        <v>0</v>
      </c>
      <c r="B1415" s="6">
        <v>0</v>
      </c>
      <c r="C1415" s="6">
        <v>0</v>
      </c>
      <c r="D1415" s="6">
        <v>0</v>
      </c>
      <c r="E1415" s="6">
        <v>0</v>
      </c>
      <c r="F1415" s="6">
        <v>0</v>
      </c>
      <c r="G1415" s="6">
        <v>0</v>
      </c>
      <c r="H1415" s="6">
        <v>0</v>
      </c>
      <c r="I1415" t="s">
        <v>505</v>
      </c>
    </row>
    <row r="1416" spans="1:11">
      <c r="A1416" s="6">
        <v>0</v>
      </c>
      <c r="B1416" s="6">
        <v>0</v>
      </c>
      <c r="C1416" s="6">
        <v>0</v>
      </c>
      <c r="D1416" s="6">
        <v>0</v>
      </c>
      <c r="E1416" s="6">
        <v>0</v>
      </c>
      <c r="F1416" s="6">
        <v>0</v>
      </c>
      <c r="G1416" s="6">
        <v>0</v>
      </c>
      <c r="H1416" s="6">
        <v>0</v>
      </c>
      <c r="I1416" t="s">
        <v>506</v>
      </c>
    </row>
    <row r="1417" spans="1:11">
      <c r="A1417" s="6">
        <v>0</v>
      </c>
      <c r="B1417" s="6">
        <v>0</v>
      </c>
      <c r="C1417" s="6">
        <v>0</v>
      </c>
      <c r="D1417" s="6">
        <v>0</v>
      </c>
      <c r="E1417" s="6">
        <v>0</v>
      </c>
      <c r="F1417" s="6">
        <v>0</v>
      </c>
      <c r="G1417" s="6">
        <v>0</v>
      </c>
      <c r="H1417" s="6">
        <v>0</v>
      </c>
      <c r="I1417" t="s">
        <v>507</v>
      </c>
    </row>
    <row r="1418" spans="1:11">
      <c r="A1418" s="6">
        <v>0</v>
      </c>
      <c r="B1418" s="6">
        <v>0</v>
      </c>
      <c r="C1418" s="6">
        <v>0</v>
      </c>
      <c r="D1418" s="6">
        <v>0</v>
      </c>
      <c r="E1418" s="6">
        <v>0</v>
      </c>
      <c r="F1418" s="6">
        <v>0</v>
      </c>
      <c r="G1418" s="6">
        <v>0</v>
      </c>
      <c r="H1418" s="6">
        <v>0</v>
      </c>
      <c r="I1418" t="s">
        <v>508</v>
      </c>
    </row>
    <row r="1419" spans="1:11">
      <c r="A1419" s="6">
        <v>0</v>
      </c>
      <c r="B1419" s="6">
        <v>0</v>
      </c>
      <c r="C1419" s="6">
        <v>0</v>
      </c>
      <c r="D1419" s="6">
        <v>0</v>
      </c>
      <c r="E1419" s="6">
        <v>0</v>
      </c>
      <c r="F1419" s="6">
        <v>0</v>
      </c>
      <c r="G1419" s="6">
        <v>0</v>
      </c>
      <c r="H1419" s="6">
        <v>0</v>
      </c>
      <c r="I1419" t="s">
        <v>509</v>
      </c>
    </row>
    <row r="1420" spans="1:11">
      <c r="A1420" s="6">
        <v>0</v>
      </c>
      <c r="B1420" s="6">
        <v>0</v>
      </c>
      <c r="C1420" s="6">
        <v>0</v>
      </c>
      <c r="D1420" s="6">
        <v>0</v>
      </c>
      <c r="E1420" s="6">
        <v>0</v>
      </c>
      <c r="F1420" s="6">
        <v>0</v>
      </c>
      <c r="G1420" s="6">
        <v>0</v>
      </c>
      <c r="H1420" s="6">
        <v>0</v>
      </c>
      <c r="I1420" t="s">
        <v>510</v>
      </c>
    </row>
    <row r="1421" spans="1:11">
      <c r="A1421" s="2" t="s">
        <v>32</v>
      </c>
      <c r="B1421" s="81"/>
      <c r="F1421" s="38"/>
      <c r="G1421" s="38"/>
    </row>
    <row r="1422" spans="1:11">
      <c r="A1422" s="2" t="s">
        <v>32</v>
      </c>
      <c r="B1422"/>
      <c r="F1422" s="38"/>
      <c r="G1422" s="38"/>
      <c r="I1422" s="2" t="s">
        <v>499</v>
      </c>
      <c r="J1422" s="2">
        <f>J1408+1</f>
        <v>16</v>
      </c>
      <c r="K1422" s="2" t="s">
        <v>511</v>
      </c>
    </row>
    <row r="1423" spans="1:11">
      <c r="A1423" s="1" t="s">
        <v>26</v>
      </c>
      <c r="B1423" s="2" t="s">
        <v>1428</v>
      </c>
      <c r="F1423" s="38"/>
      <c r="G1423" s="38"/>
    </row>
    <row r="1424" spans="1:11">
      <c r="A1424" s="6">
        <v>0</v>
      </c>
      <c r="B1424" s="6">
        <v>0</v>
      </c>
      <c r="C1424" s="6">
        <v>0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  <c r="I1424" t="s">
        <v>500</v>
      </c>
    </row>
    <row r="1425" spans="1:11">
      <c r="A1425" s="6">
        <v>0</v>
      </c>
      <c r="B1425" s="6" t="s">
        <v>1427</v>
      </c>
      <c r="C1425" s="6">
        <v>0</v>
      </c>
      <c r="D1425" s="6">
        <v>0</v>
      </c>
      <c r="E1425" s="6">
        <v>0</v>
      </c>
      <c r="F1425" s="6">
        <v>0</v>
      </c>
      <c r="G1425" s="6">
        <v>0</v>
      </c>
      <c r="H1425" s="6">
        <v>0</v>
      </c>
      <c r="I1425" t="s">
        <v>501</v>
      </c>
    </row>
    <row r="1426" spans="1:11">
      <c r="A1426" s="6">
        <v>0</v>
      </c>
      <c r="B1426" s="6">
        <v>0</v>
      </c>
      <c r="C1426" s="6">
        <v>0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  <c r="I1426" t="s">
        <v>502</v>
      </c>
    </row>
    <row r="1427" spans="1:11">
      <c r="A1427" s="6">
        <v>0</v>
      </c>
      <c r="B1427" s="6">
        <v>0</v>
      </c>
      <c r="C1427" s="6">
        <v>0</v>
      </c>
      <c r="D1427" s="6">
        <v>0</v>
      </c>
      <c r="E1427" s="6">
        <v>0</v>
      </c>
      <c r="F1427" s="6">
        <v>0</v>
      </c>
      <c r="G1427" s="6">
        <v>0</v>
      </c>
      <c r="H1427" s="6">
        <v>0</v>
      </c>
      <c r="I1427" t="s">
        <v>503</v>
      </c>
    </row>
    <row r="1428" spans="1:11">
      <c r="A1428" s="6">
        <v>0</v>
      </c>
      <c r="B1428" s="6">
        <v>0</v>
      </c>
      <c r="C1428" s="6">
        <v>0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  <c r="I1428" t="s">
        <v>504</v>
      </c>
    </row>
    <row r="1429" spans="1:11">
      <c r="A1429" s="6">
        <v>0</v>
      </c>
      <c r="B1429" s="6">
        <v>0</v>
      </c>
      <c r="C1429" s="6">
        <v>0</v>
      </c>
      <c r="D1429" s="6">
        <v>0</v>
      </c>
      <c r="E1429" s="6">
        <v>0</v>
      </c>
      <c r="F1429" s="6">
        <v>0</v>
      </c>
      <c r="G1429" s="6">
        <v>0</v>
      </c>
      <c r="H1429" s="6">
        <v>0</v>
      </c>
      <c r="I1429" t="s">
        <v>505</v>
      </c>
    </row>
    <row r="1430" spans="1:11">
      <c r="A1430" s="6">
        <v>0</v>
      </c>
      <c r="B1430" s="6">
        <v>0</v>
      </c>
      <c r="C1430" s="6">
        <v>0</v>
      </c>
      <c r="D1430" s="6">
        <v>0</v>
      </c>
      <c r="E1430" s="6">
        <v>0</v>
      </c>
      <c r="F1430" s="6">
        <v>0</v>
      </c>
      <c r="G1430" s="6">
        <v>0</v>
      </c>
      <c r="H1430" s="6">
        <v>0</v>
      </c>
      <c r="I1430" t="s">
        <v>506</v>
      </c>
    </row>
    <row r="1431" spans="1:11">
      <c r="A1431" s="6">
        <v>0</v>
      </c>
      <c r="B1431" s="6">
        <v>0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t="s">
        <v>507</v>
      </c>
    </row>
    <row r="1432" spans="1:11">
      <c r="A1432" s="6">
        <v>0</v>
      </c>
      <c r="B1432" s="6">
        <v>0</v>
      </c>
      <c r="C1432" s="6">
        <v>0</v>
      </c>
      <c r="D1432" s="6">
        <v>0</v>
      </c>
      <c r="E1432" s="6">
        <v>0</v>
      </c>
      <c r="F1432" s="6">
        <v>0</v>
      </c>
      <c r="G1432" s="6">
        <v>0</v>
      </c>
      <c r="H1432" s="6">
        <v>0</v>
      </c>
      <c r="I1432" t="s">
        <v>508</v>
      </c>
    </row>
    <row r="1433" spans="1:11">
      <c r="A1433" s="6">
        <v>0</v>
      </c>
      <c r="B1433" s="6">
        <v>0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t="s">
        <v>509</v>
      </c>
    </row>
    <row r="1434" spans="1:11">
      <c r="A1434" s="6">
        <v>0</v>
      </c>
      <c r="B1434" s="6">
        <v>0</v>
      </c>
      <c r="C1434" s="6">
        <v>0</v>
      </c>
      <c r="D1434" s="6">
        <v>0</v>
      </c>
      <c r="E1434" s="6">
        <v>0</v>
      </c>
      <c r="F1434" s="6">
        <v>0</v>
      </c>
      <c r="G1434" s="6">
        <v>0</v>
      </c>
      <c r="H1434" s="6">
        <v>0</v>
      </c>
      <c r="I1434" t="s">
        <v>510</v>
      </c>
    </row>
    <row r="1435" spans="1:11">
      <c r="A1435" s="2" t="s">
        <v>32</v>
      </c>
      <c r="B1435" s="81"/>
      <c r="F1435" s="38"/>
      <c r="G1435" s="38"/>
    </row>
    <row r="1436" spans="1:11">
      <c r="A1436" s="2" t="s">
        <v>32</v>
      </c>
      <c r="B1436"/>
      <c r="F1436" s="38"/>
      <c r="G1436" s="38"/>
      <c r="I1436" s="2" t="s">
        <v>499</v>
      </c>
      <c r="J1436" s="2">
        <f>J1422+1</f>
        <v>17</v>
      </c>
      <c r="K1436" s="2" t="s">
        <v>511</v>
      </c>
    </row>
    <row r="1437" spans="1:11">
      <c r="A1437" s="1" t="s">
        <v>26</v>
      </c>
      <c r="B1437" s="2" t="s">
        <v>1428</v>
      </c>
      <c r="F1437" s="38"/>
      <c r="G1437" s="38"/>
    </row>
    <row r="1438" spans="1:11">
      <c r="A1438" s="6">
        <v>0</v>
      </c>
      <c r="B1438" s="6">
        <v>0</v>
      </c>
      <c r="C1438" s="6">
        <v>0</v>
      </c>
      <c r="D1438" s="6">
        <v>0</v>
      </c>
      <c r="E1438" s="6">
        <v>0</v>
      </c>
      <c r="F1438" s="6">
        <v>0</v>
      </c>
      <c r="G1438" s="6">
        <v>0</v>
      </c>
      <c r="H1438" s="6">
        <v>0</v>
      </c>
      <c r="I1438" t="s">
        <v>500</v>
      </c>
    </row>
    <row r="1439" spans="1:11">
      <c r="A1439" s="6">
        <v>0</v>
      </c>
      <c r="B1439" s="6">
        <v>0</v>
      </c>
      <c r="C1439" s="6">
        <v>0</v>
      </c>
      <c r="D1439" s="6">
        <v>0</v>
      </c>
      <c r="E1439" s="6">
        <v>0</v>
      </c>
      <c r="F1439" s="6">
        <v>0</v>
      </c>
      <c r="G1439" s="6">
        <v>0</v>
      </c>
      <c r="H1439" s="6">
        <v>0</v>
      </c>
      <c r="I1439" t="s">
        <v>501</v>
      </c>
    </row>
    <row r="1440" spans="1:11">
      <c r="A1440" s="6">
        <v>0</v>
      </c>
      <c r="B1440" s="6">
        <v>0</v>
      </c>
      <c r="C1440" s="6">
        <v>0</v>
      </c>
      <c r="D1440" s="6">
        <v>0</v>
      </c>
      <c r="E1440" s="6">
        <v>0</v>
      </c>
      <c r="F1440" s="6">
        <v>0</v>
      </c>
      <c r="G1440" s="6">
        <v>0</v>
      </c>
      <c r="H1440" s="6">
        <v>0</v>
      </c>
      <c r="I1440" t="s">
        <v>502</v>
      </c>
    </row>
    <row r="1441" spans="1:11">
      <c r="A1441" s="6">
        <v>0</v>
      </c>
      <c r="B1441" s="6">
        <v>0</v>
      </c>
      <c r="C1441" s="6">
        <v>0</v>
      </c>
      <c r="D1441" s="6">
        <v>0</v>
      </c>
      <c r="E1441" s="6">
        <v>0</v>
      </c>
      <c r="F1441" s="6">
        <v>0</v>
      </c>
      <c r="G1441" s="6">
        <v>0</v>
      </c>
      <c r="H1441" s="6">
        <v>0</v>
      </c>
      <c r="I1441" t="s">
        <v>503</v>
      </c>
    </row>
    <row r="1442" spans="1:11">
      <c r="A1442" s="6">
        <v>0</v>
      </c>
      <c r="B1442" s="6">
        <v>0</v>
      </c>
      <c r="C1442" s="6">
        <v>0</v>
      </c>
      <c r="D1442" s="6">
        <v>0</v>
      </c>
      <c r="E1442" s="6">
        <v>0</v>
      </c>
      <c r="F1442" s="6">
        <v>0</v>
      </c>
      <c r="G1442" s="6">
        <v>0</v>
      </c>
      <c r="H1442" s="6">
        <v>0</v>
      </c>
      <c r="I1442" t="s">
        <v>504</v>
      </c>
    </row>
    <row r="1443" spans="1:11">
      <c r="A1443" s="6">
        <v>0</v>
      </c>
      <c r="B1443" s="6">
        <v>0</v>
      </c>
      <c r="C1443" s="6">
        <v>0</v>
      </c>
      <c r="D1443" s="6">
        <v>0</v>
      </c>
      <c r="E1443" s="6">
        <v>0</v>
      </c>
      <c r="F1443" s="6">
        <v>0</v>
      </c>
      <c r="G1443" s="6">
        <v>0</v>
      </c>
      <c r="H1443" s="6">
        <v>0</v>
      </c>
      <c r="I1443" t="s">
        <v>505</v>
      </c>
    </row>
    <row r="1444" spans="1:11">
      <c r="A1444" s="6">
        <v>0</v>
      </c>
      <c r="B1444" s="6">
        <v>0</v>
      </c>
      <c r="C1444" s="6">
        <v>0</v>
      </c>
      <c r="D1444" s="6">
        <v>0</v>
      </c>
      <c r="E1444" s="6">
        <v>0</v>
      </c>
      <c r="F1444" s="6">
        <v>0</v>
      </c>
      <c r="G1444" s="6">
        <v>0</v>
      </c>
      <c r="H1444" s="6">
        <v>0</v>
      </c>
      <c r="I1444" t="s">
        <v>506</v>
      </c>
    </row>
    <row r="1445" spans="1:11">
      <c r="A1445" s="6">
        <v>0</v>
      </c>
      <c r="B1445" s="6">
        <v>0</v>
      </c>
      <c r="C1445" s="6">
        <v>0</v>
      </c>
      <c r="D1445" s="6">
        <v>0</v>
      </c>
      <c r="E1445" s="6">
        <v>0</v>
      </c>
      <c r="F1445" s="6">
        <v>0</v>
      </c>
      <c r="G1445" s="6">
        <v>0</v>
      </c>
      <c r="H1445" s="6">
        <v>0</v>
      </c>
      <c r="I1445" t="s">
        <v>507</v>
      </c>
    </row>
    <row r="1446" spans="1:11">
      <c r="A1446" s="6">
        <v>0</v>
      </c>
      <c r="B1446" s="6">
        <v>0</v>
      </c>
      <c r="C1446" s="6">
        <v>0</v>
      </c>
      <c r="D1446" s="6">
        <v>0</v>
      </c>
      <c r="E1446" s="6">
        <v>0</v>
      </c>
      <c r="F1446" s="6">
        <v>0</v>
      </c>
      <c r="G1446" s="6">
        <v>0</v>
      </c>
      <c r="H1446" s="6">
        <v>0</v>
      </c>
      <c r="I1446" t="s">
        <v>508</v>
      </c>
    </row>
    <row r="1447" spans="1:11">
      <c r="A1447" s="6">
        <v>0</v>
      </c>
      <c r="B1447" s="6">
        <v>0</v>
      </c>
      <c r="C1447" s="6">
        <v>0</v>
      </c>
      <c r="D1447" s="6">
        <v>0</v>
      </c>
      <c r="E1447" s="6">
        <v>0</v>
      </c>
      <c r="F1447" s="6">
        <v>0</v>
      </c>
      <c r="G1447" s="6">
        <v>0</v>
      </c>
      <c r="H1447" s="6">
        <v>0</v>
      </c>
      <c r="I1447" t="s">
        <v>509</v>
      </c>
    </row>
    <row r="1448" spans="1:11">
      <c r="A1448" s="6">
        <v>0</v>
      </c>
      <c r="B1448" s="6">
        <v>0</v>
      </c>
      <c r="C1448" s="6">
        <v>0</v>
      </c>
      <c r="D1448" s="6">
        <v>0</v>
      </c>
      <c r="E1448" s="6">
        <v>0</v>
      </c>
      <c r="F1448" s="6">
        <v>0</v>
      </c>
      <c r="G1448" s="6">
        <v>0</v>
      </c>
      <c r="H1448" s="6">
        <v>0</v>
      </c>
      <c r="I1448" t="s">
        <v>510</v>
      </c>
    </row>
    <row r="1449" spans="1:11">
      <c r="A1449" s="2" t="s">
        <v>32</v>
      </c>
      <c r="B1449" s="81"/>
      <c r="F1449" s="38"/>
      <c r="G1449" s="38"/>
    </row>
    <row r="1450" spans="1:11">
      <c r="A1450" s="2" t="s">
        <v>32</v>
      </c>
      <c r="B1450"/>
      <c r="F1450" s="38"/>
      <c r="G1450" s="38"/>
      <c r="I1450" s="2" t="s">
        <v>499</v>
      </c>
      <c r="J1450" s="2">
        <f>J1436+1</f>
        <v>18</v>
      </c>
      <c r="K1450" s="2" t="s">
        <v>511</v>
      </c>
    </row>
    <row r="1451" spans="1:11">
      <c r="A1451" s="1" t="s">
        <v>26</v>
      </c>
      <c r="B1451" s="2" t="s">
        <v>1428</v>
      </c>
      <c r="F1451" s="38"/>
      <c r="G1451" s="38"/>
    </row>
    <row r="1452" spans="1:11">
      <c r="A1452" s="6">
        <v>0</v>
      </c>
      <c r="B1452" s="6">
        <v>0</v>
      </c>
      <c r="C1452" s="6">
        <v>0</v>
      </c>
      <c r="D1452" s="6">
        <v>0</v>
      </c>
      <c r="E1452" s="6">
        <v>0</v>
      </c>
      <c r="F1452" s="6">
        <v>0</v>
      </c>
      <c r="G1452" s="6">
        <v>0</v>
      </c>
      <c r="H1452" s="6">
        <v>0</v>
      </c>
      <c r="I1452" t="s">
        <v>500</v>
      </c>
    </row>
    <row r="1453" spans="1:11">
      <c r="A1453" s="6">
        <v>0</v>
      </c>
      <c r="B1453" s="6">
        <v>0</v>
      </c>
      <c r="C1453" s="6">
        <v>0</v>
      </c>
      <c r="D1453" s="6" t="s">
        <v>1427</v>
      </c>
      <c r="E1453" s="6">
        <v>0</v>
      </c>
      <c r="F1453" s="6">
        <v>0</v>
      </c>
      <c r="G1453" s="6">
        <v>0</v>
      </c>
      <c r="H1453" s="6">
        <v>0</v>
      </c>
      <c r="I1453" t="s">
        <v>501</v>
      </c>
    </row>
    <row r="1454" spans="1:11">
      <c r="A1454" s="6">
        <v>0</v>
      </c>
      <c r="B1454" s="6">
        <v>0</v>
      </c>
      <c r="C1454" s="6">
        <v>0</v>
      </c>
      <c r="D1454" s="6">
        <v>0</v>
      </c>
      <c r="E1454" s="6">
        <v>0</v>
      </c>
      <c r="F1454" s="6">
        <v>0</v>
      </c>
      <c r="G1454" s="6">
        <v>0</v>
      </c>
      <c r="H1454" s="6">
        <v>0</v>
      </c>
      <c r="I1454" t="s">
        <v>502</v>
      </c>
    </row>
    <row r="1455" spans="1:11">
      <c r="A1455" s="6">
        <v>0</v>
      </c>
      <c r="B1455" s="6">
        <v>0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  <c r="H1455" s="6">
        <v>0</v>
      </c>
      <c r="I1455" t="s">
        <v>503</v>
      </c>
    </row>
    <row r="1456" spans="1:11">
      <c r="A1456" s="6">
        <v>0</v>
      </c>
      <c r="B1456" s="6">
        <v>0</v>
      </c>
      <c r="C1456" s="6">
        <v>0</v>
      </c>
      <c r="D1456" s="6">
        <v>0</v>
      </c>
      <c r="E1456" s="6">
        <v>0</v>
      </c>
      <c r="F1456" s="6">
        <v>0</v>
      </c>
      <c r="G1456" s="6">
        <v>0</v>
      </c>
      <c r="H1456" s="6">
        <v>0</v>
      </c>
      <c r="I1456" t="s">
        <v>504</v>
      </c>
    </row>
    <row r="1457" spans="1:11">
      <c r="A1457" s="6">
        <v>0</v>
      </c>
      <c r="B1457" s="6">
        <v>0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t="s">
        <v>505</v>
      </c>
    </row>
    <row r="1458" spans="1:11">
      <c r="A1458" s="6">
        <v>0</v>
      </c>
      <c r="B1458" s="6">
        <v>0</v>
      </c>
      <c r="C1458" s="6">
        <v>0</v>
      </c>
      <c r="D1458" s="6">
        <v>0</v>
      </c>
      <c r="E1458" s="6">
        <v>0</v>
      </c>
      <c r="F1458" s="6">
        <v>0</v>
      </c>
      <c r="G1458" s="6">
        <v>0</v>
      </c>
      <c r="H1458" s="6">
        <v>0</v>
      </c>
      <c r="I1458" t="s">
        <v>506</v>
      </c>
    </row>
    <row r="1459" spans="1:11">
      <c r="A1459" s="6">
        <v>0</v>
      </c>
      <c r="B1459" s="6">
        <v>0</v>
      </c>
      <c r="C1459" s="6">
        <v>0</v>
      </c>
      <c r="D1459" s="6">
        <v>0</v>
      </c>
      <c r="E1459" s="6">
        <v>0</v>
      </c>
      <c r="F1459" s="6">
        <v>0</v>
      </c>
      <c r="G1459" s="6">
        <v>0</v>
      </c>
      <c r="H1459" s="6">
        <v>0</v>
      </c>
      <c r="I1459" t="s">
        <v>507</v>
      </c>
    </row>
    <row r="1460" spans="1:11">
      <c r="A1460" s="6">
        <v>0</v>
      </c>
      <c r="B1460" s="6">
        <v>0</v>
      </c>
      <c r="C1460" s="6">
        <v>0</v>
      </c>
      <c r="D1460" s="6">
        <v>0</v>
      </c>
      <c r="E1460" s="6">
        <v>0</v>
      </c>
      <c r="F1460" s="6">
        <v>0</v>
      </c>
      <c r="G1460" s="6">
        <v>0</v>
      </c>
      <c r="H1460" s="6">
        <v>0</v>
      </c>
      <c r="I1460" t="s">
        <v>508</v>
      </c>
    </row>
    <row r="1461" spans="1:11">
      <c r="A1461" s="6">
        <v>0</v>
      </c>
      <c r="B1461" s="6">
        <v>0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  <c r="I1461" t="s">
        <v>509</v>
      </c>
    </row>
    <row r="1462" spans="1:11">
      <c r="A1462" s="6">
        <v>0</v>
      </c>
      <c r="B1462" s="6">
        <v>0</v>
      </c>
      <c r="C1462" s="6">
        <v>0</v>
      </c>
      <c r="D1462" s="6">
        <v>0</v>
      </c>
      <c r="E1462" s="6">
        <v>0</v>
      </c>
      <c r="F1462" s="6">
        <v>0</v>
      </c>
      <c r="G1462" s="6">
        <v>0</v>
      </c>
      <c r="H1462" s="6">
        <v>0</v>
      </c>
      <c r="I1462" t="s">
        <v>510</v>
      </c>
    </row>
    <row r="1463" spans="1:11">
      <c r="A1463" s="2" t="s">
        <v>32</v>
      </c>
      <c r="B1463" s="81"/>
      <c r="F1463" s="38"/>
      <c r="G1463" s="38"/>
    </row>
    <row r="1464" spans="1:11">
      <c r="A1464" s="2" t="s">
        <v>32</v>
      </c>
      <c r="B1464"/>
      <c r="F1464" s="38"/>
      <c r="G1464" s="38"/>
      <c r="I1464" s="2" t="s">
        <v>499</v>
      </c>
      <c r="J1464" s="2">
        <f>J1450+1</f>
        <v>19</v>
      </c>
      <c r="K1464" s="2" t="s">
        <v>511</v>
      </c>
    </row>
    <row r="1465" spans="1:11">
      <c r="A1465" s="1" t="s">
        <v>26</v>
      </c>
      <c r="B1465" s="2" t="s">
        <v>1428</v>
      </c>
      <c r="F1465" s="38"/>
      <c r="G1465" s="38"/>
    </row>
    <row r="1466" spans="1:11">
      <c r="A1466" s="6">
        <v>0</v>
      </c>
      <c r="B1466" s="6">
        <v>0</v>
      </c>
      <c r="C1466" s="6">
        <v>0</v>
      </c>
      <c r="D1466" s="6">
        <v>0</v>
      </c>
      <c r="E1466" s="6">
        <v>0</v>
      </c>
      <c r="F1466" s="6">
        <v>0</v>
      </c>
      <c r="G1466" s="6">
        <v>0</v>
      </c>
      <c r="H1466" s="6">
        <v>0</v>
      </c>
      <c r="I1466" t="s">
        <v>500</v>
      </c>
    </row>
    <row r="1467" spans="1:11">
      <c r="A1467" s="6">
        <v>0</v>
      </c>
      <c r="B1467" s="6">
        <v>0</v>
      </c>
      <c r="C1467" s="6">
        <v>0</v>
      </c>
      <c r="D1467" s="6">
        <v>0</v>
      </c>
      <c r="E1467" s="6">
        <v>0</v>
      </c>
      <c r="F1467" s="6">
        <v>0</v>
      </c>
      <c r="G1467" s="6">
        <v>0</v>
      </c>
      <c r="H1467" s="6">
        <v>0</v>
      </c>
      <c r="I1467" t="s">
        <v>501</v>
      </c>
    </row>
    <row r="1468" spans="1:11">
      <c r="A1468" s="6">
        <v>0</v>
      </c>
      <c r="B1468" s="6">
        <v>0</v>
      </c>
      <c r="C1468" s="6">
        <v>0</v>
      </c>
      <c r="D1468" s="6">
        <v>0</v>
      </c>
      <c r="E1468" s="6">
        <v>0</v>
      </c>
      <c r="F1468" s="6">
        <v>0</v>
      </c>
      <c r="G1468" s="6">
        <v>0</v>
      </c>
      <c r="H1468" s="6">
        <v>0</v>
      </c>
      <c r="I1468" t="s">
        <v>502</v>
      </c>
    </row>
    <row r="1469" spans="1:11">
      <c r="A1469" s="6">
        <v>0</v>
      </c>
      <c r="B1469" s="6">
        <v>0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  <c r="I1469" t="s">
        <v>503</v>
      </c>
    </row>
    <row r="1470" spans="1:11">
      <c r="A1470" s="6">
        <v>0</v>
      </c>
      <c r="B1470" s="6">
        <v>0</v>
      </c>
      <c r="C1470" s="6">
        <v>0</v>
      </c>
      <c r="D1470" s="6">
        <v>0</v>
      </c>
      <c r="E1470" s="6">
        <v>0</v>
      </c>
      <c r="F1470" s="6">
        <v>0</v>
      </c>
      <c r="G1470" s="6">
        <v>0</v>
      </c>
      <c r="H1470" s="6">
        <v>0</v>
      </c>
      <c r="I1470" t="s">
        <v>504</v>
      </c>
    </row>
    <row r="1471" spans="1:11">
      <c r="A1471" s="6">
        <v>0</v>
      </c>
      <c r="B1471" s="6">
        <v>0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t="s">
        <v>505</v>
      </c>
    </row>
    <row r="1472" spans="1:11">
      <c r="A1472" s="6">
        <v>0</v>
      </c>
      <c r="B1472" s="6">
        <v>0</v>
      </c>
      <c r="C1472" s="6">
        <v>0</v>
      </c>
      <c r="D1472" s="6">
        <v>0</v>
      </c>
      <c r="E1472" s="6">
        <v>0</v>
      </c>
      <c r="F1472" s="6">
        <v>0</v>
      </c>
      <c r="G1472" s="6">
        <v>0</v>
      </c>
      <c r="H1472" s="6">
        <v>0</v>
      </c>
      <c r="I1472" t="s">
        <v>506</v>
      </c>
    </row>
    <row r="1473" spans="1:11">
      <c r="A1473" s="6">
        <v>0</v>
      </c>
      <c r="B1473" s="6">
        <v>0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t="s">
        <v>507</v>
      </c>
    </row>
    <row r="1474" spans="1:11">
      <c r="A1474" s="6">
        <v>0</v>
      </c>
      <c r="B1474" s="6">
        <v>0</v>
      </c>
      <c r="C1474" s="6">
        <v>0</v>
      </c>
      <c r="D1474" s="6">
        <v>0</v>
      </c>
      <c r="E1474" s="6">
        <v>0</v>
      </c>
      <c r="F1474" s="6">
        <v>0</v>
      </c>
      <c r="G1474" s="6">
        <v>0</v>
      </c>
      <c r="H1474" s="6">
        <v>0</v>
      </c>
      <c r="I1474" t="s">
        <v>508</v>
      </c>
    </row>
    <row r="1475" spans="1:11">
      <c r="A1475" s="6">
        <v>0</v>
      </c>
      <c r="B1475" s="6">
        <v>0</v>
      </c>
      <c r="C1475" s="6">
        <v>0</v>
      </c>
      <c r="D1475" s="6">
        <v>0</v>
      </c>
      <c r="E1475" s="6">
        <v>0</v>
      </c>
      <c r="F1475" s="6">
        <v>0</v>
      </c>
      <c r="G1475" s="6">
        <v>0</v>
      </c>
      <c r="H1475" s="6">
        <v>0</v>
      </c>
      <c r="I1475" t="s">
        <v>509</v>
      </c>
    </row>
    <row r="1476" spans="1:11">
      <c r="A1476" s="6">
        <v>0</v>
      </c>
      <c r="B1476" s="6">
        <v>0</v>
      </c>
      <c r="C1476" s="6">
        <v>0</v>
      </c>
      <c r="D1476" s="6">
        <v>0</v>
      </c>
      <c r="E1476" s="6">
        <v>0</v>
      </c>
      <c r="F1476" s="6">
        <v>0</v>
      </c>
      <c r="G1476" s="6">
        <v>0</v>
      </c>
      <c r="H1476" s="6">
        <v>0</v>
      </c>
      <c r="I1476" t="s">
        <v>510</v>
      </c>
    </row>
    <row r="1477" spans="1:11">
      <c r="A1477" s="2" t="s">
        <v>32</v>
      </c>
      <c r="B1477" s="81"/>
      <c r="F1477" s="38"/>
      <c r="G1477" s="38"/>
    </row>
    <row r="1478" spans="1:11">
      <c r="A1478" s="2" t="s">
        <v>32</v>
      </c>
      <c r="B1478"/>
      <c r="F1478" s="38"/>
      <c r="G1478" s="38"/>
      <c r="I1478" s="2" t="s">
        <v>499</v>
      </c>
      <c r="J1478" s="2">
        <f>J1464+1</f>
        <v>20</v>
      </c>
      <c r="K1478" s="2" t="s">
        <v>511</v>
      </c>
    </row>
    <row r="1479" spans="1:11">
      <c r="A1479" s="1" t="s">
        <v>26</v>
      </c>
      <c r="B1479" s="2" t="s">
        <v>1428</v>
      </c>
      <c r="F1479" s="38"/>
      <c r="G1479" s="38"/>
    </row>
    <row r="1480" spans="1:11">
      <c r="A1480" s="6">
        <v>0</v>
      </c>
      <c r="B1480" s="6">
        <v>0</v>
      </c>
      <c r="C1480" s="6">
        <v>0</v>
      </c>
      <c r="D1480" s="6">
        <v>0</v>
      </c>
      <c r="E1480" s="6">
        <v>0</v>
      </c>
      <c r="F1480" s="6">
        <v>0</v>
      </c>
      <c r="G1480" s="6">
        <v>0</v>
      </c>
      <c r="H1480" s="6">
        <v>0</v>
      </c>
      <c r="I1480" t="s">
        <v>500</v>
      </c>
    </row>
    <row r="1481" spans="1:11">
      <c r="A1481" s="6">
        <v>0</v>
      </c>
      <c r="B1481" s="6">
        <v>0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  <c r="I1481" t="s">
        <v>501</v>
      </c>
    </row>
    <row r="1482" spans="1:11">
      <c r="A1482" s="6">
        <v>0</v>
      </c>
      <c r="B1482" s="6">
        <v>0</v>
      </c>
      <c r="C1482" s="6">
        <v>0</v>
      </c>
      <c r="D1482" s="6">
        <v>0</v>
      </c>
      <c r="E1482" s="6">
        <v>0</v>
      </c>
      <c r="F1482" s="6">
        <v>0</v>
      </c>
      <c r="G1482" s="6">
        <v>0</v>
      </c>
      <c r="H1482" s="6">
        <v>0</v>
      </c>
      <c r="I1482" t="s">
        <v>502</v>
      </c>
    </row>
    <row r="1483" spans="1:11">
      <c r="A1483" s="6">
        <v>0</v>
      </c>
      <c r="B1483" s="6">
        <v>0</v>
      </c>
      <c r="C1483" s="6">
        <v>0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  <c r="I1483" t="s">
        <v>503</v>
      </c>
    </row>
    <row r="1484" spans="1:11">
      <c r="A1484" s="6">
        <v>0</v>
      </c>
      <c r="B1484" s="6">
        <v>0</v>
      </c>
      <c r="C1484" s="6">
        <v>0</v>
      </c>
      <c r="D1484" s="6">
        <v>0</v>
      </c>
      <c r="E1484" s="6">
        <v>0</v>
      </c>
      <c r="F1484" s="6">
        <v>0</v>
      </c>
      <c r="G1484" s="6">
        <v>0</v>
      </c>
      <c r="H1484" s="6">
        <v>0</v>
      </c>
      <c r="I1484" t="s">
        <v>504</v>
      </c>
    </row>
    <row r="1485" spans="1:11">
      <c r="A1485" s="6">
        <v>0</v>
      </c>
      <c r="B1485" s="6">
        <v>0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t="s">
        <v>505</v>
      </c>
    </row>
    <row r="1486" spans="1:11">
      <c r="A1486" s="6">
        <v>0</v>
      </c>
      <c r="B1486" s="6">
        <v>0</v>
      </c>
      <c r="C1486" s="6">
        <v>0</v>
      </c>
      <c r="D1486" s="6">
        <v>0</v>
      </c>
      <c r="E1486" s="6">
        <v>0</v>
      </c>
      <c r="F1486" s="6">
        <v>0</v>
      </c>
      <c r="G1486" s="6">
        <v>0</v>
      </c>
      <c r="H1486" s="6">
        <v>0</v>
      </c>
      <c r="I1486" t="s">
        <v>506</v>
      </c>
    </row>
    <row r="1487" spans="1:11">
      <c r="A1487" s="6">
        <v>0</v>
      </c>
      <c r="B1487" s="6">
        <v>0</v>
      </c>
      <c r="C1487" s="6">
        <v>0</v>
      </c>
      <c r="D1487" s="6">
        <v>0</v>
      </c>
      <c r="E1487" s="6">
        <v>0</v>
      </c>
      <c r="F1487" s="6">
        <v>0</v>
      </c>
      <c r="G1487" s="6">
        <v>0</v>
      </c>
      <c r="H1487" s="6">
        <v>0</v>
      </c>
      <c r="I1487" t="s">
        <v>507</v>
      </c>
    </row>
    <row r="1488" spans="1:11">
      <c r="A1488" s="6">
        <v>0</v>
      </c>
      <c r="B1488" s="6">
        <v>0</v>
      </c>
      <c r="C1488" s="6">
        <v>0</v>
      </c>
      <c r="D1488" s="6">
        <v>0</v>
      </c>
      <c r="E1488" s="6">
        <v>0</v>
      </c>
      <c r="F1488" s="6">
        <v>0</v>
      </c>
      <c r="G1488" s="6">
        <v>0</v>
      </c>
      <c r="H1488" s="6">
        <v>0</v>
      </c>
      <c r="I1488" t="s">
        <v>508</v>
      </c>
    </row>
    <row r="1489" spans="1:11">
      <c r="A1489" s="6">
        <v>0</v>
      </c>
      <c r="B1489" s="6">
        <v>0</v>
      </c>
      <c r="C1489" s="6">
        <v>0</v>
      </c>
      <c r="D1489" s="6">
        <v>0</v>
      </c>
      <c r="E1489" s="6">
        <v>0</v>
      </c>
      <c r="F1489" s="6">
        <v>0</v>
      </c>
      <c r="G1489" s="6">
        <v>0</v>
      </c>
      <c r="H1489" s="6">
        <v>0</v>
      </c>
      <c r="I1489" t="s">
        <v>509</v>
      </c>
    </row>
    <row r="1490" spans="1:11">
      <c r="A1490" s="6">
        <v>0</v>
      </c>
      <c r="B1490" s="6">
        <v>0</v>
      </c>
      <c r="C1490" s="6">
        <v>0</v>
      </c>
      <c r="D1490" s="6">
        <v>0</v>
      </c>
      <c r="E1490" s="6">
        <v>0</v>
      </c>
      <c r="F1490" s="6">
        <v>0</v>
      </c>
      <c r="G1490" s="6">
        <v>0</v>
      </c>
      <c r="H1490" s="6">
        <v>0</v>
      </c>
      <c r="I1490" t="s">
        <v>510</v>
      </c>
    </row>
    <row r="1491" spans="1:11">
      <c r="A1491" s="2" t="s">
        <v>32</v>
      </c>
      <c r="B1491" s="81"/>
      <c r="F1491" s="38"/>
      <c r="G1491" s="38"/>
    </row>
    <row r="1492" spans="1:11">
      <c r="A1492" s="2" t="s">
        <v>32</v>
      </c>
      <c r="B1492"/>
      <c r="F1492" s="38"/>
      <c r="G1492" s="38"/>
      <c r="I1492" s="2" t="s">
        <v>499</v>
      </c>
      <c r="J1492" s="2">
        <f>J1478+1</f>
        <v>21</v>
      </c>
      <c r="K1492" s="2" t="s">
        <v>511</v>
      </c>
    </row>
    <row r="1493" spans="1:11">
      <c r="A1493" s="1" t="s">
        <v>26</v>
      </c>
      <c r="B1493" s="2" t="s">
        <v>1428</v>
      </c>
      <c r="F1493" s="38"/>
      <c r="G1493" s="38"/>
    </row>
    <row r="1494" spans="1:11">
      <c r="A1494" s="6">
        <v>0</v>
      </c>
      <c r="B1494" s="6">
        <v>0</v>
      </c>
      <c r="C1494" s="6">
        <v>0</v>
      </c>
      <c r="D1494" s="6">
        <v>0</v>
      </c>
      <c r="E1494" s="6">
        <v>0</v>
      </c>
      <c r="F1494" s="6">
        <v>0</v>
      </c>
      <c r="G1494" s="6">
        <v>0</v>
      </c>
      <c r="H1494" s="6">
        <v>0</v>
      </c>
      <c r="I1494" t="s">
        <v>500</v>
      </c>
    </row>
    <row r="1495" spans="1:11">
      <c r="A1495" s="6">
        <v>0</v>
      </c>
      <c r="B1495" s="6">
        <v>0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t="s">
        <v>501</v>
      </c>
    </row>
    <row r="1496" spans="1:11">
      <c r="A1496" s="6">
        <v>0</v>
      </c>
      <c r="B1496" s="6">
        <v>0</v>
      </c>
      <c r="C1496" s="6">
        <v>0</v>
      </c>
      <c r="D1496" s="6">
        <v>0</v>
      </c>
      <c r="E1496" s="6">
        <v>0</v>
      </c>
      <c r="F1496" s="6">
        <v>0</v>
      </c>
      <c r="G1496" s="6">
        <v>0</v>
      </c>
      <c r="H1496" s="6">
        <v>0</v>
      </c>
      <c r="I1496" t="s">
        <v>502</v>
      </c>
    </row>
    <row r="1497" spans="1:11">
      <c r="A1497" s="6">
        <v>0</v>
      </c>
      <c r="B1497" s="6">
        <v>0</v>
      </c>
      <c r="C1497" s="6">
        <v>0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t="s">
        <v>503</v>
      </c>
    </row>
    <row r="1498" spans="1:11">
      <c r="A1498" s="6">
        <v>0</v>
      </c>
      <c r="B1498" s="6">
        <v>0</v>
      </c>
      <c r="C1498" s="6">
        <v>0</v>
      </c>
      <c r="D1498" s="6">
        <v>0</v>
      </c>
      <c r="E1498" s="6">
        <v>0</v>
      </c>
      <c r="F1498" s="6">
        <v>0</v>
      </c>
      <c r="G1498" s="6">
        <v>0</v>
      </c>
      <c r="H1498" s="6">
        <v>0</v>
      </c>
      <c r="I1498" t="s">
        <v>504</v>
      </c>
    </row>
    <row r="1499" spans="1:11">
      <c r="A1499" s="6">
        <v>0</v>
      </c>
      <c r="B1499" s="6">
        <v>0</v>
      </c>
      <c r="C1499" s="6">
        <v>0</v>
      </c>
      <c r="D1499" s="6">
        <v>0</v>
      </c>
      <c r="E1499" s="6">
        <v>0</v>
      </c>
      <c r="F1499" s="6">
        <v>0</v>
      </c>
      <c r="G1499" s="6">
        <v>0</v>
      </c>
      <c r="H1499" s="6">
        <v>0</v>
      </c>
      <c r="I1499" t="s">
        <v>505</v>
      </c>
    </row>
    <row r="1500" spans="1:11">
      <c r="A1500" s="6">
        <v>0</v>
      </c>
      <c r="B1500" s="6">
        <v>0</v>
      </c>
      <c r="C1500" s="6">
        <v>0</v>
      </c>
      <c r="D1500" s="6">
        <v>0</v>
      </c>
      <c r="E1500" s="6">
        <v>0</v>
      </c>
      <c r="F1500" s="6">
        <v>0</v>
      </c>
      <c r="G1500" s="6">
        <v>0</v>
      </c>
      <c r="H1500" s="6">
        <v>0</v>
      </c>
      <c r="I1500" t="s">
        <v>506</v>
      </c>
    </row>
    <row r="1501" spans="1:11">
      <c r="A1501" s="6">
        <v>0</v>
      </c>
      <c r="B1501" s="6">
        <v>0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t="s">
        <v>507</v>
      </c>
    </row>
    <row r="1502" spans="1:11">
      <c r="A1502" s="6">
        <v>0</v>
      </c>
      <c r="B1502" s="6">
        <v>0</v>
      </c>
      <c r="C1502" s="6">
        <v>0</v>
      </c>
      <c r="D1502" s="6">
        <v>0</v>
      </c>
      <c r="E1502" s="6">
        <v>0</v>
      </c>
      <c r="F1502" s="6">
        <v>0</v>
      </c>
      <c r="G1502" s="6">
        <v>0</v>
      </c>
      <c r="H1502" s="6">
        <v>0</v>
      </c>
      <c r="I1502" t="s">
        <v>508</v>
      </c>
    </row>
    <row r="1503" spans="1:11">
      <c r="A1503" s="6">
        <v>0</v>
      </c>
      <c r="B1503" s="6">
        <v>0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t="s">
        <v>509</v>
      </c>
    </row>
    <row r="1504" spans="1:11">
      <c r="A1504" s="6">
        <v>0</v>
      </c>
      <c r="B1504" s="6">
        <v>0</v>
      </c>
      <c r="C1504" s="6">
        <v>0</v>
      </c>
      <c r="D1504" s="6">
        <v>0</v>
      </c>
      <c r="E1504" s="6">
        <v>0</v>
      </c>
      <c r="F1504" s="6">
        <v>0</v>
      </c>
      <c r="G1504" s="6">
        <v>0</v>
      </c>
      <c r="H1504" s="6">
        <v>0</v>
      </c>
      <c r="I1504" t="s">
        <v>510</v>
      </c>
    </row>
    <row r="1505" spans="1:11">
      <c r="A1505" s="2" t="s">
        <v>32</v>
      </c>
      <c r="B1505" s="81"/>
      <c r="F1505" s="38"/>
      <c r="G1505" s="38"/>
    </row>
    <row r="1506" spans="1:11">
      <c r="A1506" s="2" t="s">
        <v>32</v>
      </c>
      <c r="B1506"/>
      <c r="F1506" s="38"/>
      <c r="G1506" s="38"/>
      <c r="I1506" s="2" t="s">
        <v>499</v>
      </c>
      <c r="J1506" s="2">
        <f>J1492+1</f>
        <v>22</v>
      </c>
      <c r="K1506" s="2" t="s">
        <v>511</v>
      </c>
    </row>
    <row r="1507" spans="1:11">
      <c r="A1507" s="1" t="s">
        <v>26</v>
      </c>
      <c r="B1507" s="2" t="s">
        <v>1428</v>
      </c>
      <c r="F1507" s="38"/>
      <c r="G1507" s="38"/>
    </row>
    <row r="1508" spans="1:11">
      <c r="A1508" s="6">
        <v>0</v>
      </c>
      <c r="B1508" s="6">
        <v>0</v>
      </c>
      <c r="C1508" s="6">
        <v>0</v>
      </c>
      <c r="D1508" s="6">
        <v>0</v>
      </c>
      <c r="E1508" s="6">
        <v>0</v>
      </c>
      <c r="F1508" s="6">
        <v>0</v>
      </c>
      <c r="G1508" s="6">
        <v>0</v>
      </c>
      <c r="H1508" s="6">
        <v>0</v>
      </c>
      <c r="I1508" t="s">
        <v>500</v>
      </c>
    </row>
    <row r="1509" spans="1:11">
      <c r="A1509" s="6">
        <v>0</v>
      </c>
      <c r="B1509" s="6">
        <v>0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t="s">
        <v>501</v>
      </c>
    </row>
    <row r="1510" spans="1:11">
      <c r="A1510" s="6">
        <v>0</v>
      </c>
      <c r="B1510" s="6">
        <v>0</v>
      </c>
      <c r="C1510" s="6">
        <v>0</v>
      </c>
      <c r="D1510" s="6">
        <v>0</v>
      </c>
      <c r="E1510" s="6">
        <v>0</v>
      </c>
      <c r="F1510" s="6">
        <v>0</v>
      </c>
      <c r="G1510" s="6">
        <v>0</v>
      </c>
      <c r="H1510" s="6">
        <v>0</v>
      </c>
      <c r="I1510" t="s">
        <v>502</v>
      </c>
    </row>
    <row r="1511" spans="1:11">
      <c r="A1511" s="6">
        <v>0</v>
      </c>
      <c r="B1511" s="6">
        <v>0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t="s">
        <v>503</v>
      </c>
    </row>
    <row r="1512" spans="1:11">
      <c r="A1512" s="6">
        <v>0</v>
      </c>
      <c r="B1512" s="6">
        <v>0</v>
      </c>
      <c r="C1512" s="6">
        <v>0</v>
      </c>
      <c r="D1512" s="6">
        <v>0</v>
      </c>
      <c r="E1512" s="6">
        <v>0</v>
      </c>
      <c r="F1512" s="6">
        <v>0</v>
      </c>
      <c r="G1512" s="6">
        <v>0</v>
      </c>
      <c r="H1512" s="6">
        <v>0</v>
      </c>
      <c r="I1512" t="s">
        <v>504</v>
      </c>
    </row>
    <row r="1513" spans="1:11">
      <c r="A1513" s="6">
        <v>0</v>
      </c>
      <c r="B1513" s="6">
        <v>0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t="s">
        <v>505</v>
      </c>
    </row>
    <row r="1514" spans="1:11">
      <c r="A1514" s="6">
        <v>0</v>
      </c>
      <c r="B1514" s="6">
        <v>0</v>
      </c>
      <c r="C1514" s="6">
        <v>0</v>
      </c>
      <c r="D1514" s="6">
        <v>0</v>
      </c>
      <c r="E1514" s="6">
        <v>0</v>
      </c>
      <c r="F1514" s="6">
        <v>0</v>
      </c>
      <c r="G1514" s="6">
        <v>0</v>
      </c>
      <c r="H1514" s="6">
        <v>0</v>
      </c>
      <c r="I1514" t="s">
        <v>506</v>
      </c>
    </row>
    <row r="1515" spans="1:11">
      <c r="A1515" s="6">
        <v>0</v>
      </c>
      <c r="B1515" s="6">
        <v>0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t="s">
        <v>507</v>
      </c>
    </row>
    <row r="1516" spans="1:11">
      <c r="A1516" s="6">
        <v>0</v>
      </c>
      <c r="B1516" s="6">
        <v>0</v>
      </c>
      <c r="C1516" s="6">
        <v>0</v>
      </c>
      <c r="D1516" s="6">
        <v>0</v>
      </c>
      <c r="E1516" s="6">
        <v>0</v>
      </c>
      <c r="F1516" s="6">
        <v>0</v>
      </c>
      <c r="G1516" s="6">
        <v>0</v>
      </c>
      <c r="H1516" s="6">
        <v>0</v>
      </c>
      <c r="I1516" t="s">
        <v>508</v>
      </c>
    </row>
    <row r="1517" spans="1:11">
      <c r="A1517" s="6">
        <v>0</v>
      </c>
      <c r="B1517" s="6">
        <v>0</v>
      </c>
      <c r="C1517" s="6">
        <v>0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  <c r="I1517" t="s">
        <v>509</v>
      </c>
    </row>
    <row r="1518" spans="1:11">
      <c r="A1518" s="6">
        <v>0</v>
      </c>
      <c r="B1518" s="6">
        <v>0</v>
      </c>
      <c r="C1518" s="6">
        <v>0</v>
      </c>
      <c r="D1518" s="6">
        <v>0</v>
      </c>
      <c r="E1518" s="6">
        <v>0</v>
      </c>
      <c r="F1518" s="6">
        <v>0</v>
      </c>
      <c r="G1518" s="6">
        <v>0</v>
      </c>
      <c r="H1518" s="6">
        <v>0</v>
      </c>
      <c r="I1518" t="s">
        <v>510</v>
      </c>
    </row>
    <row r="1519" spans="1:11">
      <c r="A1519" s="2" t="s">
        <v>32</v>
      </c>
      <c r="B1519" s="81"/>
      <c r="F1519" s="38"/>
      <c r="G1519" s="38"/>
    </row>
    <row r="1520" spans="1:11">
      <c r="A1520" s="2" t="s">
        <v>32</v>
      </c>
      <c r="B1520"/>
      <c r="F1520" s="38"/>
      <c r="G1520" s="38"/>
      <c r="I1520" s="2" t="s">
        <v>499</v>
      </c>
      <c r="J1520" s="2">
        <f>J1506+1</f>
        <v>23</v>
      </c>
      <c r="K1520" s="2" t="s">
        <v>511</v>
      </c>
    </row>
    <row r="1521" spans="1:11">
      <c r="A1521" s="1" t="s">
        <v>26</v>
      </c>
      <c r="B1521" s="2" t="s">
        <v>1428</v>
      </c>
      <c r="F1521" s="38"/>
      <c r="G1521" s="38"/>
    </row>
    <row r="1522" spans="1:11">
      <c r="A1522" s="6">
        <v>0</v>
      </c>
      <c r="B1522" s="6">
        <v>0</v>
      </c>
      <c r="C1522" s="6">
        <v>0</v>
      </c>
      <c r="D1522" s="6">
        <v>0</v>
      </c>
      <c r="E1522" s="6">
        <v>0</v>
      </c>
      <c r="F1522" s="6">
        <v>0</v>
      </c>
      <c r="G1522" s="6">
        <v>0</v>
      </c>
      <c r="H1522" s="6">
        <v>0</v>
      </c>
      <c r="I1522" t="s">
        <v>500</v>
      </c>
    </row>
    <row r="1523" spans="1:11">
      <c r="A1523" s="6">
        <v>0</v>
      </c>
      <c r="B1523" s="6">
        <v>0</v>
      </c>
      <c r="C1523" s="6">
        <v>0</v>
      </c>
      <c r="D1523" s="6">
        <v>0</v>
      </c>
      <c r="E1523" s="6">
        <v>0</v>
      </c>
      <c r="F1523" s="6">
        <v>0</v>
      </c>
      <c r="G1523" s="6">
        <v>0</v>
      </c>
      <c r="H1523" s="6">
        <v>0</v>
      </c>
      <c r="I1523" t="s">
        <v>501</v>
      </c>
    </row>
    <row r="1524" spans="1:11">
      <c r="A1524" s="6">
        <v>0</v>
      </c>
      <c r="B1524" s="6">
        <v>0</v>
      </c>
      <c r="C1524" s="6">
        <v>0</v>
      </c>
      <c r="D1524" s="6">
        <v>0</v>
      </c>
      <c r="E1524" s="6">
        <v>0</v>
      </c>
      <c r="F1524" s="6">
        <v>0</v>
      </c>
      <c r="G1524" s="6">
        <v>0</v>
      </c>
      <c r="H1524" s="6">
        <v>0</v>
      </c>
      <c r="I1524" t="s">
        <v>502</v>
      </c>
    </row>
    <row r="1525" spans="1:11">
      <c r="A1525" s="6">
        <v>0</v>
      </c>
      <c r="B1525" s="6">
        <v>0</v>
      </c>
      <c r="C1525" s="6">
        <v>0</v>
      </c>
      <c r="D1525" s="6">
        <v>0</v>
      </c>
      <c r="E1525" s="6">
        <v>0</v>
      </c>
      <c r="F1525" s="6">
        <v>0</v>
      </c>
      <c r="G1525" s="6">
        <v>0</v>
      </c>
      <c r="H1525" s="6">
        <v>0</v>
      </c>
      <c r="I1525" t="s">
        <v>503</v>
      </c>
    </row>
    <row r="1526" spans="1:11">
      <c r="A1526" s="6">
        <v>0</v>
      </c>
      <c r="B1526" s="6">
        <v>0</v>
      </c>
      <c r="C1526" s="6">
        <v>0</v>
      </c>
      <c r="D1526" s="6">
        <v>0</v>
      </c>
      <c r="E1526" s="6">
        <v>0</v>
      </c>
      <c r="F1526" s="6">
        <v>0</v>
      </c>
      <c r="G1526" s="6">
        <v>0</v>
      </c>
      <c r="H1526" s="6">
        <v>0</v>
      </c>
      <c r="I1526" t="s">
        <v>504</v>
      </c>
    </row>
    <row r="1527" spans="1:11">
      <c r="A1527" s="6">
        <v>0</v>
      </c>
      <c r="B1527" s="6">
        <v>0</v>
      </c>
      <c r="C1527" s="6">
        <v>0</v>
      </c>
      <c r="D1527" s="6">
        <v>0</v>
      </c>
      <c r="E1527" s="6">
        <v>0</v>
      </c>
      <c r="F1527" s="6">
        <v>0</v>
      </c>
      <c r="G1527" s="6">
        <v>0</v>
      </c>
      <c r="H1527" s="6">
        <v>0</v>
      </c>
      <c r="I1527" t="s">
        <v>505</v>
      </c>
    </row>
    <row r="1528" spans="1:11">
      <c r="A1528" s="6">
        <v>0</v>
      </c>
      <c r="B1528" s="6">
        <v>0</v>
      </c>
      <c r="C1528" s="6">
        <v>0</v>
      </c>
      <c r="D1528" s="6">
        <v>0</v>
      </c>
      <c r="E1528" s="6">
        <v>0</v>
      </c>
      <c r="F1528" s="6">
        <v>0</v>
      </c>
      <c r="G1528" s="6">
        <v>0</v>
      </c>
      <c r="H1528" s="6">
        <v>0</v>
      </c>
      <c r="I1528" t="s">
        <v>506</v>
      </c>
    </row>
    <row r="1529" spans="1:11">
      <c r="A1529" s="6">
        <v>0</v>
      </c>
      <c r="B1529" s="6">
        <v>0</v>
      </c>
      <c r="C1529" s="6">
        <v>0</v>
      </c>
      <c r="D1529" s="6">
        <v>0</v>
      </c>
      <c r="E1529" s="6">
        <v>0</v>
      </c>
      <c r="F1529" s="6">
        <v>0</v>
      </c>
      <c r="G1529" s="6">
        <v>0</v>
      </c>
      <c r="H1529" s="6">
        <v>0</v>
      </c>
      <c r="I1529" t="s">
        <v>507</v>
      </c>
    </row>
    <row r="1530" spans="1:11">
      <c r="A1530" s="6">
        <v>0</v>
      </c>
      <c r="B1530" s="6">
        <v>0</v>
      </c>
      <c r="C1530" s="6">
        <v>0</v>
      </c>
      <c r="D1530" s="6">
        <v>0</v>
      </c>
      <c r="E1530" s="6">
        <v>0</v>
      </c>
      <c r="F1530" s="6">
        <v>0</v>
      </c>
      <c r="G1530" s="6">
        <v>0</v>
      </c>
      <c r="H1530" s="6">
        <v>0</v>
      </c>
      <c r="I1530" t="s">
        <v>508</v>
      </c>
    </row>
    <row r="1531" spans="1:11">
      <c r="A1531" s="6">
        <v>0</v>
      </c>
      <c r="B1531" s="6">
        <v>0</v>
      </c>
      <c r="C1531" s="6">
        <v>0</v>
      </c>
      <c r="D1531" s="6">
        <v>0</v>
      </c>
      <c r="E1531" s="6">
        <v>0</v>
      </c>
      <c r="F1531" s="6">
        <v>0</v>
      </c>
      <c r="G1531" s="6">
        <v>0</v>
      </c>
      <c r="H1531" s="6">
        <v>0</v>
      </c>
      <c r="I1531" t="s">
        <v>509</v>
      </c>
    </row>
    <row r="1532" spans="1:11">
      <c r="A1532" s="6">
        <v>0</v>
      </c>
      <c r="B1532" s="6">
        <v>0</v>
      </c>
      <c r="C1532" s="6">
        <v>0</v>
      </c>
      <c r="D1532" s="6">
        <v>0</v>
      </c>
      <c r="E1532" s="6">
        <v>0</v>
      </c>
      <c r="F1532" s="6">
        <v>0</v>
      </c>
      <c r="G1532" s="6">
        <v>0</v>
      </c>
      <c r="H1532" s="6">
        <v>0</v>
      </c>
      <c r="I1532" t="s">
        <v>510</v>
      </c>
    </row>
    <row r="1533" spans="1:11">
      <c r="A1533" s="2" t="s">
        <v>32</v>
      </c>
      <c r="B1533" s="81"/>
      <c r="F1533" s="38"/>
      <c r="G1533" s="38"/>
    </row>
    <row r="1534" spans="1:11">
      <c r="A1534" s="2" t="s">
        <v>32</v>
      </c>
      <c r="B1534"/>
      <c r="F1534" s="38"/>
      <c r="G1534" s="38"/>
      <c r="I1534" s="2" t="s">
        <v>499</v>
      </c>
      <c r="J1534" s="2">
        <f>J1520+1</f>
        <v>24</v>
      </c>
      <c r="K1534" s="2" t="s">
        <v>511</v>
      </c>
    </row>
    <row r="1535" spans="1:11">
      <c r="A1535" s="1" t="s">
        <v>26</v>
      </c>
      <c r="B1535" s="2" t="s">
        <v>1428</v>
      </c>
      <c r="F1535" s="38"/>
      <c r="G1535" s="38"/>
    </row>
    <row r="1536" spans="1:11">
      <c r="A1536" s="6">
        <v>0</v>
      </c>
      <c r="B1536" s="6">
        <v>0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  <c r="H1536" s="6">
        <v>0</v>
      </c>
      <c r="I1536" t="s">
        <v>500</v>
      </c>
    </row>
    <row r="1537" spans="1:11">
      <c r="A1537" s="6">
        <v>0</v>
      </c>
      <c r="B1537" s="6">
        <v>0</v>
      </c>
      <c r="C1537" s="6">
        <v>0</v>
      </c>
      <c r="D1537" s="6">
        <v>0</v>
      </c>
      <c r="E1537" s="6">
        <v>0</v>
      </c>
      <c r="F1537" s="6">
        <v>0</v>
      </c>
      <c r="G1537" s="6">
        <v>0</v>
      </c>
      <c r="H1537" s="6">
        <v>0</v>
      </c>
      <c r="I1537" t="s">
        <v>501</v>
      </c>
    </row>
    <row r="1538" spans="1:11">
      <c r="A1538" s="6">
        <v>0</v>
      </c>
      <c r="B1538" s="6">
        <v>0</v>
      </c>
      <c r="C1538" s="6">
        <v>0</v>
      </c>
      <c r="D1538" s="6">
        <v>0</v>
      </c>
      <c r="E1538" s="6">
        <v>0</v>
      </c>
      <c r="F1538" s="6">
        <v>0</v>
      </c>
      <c r="G1538" s="6">
        <v>0</v>
      </c>
      <c r="H1538" s="6">
        <v>0</v>
      </c>
      <c r="I1538" t="s">
        <v>502</v>
      </c>
    </row>
    <row r="1539" spans="1:11">
      <c r="A1539" s="6">
        <v>0</v>
      </c>
      <c r="B1539" s="6">
        <v>0</v>
      </c>
      <c r="C1539" s="6">
        <v>0</v>
      </c>
      <c r="D1539" s="6">
        <v>0</v>
      </c>
      <c r="E1539" s="6">
        <v>0</v>
      </c>
      <c r="F1539" s="6">
        <v>0</v>
      </c>
      <c r="G1539" s="6">
        <v>0</v>
      </c>
      <c r="H1539" s="6">
        <v>0</v>
      </c>
      <c r="I1539" t="s">
        <v>503</v>
      </c>
    </row>
    <row r="1540" spans="1:11">
      <c r="A1540" s="6">
        <v>0</v>
      </c>
      <c r="B1540" s="6">
        <v>0</v>
      </c>
      <c r="C1540" s="6">
        <v>0</v>
      </c>
      <c r="D1540" s="6">
        <v>0</v>
      </c>
      <c r="E1540" s="6">
        <v>0</v>
      </c>
      <c r="F1540" s="6">
        <v>0</v>
      </c>
      <c r="G1540" s="6">
        <v>0</v>
      </c>
      <c r="H1540" s="6">
        <v>0</v>
      </c>
      <c r="I1540" t="s">
        <v>504</v>
      </c>
    </row>
    <row r="1541" spans="1:11">
      <c r="A1541" s="6">
        <v>0</v>
      </c>
      <c r="B1541" s="6">
        <v>0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  <c r="I1541" t="s">
        <v>505</v>
      </c>
    </row>
    <row r="1542" spans="1:11">
      <c r="A1542" s="6">
        <v>0</v>
      </c>
      <c r="B1542" s="6">
        <v>0</v>
      </c>
      <c r="C1542" s="6">
        <v>0</v>
      </c>
      <c r="D1542" s="6">
        <v>0</v>
      </c>
      <c r="E1542" s="6">
        <v>0</v>
      </c>
      <c r="F1542" s="6">
        <v>0</v>
      </c>
      <c r="G1542" s="6">
        <v>0</v>
      </c>
      <c r="H1542" s="6">
        <v>0</v>
      </c>
      <c r="I1542" t="s">
        <v>506</v>
      </c>
    </row>
    <row r="1543" spans="1:11">
      <c r="A1543" s="6">
        <v>0</v>
      </c>
      <c r="B1543" s="6">
        <v>0</v>
      </c>
      <c r="C1543" s="6">
        <v>0</v>
      </c>
      <c r="D1543" s="6">
        <v>0</v>
      </c>
      <c r="E1543" s="6">
        <v>0</v>
      </c>
      <c r="F1543" s="6">
        <v>0</v>
      </c>
      <c r="G1543" s="6">
        <v>0</v>
      </c>
      <c r="H1543" s="6">
        <v>0</v>
      </c>
      <c r="I1543" t="s">
        <v>507</v>
      </c>
    </row>
    <row r="1544" spans="1:11">
      <c r="A1544" s="6">
        <v>0</v>
      </c>
      <c r="B1544" s="6">
        <v>0</v>
      </c>
      <c r="C1544" s="6">
        <v>0</v>
      </c>
      <c r="D1544" s="6">
        <v>0</v>
      </c>
      <c r="E1544" s="6">
        <v>0</v>
      </c>
      <c r="F1544" s="6">
        <v>0</v>
      </c>
      <c r="G1544" s="6">
        <v>0</v>
      </c>
      <c r="H1544" s="6">
        <v>0</v>
      </c>
      <c r="I1544" t="s">
        <v>508</v>
      </c>
    </row>
    <row r="1545" spans="1:11">
      <c r="A1545" s="6">
        <v>0</v>
      </c>
      <c r="B1545" s="6">
        <v>0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  <c r="H1545" s="6">
        <v>0</v>
      </c>
      <c r="I1545" t="s">
        <v>509</v>
      </c>
    </row>
    <row r="1546" spans="1:11">
      <c r="A1546" s="6">
        <v>0</v>
      </c>
      <c r="B1546" s="6">
        <v>0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  <c r="I1546" t="s">
        <v>510</v>
      </c>
    </row>
    <row r="1547" spans="1:11">
      <c r="A1547" s="2" t="s">
        <v>32</v>
      </c>
      <c r="B1547" s="81"/>
      <c r="F1547" s="38"/>
      <c r="G1547" s="38"/>
    </row>
    <row r="1548" spans="1:11">
      <c r="A1548" s="2" t="s">
        <v>32</v>
      </c>
      <c r="B1548"/>
      <c r="F1548" s="38"/>
      <c r="G1548" s="38"/>
      <c r="I1548" s="2" t="s">
        <v>499</v>
      </c>
      <c r="J1548" s="2">
        <f>J1534+1</f>
        <v>25</v>
      </c>
      <c r="K1548" s="2" t="s">
        <v>511</v>
      </c>
    </row>
    <row r="1549" spans="1:11">
      <c r="A1549" s="1" t="s">
        <v>26</v>
      </c>
      <c r="B1549" s="2" t="s">
        <v>1428</v>
      </c>
      <c r="F1549" s="38"/>
      <c r="G1549" s="38"/>
    </row>
    <row r="1550" spans="1:11">
      <c r="A1550" s="6">
        <v>0</v>
      </c>
      <c r="B1550" s="6">
        <v>0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6">
        <v>0</v>
      </c>
      <c r="I1550" t="s">
        <v>500</v>
      </c>
    </row>
    <row r="1551" spans="1:11">
      <c r="A1551" s="6">
        <v>0</v>
      </c>
      <c r="B1551" s="6">
        <v>0</v>
      </c>
      <c r="C1551" s="6">
        <v>0</v>
      </c>
      <c r="D1551" s="6">
        <v>0</v>
      </c>
      <c r="E1551" s="6">
        <v>0</v>
      </c>
      <c r="F1551" s="6">
        <v>0</v>
      </c>
      <c r="G1551" s="6">
        <v>0</v>
      </c>
      <c r="H1551" s="6">
        <v>0</v>
      </c>
      <c r="I1551" t="s">
        <v>501</v>
      </c>
    </row>
    <row r="1552" spans="1:11">
      <c r="A1552" s="6">
        <v>0</v>
      </c>
      <c r="B1552" s="6">
        <v>0</v>
      </c>
      <c r="C1552" s="6">
        <v>0</v>
      </c>
      <c r="D1552" s="6">
        <v>0</v>
      </c>
      <c r="E1552" s="6">
        <v>0</v>
      </c>
      <c r="F1552" s="6">
        <v>0</v>
      </c>
      <c r="G1552" s="6">
        <v>0</v>
      </c>
      <c r="H1552" s="6">
        <v>0</v>
      </c>
      <c r="I1552" t="s">
        <v>502</v>
      </c>
    </row>
    <row r="1553" spans="1:11">
      <c r="A1553" s="6">
        <v>0</v>
      </c>
      <c r="B1553" s="6">
        <v>0</v>
      </c>
      <c r="C1553" s="6">
        <v>0</v>
      </c>
      <c r="D1553" s="6">
        <v>0</v>
      </c>
      <c r="E1553" s="6">
        <v>0</v>
      </c>
      <c r="F1553" s="6">
        <v>0</v>
      </c>
      <c r="G1553" s="6">
        <v>0</v>
      </c>
      <c r="H1553" s="6">
        <v>0</v>
      </c>
      <c r="I1553" t="s">
        <v>503</v>
      </c>
    </row>
    <row r="1554" spans="1:11">
      <c r="A1554" s="6">
        <v>0</v>
      </c>
      <c r="B1554" s="6">
        <v>0</v>
      </c>
      <c r="C1554" s="6">
        <v>0</v>
      </c>
      <c r="D1554" s="6">
        <v>0</v>
      </c>
      <c r="E1554" s="6">
        <v>0</v>
      </c>
      <c r="F1554" s="6">
        <v>0</v>
      </c>
      <c r="G1554" s="6">
        <v>0</v>
      </c>
      <c r="H1554" s="6">
        <v>0</v>
      </c>
      <c r="I1554" t="s">
        <v>504</v>
      </c>
    </row>
    <row r="1555" spans="1:11">
      <c r="A1555" s="6">
        <v>0</v>
      </c>
      <c r="B1555" s="6">
        <v>0</v>
      </c>
      <c r="C1555" s="6">
        <v>0</v>
      </c>
      <c r="D1555" s="6">
        <v>0</v>
      </c>
      <c r="E1555" s="6">
        <v>0</v>
      </c>
      <c r="F1555" s="6">
        <v>0</v>
      </c>
      <c r="G1555" s="6">
        <v>0</v>
      </c>
      <c r="H1555" s="6">
        <v>0</v>
      </c>
      <c r="I1555" t="s">
        <v>505</v>
      </c>
    </row>
    <row r="1556" spans="1:11">
      <c r="A1556" s="6">
        <v>0</v>
      </c>
      <c r="B1556" s="6">
        <v>0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t="s">
        <v>506</v>
      </c>
    </row>
    <row r="1557" spans="1:11">
      <c r="A1557" s="6">
        <v>0</v>
      </c>
      <c r="B1557" s="6">
        <v>0</v>
      </c>
      <c r="C1557" s="6">
        <v>0</v>
      </c>
      <c r="D1557" s="6">
        <v>0</v>
      </c>
      <c r="E1557" s="6">
        <v>0</v>
      </c>
      <c r="F1557" s="6">
        <v>0</v>
      </c>
      <c r="G1557" s="6">
        <v>0</v>
      </c>
      <c r="H1557" s="6">
        <v>0</v>
      </c>
      <c r="I1557" t="s">
        <v>507</v>
      </c>
    </row>
    <row r="1558" spans="1:11">
      <c r="A1558" s="6">
        <v>0</v>
      </c>
      <c r="B1558" s="6">
        <v>0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  <c r="I1558" t="s">
        <v>508</v>
      </c>
    </row>
    <row r="1559" spans="1:11">
      <c r="A1559" s="6">
        <v>0</v>
      </c>
      <c r="B1559" s="6">
        <v>0</v>
      </c>
      <c r="C1559" s="6">
        <v>0</v>
      </c>
      <c r="D1559" s="6">
        <v>0</v>
      </c>
      <c r="E1559" s="6">
        <v>0</v>
      </c>
      <c r="F1559" s="6">
        <v>0</v>
      </c>
      <c r="G1559" s="6">
        <v>0</v>
      </c>
      <c r="H1559" s="6">
        <v>0</v>
      </c>
      <c r="I1559" t="s">
        <v>509</v>
      </c>
    </row>
    <row r="1560" spans="1:11">
      <c r="A1560" s="6">
        <v>0</v>
      </c>
      <c r="B1560" s="6">
        <v>0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  <c r="I1560" t="s">
        <v>510</v>
      </c>
    </row>
    <row r="1561" spans="1:11">
      <c r="A1561" s="2" t="s">
        <v>32</v>
      </c>
      <c r="B1561" s="81"/>
      <c r="F1561" s="38"/>
      <c r="G1561" s="38"/>
    </row>
    <row r="1562" spans="1:11">
      <c r="A1562" s="2" t="s">
        <v>32</v>
      </c>
      <c r="B1562"/>
      <c r="F1562" s="38"/>
      <c r="G1562" s="38"/>
      <c r="I1562" s="2" t="s">
        <v>499</v>
      </c>
      <c r="J1562" s="2">
        <f>J1548+1</f>
        <v>26</v>
      </c>
      <c r="K1562" s="2" t="s">
        <v>511</v>
      </c>
    </row>
    <row r="1563" spans="1:11">
      <c r="A1563" s="1" t="s">
        <v>26</v>
      </c>
      <c r="B1563" s="2" t="s">
        <v>1428</v>
      </c>
      <c r="F1563" s="38"/>
      <c r="G1563" s="38"/>
    </row>
    <row r="1564" spans="1:11">
      <c r="A1564" s="6">
        <v>0</v>
      </c>
      <c r="B1564" s="6">
        <v>0</v>
      </c>
      <c r="C1564" s="6">
        <v>0</v>
      </c>
      <c r="D1564" s="6">
        <v>0</v>
      </c>
      <c r="E1564" s="6">
        <v>0</v>
      </c>
      <c r="F1564" s="6">
        <v>0</v>
      </c>
      <c r="G1564" s="6">
        <v>0</v>
      </c>
      <c r="H1564" s="6">
        <v>0</v>
      </c>
      <c r="I1564" t="s">
        <v>500</v>
      </c>
    </row>
    <row r="1565" spans="1:11">
      <c r="A1565" s="6">
        <v>0</v>
      </c>
      <c r="B1565" s="6">
        <v>0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6">
        <v>0</v>
      </c>
      <c r="I1565" t="s">
        <v>501</v>
      </c>
    </row>
    <row r="1566" spans="1:11">
      <c r="A1566" s="6">
        <v>0</v>
      </c>
      <c r="B1566" s="6">
        <v>0</v>
      </c>
      <c r="C1566" s="6">
        <v>0</v>
      </c>
      <c r="D1566" s="6">
        <v>0</v>
      </c>
      <c r="E1566" s="6">
        <v>0</v>
      </c>
      <c r="F1566" s="6">
        <v>0</v>
      </c>
      <c r="G1566" s="6">
        <v>0</v>
      </c>
      <c r="H1566" s="6">
        <v>0</v>
      </c>
      <c r="I1566" t="s">
        <v>502</v>
      </c>
    </row>
    <row r="1567" spans="1:11">
      <c r="A1567" s="6">
        <v>0</v>
      </c>
      <c r="B1567" s="6">
        <v>0</v>
      </c>
      <c r="C1567" s="6">
        <v>0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  <c r="I1567" t="s">
        <v>503</v>
      </c>
    </row>
    <row r="1568" spans="1:11">
      <c r="A1568" s="6">
        <v>0</v>
      </c>
      <c r="B1568" s="6">
        <v>0</v>
      </c>
      <c r="C1568" s="6">
        <v>0</v>
      </c>
      <c r="D1568" s="6">
        <v>0</v>
      </c>
      <c r="E1568" s="6">
        <v>0</v>
      </c>
      <c r="F1568" s="6">
        <v>0</v>
      </c>
      <c r="G1568" s="6">
        <v>0</v>
      </c>
      <c r="H1568" s="6">
        <v>0</v>
      </c>
      <c r="I1568" t="s">
        <v>504</v>
      </c>
    </row>
    <row r="1569" spans="1:19">
      <c r="A1569" s="6">
        <v>0</v>
      </c>
      <c r="B1569" s="6">
        <v>0</v>
      </c>
      <c r="C1569" s="6">
        <v>0</v>
      </c>
      <c r="D1569" s="6">
        <v>0</v>
      </c>
      <c r="E1569" s="6">
        <v>0</v>
      </c>
      <c r="F1569" s="6">
        <v>0</v>
      </c>
      <c r="G1569" s="6">
        <v>0</v>
      </c>
      <c r="H1569" s="6">
        <v>0</v>
      </c>
      <c r="I1569" t="s">
        <v>505</v>
      </c>
    </row>
    <row r="1570" spans="1:19">
      <c r="A1570" s="6">
        <v>0</v>
      </c>
      <c r="B1570" s="6">
        <v>0</v>
      </c>
      <c r="C1570" s="6">
        <v>0</v>
      </c>
      <c r="D1570" s="6">
        <v>0</v>
      </c>
      <c r="E1570" s="6">
        <v>0</v>
      </c>
      <c r="F1570" s="6">
        <v>0</v>
      </c>
      <c r="G1570" s="6">
        <v>0</v>
      </c>
      <c r="H1570" s="6">
        <v>0</v>
      </c>
      <c r="I1570" t="s">
        <v>506</v>
      </c>
    </row>
    <row r="1571" spans="1:19">
      <c r="A1571" s="6">
        <v>0</v>
      </c>
      <c r="B1571" s="6">
        <v>0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t="s">
        <v>507</v>
      </c>
    </row>
    <row r="1572" spans="1:19">
      <c r="A1572" s="6">
        <v>0</v>
      </c>
      <c r="B1572" s="6">
        <v>0</v>
      </c>
      <c r="C1572" s="6">
        <v>0</v>
      </c>
      <c r="D1572" s="6">
        <v>0</v>
      </c>
      <c r="E1572" s="6">
        <v>0</v>
      </c>
      <c r="F1572" s="6">
        <v>0</v>
      </c>
      <c r="G1572" s="6">
        <v>0</v>
      </c>
      <c r="H1572" s="6">
        <v>0</v>
      </c>
      <c r="I1572" t="s">
        <v>508</v>
      </c>
    </row>
    <row r="1573" spans="1:19">
      <c r="A1573" s="6">
        <v>0</v>
      </c>
      <c r="B1573" s="6">
        <v>0</v>
      </c>
      <c r="C1573" s="6">
        <v>0</v>
      </c>
      <c r="D1573" s="6">
        <v>0</v>
      </c>
      <c r="E1573" s="6">
        <v>0</v>
      </c>
      <c r="F1573" s="6">
        <v>0</v>
      </c>
      <c r="G1573" s="6">
        <v>0</v>
      </c>
      <c r="H1573" s="6">
        <v>0</v>
      </c>
      <c r="I1573" t="s">
        <v>509</v>
      </c>
    </row>
    <row r="1574" spans="1:19">
      <c r="A1574" s="6">
        <v>0</v>
      </c>
      <c r="B1574" s="6">
        <v>0</v>
      </c>
      <c r="C1574" s="6">
        <v>0</v>
      </c>
      <c r="D1574" s="6">
        <v>0</v>
      </c>
      <c r="E1574" s="6">
        <v>0</v>
      </c>
      <c r="F1574" s="6">
        <v>0</v>
      </c>
      <c r="G1574" s="6">
        <v>0</v>
      </c>
      <c r="H1574" s="6">
        <v>0</v>
      </c>
      <c r="I1574" t="s">
        <v>510</v>
      </c>
    </row>
    <row r="1575" spans="1:19">
      <c r="A1575" s="2" t="s">
        <v>32</v>
      </c>
      <c r="B1575" s="81"/>
      <c r="F1575" s="38"/>
      <c r="G1575" s="38"/>
    </row>
    <row r="1576" spans="1:19">
      <c r="A1576" s="2" t="s">
        <v>32</v>
      </c>
      <c r="B1576"/>
      <c r="F1576" s="38"/>
      <c r="G1576" s="38"/>
      <c r="I1576" s="2" t="s">
        <v>499</v>
      </c>
      <c r="J1576" s="2">
        <f>J1562+1</f>
        <v>27</v>
      </c>
      <c r="K1576" s="2" t="s">
        <v>511</v>
      </c>
    </row>
    <row r="1577" spans="1:19">
      <c r="A1577" s="1" t="s">
        <v>26</v>
      </c>
      <c r="B1577" s="2" t="s">
        <v>1428</v>
      </c>
      <c r="F1577" s="38"/>
      <c r="G1577" s="38"/>
    </row>
    <row r="1578" spans="1:19">
      <c r="A1578" s="6">
        <v>0</v>
      </c>
      <c r="B1578" s="6">
        <v>0</v>
      </c>
      <c r="C1578" s="6">
        <v>0</v>
      </c>
      <c r="D1578" s="6">
        <v>0</v>
      </c>
      <c r="E1578" s="6">
        <v>0</v>
      </c>
      <c r="F1578" s="6">
        <v>0</v>
      </c>
      <c r="G1578" s="6">
        <v>0</v>
      </c>
      <c r="H1578" s="6">
        <v>0</v>
      </c>
      <c r="I1578" t="s">
        <v>500</v>
      </c>
    </row>
    <row r="1579" spans="1:19">
      <c r="A1579" s="6">
        <v>0</v>
      </c>
      <c r="B1579" s="6">
        <v>0</v>
      </c>
      <c r="C1579" s="6">
        <v>0</v>
      </c>
      <c r="D1579" s="6">
        <v>0</v>
      </c>
      <c r="E1579" s="6">
        <v>0</v>
      </c>
      <c r="F1579" s="6" t="s">
        <v>1167</v>
      </c>
      <c r="G1579" s="6">
        <v>10</v>
      </c>
      <c r="H1579" s="6">
        <v>0</v>
      </c>
      <c r="I1579" t="s">
        <v>501</v>
      </c>
    </row>
    <row r="1580" spans="1:19">
      <c r="A1580" s="6">
        <v>0</v>
      </c>
      <c r="B1580" s="6">
        <v>0</v>
      </c>
      <c r="C1580" s="6">
        <v>0</v>
      </c>
      <c r="D1580" s="6">
        <v>0</v>
      </c>
      <c r="E1580" s="6">
        <v>0</v>
      </c>
      <c r="F1580" s="6">
        <v>0</v>
      </c>
      <c r="G1580" s="6">
        <v>0</v>
      </c>
      <c r="H1580" s="6">
        <v>0</v>
      </c>
      <c r="I1580" t="s">
        <v>502</v>
      </c>
    </row>
    <row r="1581" spans="1:19">
      <c r="A1581" s="6">
        <v>0</v>
      </c>
      <c r="B1581" s="6">
        <v>0</v>
      </c>
      <c r="C1581" s="6">
        <v>0</v>
      </c>
      <c r="D1581" s="6">
        <v>0</v>
      </c>
      <c r="E1581" s="6">
        <v>0</v>
      </c>
      <c r="F1581" s="6">
        <v>0</v>
      </c>
      <c r="G1581" s="6">
        <v>10</v>
      </c>
      <c r="H1581" s="6" t="s">
        <v>1167</v>
      </c>
      <c r="I1581" t="s">
        <v>503</v>
      </c>
    </row>
    <row r="1582" spans="1:19">
      <c r="A1582" s="6">
        <v>40</v>
      </c>
      <c r="B1582" s="6">
        <v>0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  <c r="I1582" t="s">
        <v>504</v>
      </c>
      <c r="L1582" s="127"/>
      <c r="M1582" s="127"/>
      <c r="N1582" s="127"/>
      <c r="O1582" s="127"/>
      <c r="P1582" s="127"/>
      <c r="Q1582" s="127"/>
      <c r="R1582" s="127"/>
      <c r="S1582" s="3"/>
    </row>
    <row r="1583" spans="1:19">
      <c r="A1583" s="6">
        <v>0</v>
      </c>
      <c r="B1583" s="6">
        <v>0</v>
      </c>
      <c r="C1583" s="6">
        <v>0</v>
      </c>
      <c r="D1583" s="6">
        <v>0</v>
      </c>
      <c r="E1583" s="6">
        <v>0</v>
      </c>
      <c r="F1583" s="6">
        <v>0</v>
      </c>
      <c r="G1583" s="6">
        <v>0</v>
      </c>
      <c r="H1583" s="6">
        <v>0</v>
      </c>
      <c r="I1583" t="s">
        <v>505</v>
      </c>
      <c r="L1583" s="127"/>
      <c r="M1583" s="127"/>
      <c r="N1583" s="127"/>
      <c r="O1583" s="127"/>
      <c r="P1583" s="127"/>
      <c r="Q1583" s="127"/>
      <c r="R1583" s="127"/>
      <c r="S1583" s="3"/>
    </row>
    <row r="1584" spans="1:19">
      <c r="A1584" s="6">
        <v>0</v>
      </c>
      <c r="B1584" s="6">
        <v>0</v>
      </c>
      <c r="C1584" s="6">
        <v>0</v>
      </c>
      <c r="D1584" s="6">
        <v>0</v>
      </c>
      <c r="E1584" s="6">
        <v>0</v>
      </c>
      <c r="F1584" s="6">
        <v>0</v>
      </c>
      <c r="G1584" s="6">
        <v>0</v>
      </c>
      <c r="H1584" s="6">
        <v>0</v>
      </c>
      <c r="I1584" t="s">
        <v>506</v>
      </c>
      <c r="L1584" s="127"/>
      <c r="M1584" s="85"/>
      <c r="N1584" s="85"/>
      <c r="O1584" s="85"/>
      <c r="P1584" s="85"/>
      <c r="Q1584" s="85"/>
      <c r="R1584" s="127"/>
      <c r="S1584" s="3"/>
    </row>
    <row r="1585" spans="1:19">
      <c r="A1585" s="6">
        <v>0</v>
      </c>
      <c r="B1585" s="6">
        <v>0</v>
      </c>
      <c r="C1585" s="6">
        <v>0</v>
      </c>
      <c r="D1585" s="6">
        <v>0</v>
      </c>
      <c r="E1585" s="6">
        <v>0</v>
      </c>
      <c r="F1585" s="6">
        <v>0</v>
      </c>
      <c r="G1585" s="6">
        <v>0</v>
      </c>
      <c r="H1585" s="6">
        <v>0</v>
      </c>
      <c r="I1585" t="s">
        <v>507</v>
      </c>
      <c r="L1585" s="127"/>
      <c r="M1585" s="127"/>
      <c r="N1585" s="127"/>
      <c r="O1585" s="127"/>
      <c r="P1585" s="127"/>
      <c r="Q1585" s="127"/>
      <c r="R1585" s="127"/>
      <c r="S1585" s="3"/>
    </row>
    <row r="1586" spans="1:19">
      <c r="A1586" s="6">
        <v>0</v>
      </c>
      <c r="B1586" s="6">
        <v>0</v>
      </c>
      <c r="C1586" s="6">
        <v>0</v>
      </c>
      <c r="D1586" s="6">
        <v>0</v>
      </c>
      <c r="E1586" s="6">
        <v>0</v>
      </c>
      <c r="F1586" s="6">
        <v>0</v>
      </c>
      <c r="G1586" s="6">
        <v>0</v>
      </c>
      <c r="H1586" s="6">
        <v>0</v>
      </c>
      <c r="I1586" t="s">
        <v>508</v>
      </c>
    </row>
    <row r="1587" spans="1:19">
      <c r="A1587" s="6">
        <v>0</v>
      </c>
      <c r="B1587" s="6">
        <v>0</v>
      </c>
      <c r="C1587" s="6">
        <v>0</v>
      </c>
      <c r="D1587" s="6">
        <v>0</v>
      </c>
      <c r="E1587" s="6">
        <v>0</v>
      </c>
      <c r="F1587" s="6">
        <v>0</v>
      </c>
      <c r="G1587" s="6">
        <v>0</v>
      </c>
      <c r="H1587" s="6">
        <v>0</v>
      </c>
      <c r="I1587" t="s">
        <v>509</v>
      </c>
    </row>
    <row r="1588" spans="1:19">
      <c r="A1588" s="6">
        <v>0</v>
      </c>
      <c r="B1588" s="6">
        <v>0</v>
      </c>
      <c r="C1588" s="6">
        <v>0</v>
      </c>
      <c r="D1588" s="6">
        <v>0</v>
      </c>
      <c r="E1588" s="6">
        <v>0</v>
      </c>
      <c r="F1588" s="6">
        <v>0</v>
      </c>
      <c r="G1588" s="6">
        <v>0</v>
      </c>
      <c r="H1588" s="6">
        <v>0</v>
      </c>
      <c r="I1588" t="s">
        <v>510</v>
      </c>
    </row>
    <row r="1589" spans="1:19">
      <c r="A1589" s="2" t="s">
        <v>32</v>
      </c>
      <c r="B1589" s="81"/>
      <c r="F1589" s="38"/>
      <c r="G1589" s="38"/>
    </row>
    <row r="1590" spans="1:19">
      <c r="A1590" s="2" t="s">
        <v>32</v>
      </c>
      <c r="B1590"/>
      <c r="F1590" s="38"/>
      <c r="G1590" s="38"/>
      <c r="I1590" s="2" t="s">
        <v>499</v>
      </c>
      <c r="J1590" s="2">
        <f>J1576+1</f>
        <v>28</v>
      </c>
      <c r="K1590" s="2" t="s">
        <v>511</v>
      </c>
    </row>
    <row r="1591" spans="1:19">
      <c r="A1591" s="1" t="s">
        <v>26</v>
      </c>
      <c r="B1591" s="2" t="s">
        <v>1428</v>
      </c>
      <c r="F1591" s="38"/>
      <c r="G1591" s="38"/>
    </row>
    <row r="1592" spans="1:19">
      <c r="A1592" s="6">
        <v>0</v>
      </c>
      <c r="B1592" s="6">
        <v>0</v>
      </c>
      <c r="C1592" s="6">
        <v>0</v>
      </c>
      <c r="D1592" s="6">
        <v>0</v>
      </c>
      <c r="E1592" s="6">
        <v>0</v>
      </c>
      <c r="F1592" s="6">
        <v>0</v>
      </c>
      <c r="G1592" s="6">
        <v>0</v>
      </c>
      <c r="H1592" s="6">
        <v>0</v>
      </c>
      <c r="I1592" t="s">
        <v>500</v>
      </c>
    </row>
    <row r="1593" spans="1:19">
      <c r="A1593" s="6">
        <v>0</v>
      </c>
      <c r="B1593" s="6">
        <v>0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t="s">
        <v>501</v>
      </c>
    </row>
    <row r="1594" spans="1:19">
      <c r="A1594" s="6">
        <v>0</v>
      </c>
      <c r="B1594" s="6">
        <v>0</v>
      </c>
      <c r="C1594" s="6">
        <v>0</v>
      </c>
      <c r="D1594" s="6">
        <v>0</v>
      </c>
      <c r="E1594" s="6">
        <v>0</v>
      </c>
      <c r="F1594" s="6">
        <v>0</v>
      </c>
      <c r="G1594" s="6">
        <v>0</v>
      </c>
      <c r="H1594" s="6">
        <v>0</v>
      </c>
      <c r="I1594" t="s">
        <v>502</v>
      </c>
    </row>
    <row r="1595" spans="1:19">
      <c r="A1595" s="6">
        <v>0</v>
      </c>
      <c r="B1595" s="6">
        <v>0</v>
      </c>
      <c r="C1595" s="6">
        <v>0</v>
      </c>
      <c r="D1595" s="6">
        <v>0</v>
      </c>
      <c r="E1595" s="6">
        <v>0</v>
      </c>
      <c r="F1595" s="6">
        <v>0</v>
      </c>
      <c r="G1595" s="6">
        <v>0</v>
      </c>
      <c r="H1595" s="6">
        <v>0</v>
      </c>
      <c r="I1595" t="s">
        <v>503</v>
      </c>
    </row>
    <row r="1596" spans="1:19">
      <c r="A1596" s="6">
        <v>0</v>
      </c>
      <c r="B1596" s="6">
        <v>0</v>
      </c>
      <c r="C1596" s="6">
        <v>0</v>
      </c>
      <c r="D1596" s="6">
        <v>0</v>
      </c>
      <c r="E1596" s="6">
        <v>0</v>
      </c>
      <c r="F1596" s="6">
        <v>0</v>
      </c>
      <c r="G1596" s="6">
        <v>0</v>
      </c>
      <c r="H1596" s="6">
        <v>0</v>
      </c>
      <c r="I1596" t="s">
        <v>504</v>
      </c>
    </row>
    <row r="1597" spans="1:19">
      <c r="A1597" s="6">
        <v>0</v>
      </c>
      <c r="B1597" s="6">
        <v>0</v>
      </c>
      <c r="C1597" s="6">
        <v>0</v>
      </c>
      <c r="D1597" s="6">
        <v>0</v>
      </c>
      <c r="E1597" s="6">
        <v>0</v>
      </c>
      <c r="F1597" s="6">
        <v>0</v>
      </c>
      <c r="G1597" s="6">
        <v>0</v>
      </c>
      <c r="H1597" s="6">
        <v>0</v>
      </c>
      <c r="I1597" t="s">
        <v>505</v>
      </c>
    </row>
    <row r="1598" spans="1:19">
      <c r="A1598" s="6">
        <v>0</v>
      </c>
      <c r="B1598" s="6">
        <v>0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  <c r="H1598" s="6">
        <v>0</v>
      </c>
      <c r="I1598" t="s">
        <v>506</v>
      </c>
    </row>
    <row r="1599" spans="1:19">
      <c r="A1599" s="6">
        <v>0</v>
      </c>
      <c r="B1599" s="6">
        <v>0</v>
      </c>
      <c r="C1599" s="6">
        <v>0</v>
      </c>
      <c r="D1599" s="6">
        <v>0</v>
      </c>
      <c r="E1599" s="6">
        <v>0</v>
      </c>
      <c r="F1599" s="6">
        <v>0</v>
      </c>
      <c r="G1599" s="6">
        <v>0</v>
      </c>
      <c r="H1599" s="6">
        <v>0</v>
      </c>
      <c r="I1599" t="s">
        <v>507</v>
      </c>
    </row>
    <row r="1600" spans="1:19">
      <c r="A1600" s="6">
        <v>0</v>
      </c>
      <c r="B1600" s="6">
        <v>0</v>
      </c>
      <c r="C1600" s="6">
        <v>0</v>
      </c>
      <c r="D1600" s="6">
        <v>0</v>
      </c>
      <c r="E1600" s="6">
        <v>0</v>
      </c>
      <c r="F1600" s="6">
        <v>0</v>
      </c>
      <c r="G1600" s="6">
        <v>0</v>
      </c>
      <c r="H1600" s="6">
        <v>0</v>
      </c>
      <c r="I1600" t="s">
        <v>508</v>
      </c>
    </row>
    <row r="1601" spans="1:11">
      <c r="A1601" s="6">
        <v>0</v>
      </c>
      <c r="B1601" s="6">
        <v>0</v>
      </c>
      <c r="C1601" s="6">
        <v>0</v>
      </c>
      <c r="D1601" s="6">
        <v>0</v>
      </c>
      <c r="E1601" s="6">
        <v>0</v>
      </c>
      <c r="F1601" s="6">
        <v>0</v>
      </c>
      <c r="G1601" s="6">
        <v>0</v>
      </c>
      <c r="H1601" s="6">
        <v>0</v>
      </c>
      <c r="I1601" t="s">
        <v>509</v>
      </c>
    </row>
    <row r="1602" spans="1:11">
      <c r="A1602" s="6">
        <v>0</v>
      </c>
      <c r="B1602" s="6">
        <v>0</v>
      </c>
      <c r="C1602" s="6">
        <v>0</v>
      </c>
      <c r="D1602" s="6">
        <v>0</v>
      </c>
      <c r="E1602" s="6">
        <v>0</v>
      </c>
      <c r="F1602" s="6">
        <v>0</v>
      </c>
      <c r="G1602" s="6">
        <v>0</v>
      </c>
      <c r="H1602" s="6">
        <v>0</v>
      </c>
      <c r="I1602" t="s">
        <v>510</v>
      </c>
    </row>
    <row r="1603" spans="1:11">
      <c r="A1603" s="2" t="s">
        <v>32</v>
      </c>
      <c r="B1603" s="81"/>
      <c r="F1603" s="38"/>
      <c r="G1603" s="38"/>
    </row>
    <row r="1604" spans="1:11">
      <c r="A1604" s="2" t="s">
        <v>32</v>
      </c>
      <c r="B1604"/>
      <c r="F1604" s="38"/>
      <c r="G1604" s="38"/>
      <c r="I1604" s="2" t="s">
        <v>499</v>
      </c>
      <c r="J1604" s="2">
        <f>J1590+1</f>
        <v>29</v>
      </c>
      <c r="K1604" s="2" t="s">
        <v>511</v>
      </c>
    </row>
    <row r="1605" spans="1:11">
      <c r="A1605" s="1" t="s">
        <v>26</v>
      </c>
      <c r="B1605" s="2" t="s">
        <v>1428</v>
      </c>
      <c r="F1605" s="38"/>
      <c r="G1605" s="38"/>
    </row>
    <row r="1606" spans="1:11">
      <c r="A1606" s="6">
        <v>0</v>
      </c>
      <c r="B1606" s="6">
        <v>0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t="s">
        <v>500</v>
      </c>
    </row>
    <row r="1607" spans="1:11">
      <c r="A1607" s="6">
        <v>0</v>
      </c>
      <c r="B1607" s="6">
        <v>0</v>
      </c>
      <c r="C1607" s="6">
        <v>0</v>
      </c>
      <c r="D1607" s="6">
        <v>0</v>
      </c>
      <c r="E1607" s="6">
        <v>0</v>
      </c>
      <c r="F1607" s="6">
        <v>0</v>
      </c>
      <c r="G1607" s="6">
        <v>0</v>
      </c>
      <c r="H1607" s="6">
        <v>0</v>
      </c>
      <c r="I1607" t="s">
        <v>501</v>
      </c>
    </row>
    <row r="1608" spans="1:11">
      <c r="A1608" s="6">
        <v>0</v>
      </c>
      <c r="B1608" s="6">
        <v>0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t="s">
        <v>502</v>
      </c>
    </row>
    <row r="1609" spans="1:11">
      <c r="A1609" s="6">
        <v>0</v>
      </c>
      <c r="B1609" s="6">
        <v>0</v>
      </c>
      <c r="C1609" s="6">
        <v>0</v>
      </c>
      <c r="D1609" s="6">
        <v>0</v>
      </c>
      <c r="E1609" s="6">
        <v>0</v>
      </c>
      <c r="F1609" s="6">
        <v>0</v>
      </c>
      <c r="G1609" s="6">
        <v>0</v>
      </c>
      <c r="H1609" s="6">
        <v>0</v>
      </c>
      <c r="I1609" t="s">
        <v>503</v>
      </c>
    </row>
    <row r="1610" spans="1:11">
      <c r="A1610" s="6">
        <v>0</v>
      </c>
      <c r="B1610" s="6">
        <v>0</v>
      </c>
      <c r="C1610" s="6">
        <v>0</v>
      </c>
      <c r="D1610" s="6">
        <v>0</v>
      </c>
      <c r="E1610" s="6">
        <v>0</v>
      </c>
      <c r="F1610" s="6">
        <v>0</v>
      </c>
      <c r="G1610" s="6">
        <v>0</v>
      </c>
      <c r="H1610" s="6">
        <v>0</v>
      </c>
      <c r="I1610" t="s">
        <v>504</v>
      </c>
    </row>
    <row r="1611" spans="1:11">
      <c r="A1611" s="6">
        <v>0</v>
      </c>
      <c r="B1611" s="6">
        <v>0</v>
      </c>
      <c r="C1611" s="6">
        <v>0</v>
      </c>
      <c r="D1611" s="6">
        <v>0</v>
      </c>
      <c r="E1611" s="6">
        <v>0</v>
      </c>
      <c r="F1611" s="6">
        <v>0</v>
      </c>
      <c r="G1611" s="6">
        <v>0</v>
      </c>
      <c r="H1611" s="6">
        <v>0</v>
      </c>
      <c r="I1611" t="s">
        <v>505</v>
      </c>
    </row>
    <row r="1612" spans="1:11">
      <c r="A1612" s="6">
        <v>0</v>
      </c>
      <c r="B1612" s="6">
        <v>0</v>
      </c>
      <c r="C1612" s="6">
        <v>0</v>
      </c>
      <c r="D1612" s="6">
        <v>0</v>
      </c>
      <c r="E1612" s="6">
        <v>0</v>
      </c>
      <c r="F1612" s="6">
        <v>0</v>
      </c>
      <c r="G1612" s="6">
        <v>0</v>
      </c>
      <c r="H1612" s="6">
        <v>0</v>
      </c>
      <c r="I1612" t="s">
        <v>506</v>
      </c>
    </row>
    <row r="1613" spans="1:11">
      <c r="A1613" s="6">
        <v>0</v>
      </c>
      <c r="B1613" s="6">
        <v>0</v>
      </c>
      <c r="C1613" s="6">
        <v>0</v>
      </c>
      <c r="D1613" s="6">
        <v>0</v>
      </c>
      <c r="E1613" s="6">
        <v>0</v>
      </c>
      <c r="F1613" s="6">
        <v>0</v>
      </c>
      <c r="G1613" s="6">
        <v>0</v>
      </c>
      <c r="H1613" s="6">
        <v>0</v>
      </c>
      <c r="I1613" t="s">
        <v>507</v>
      </c>
    </row>
    <row r="1614" spans="1:11">
      <c r="A1614" s="6">
        <v>0</v>
      </c>
      <c r="B1614" s="6">
        <v>0</v>
      </c>
      <c r="C1614" s="6">
        <v>0</v>
      </c>
      <c r="D1614" s="6">
        <v>0</v>
      </c>
      <c r="E1614" s="6">
        <v>0</v>
      </c>
      <c r="F1614" s="6">
        <v>0</v>
      </c>
      <c r="G1614" s="6">
        <v>0</v>
      </c>
      <c r="H1614" s="6">
        <v>0</v>
      </c>
      <c r="I1614" t="s">
        <v>508</v>
      </c>
    </row>
    <row r="1615" spans="1:11">
      <c r="A1615" s="6">
        <v>0</v>
      </c>
      <c r="B1615" s="6">
        <v>0</v>
      </c>
      <c r="C1615" s="6">
        <v>0</v>
      </c>
      <c r="D1615" s="6">
        <v>0</v>
      </c>
      <c r="E1615" s="6">
        <v>0</v>
      </c>
      <c r="F1615" s="6">
        <v>0</v>
      </c>
      <c r="G1615" s="6">
        <v>0</v>
      </c>
      <c r="H1615" s="6">
        <v>0</v>
      </c>
      <c r="I1615" t="s">
        <v>509</v>
      </c>
    </row>
    <row r="1616" spans="1:11">
      <c r="A1616" s="6">
        <v>0</v>
      </c>
      <c r="B1616" s="6">
        <v>0</v>
      </c>
      <c r="C1616" s="6">
        <v>0</v>
      </c>
      <c r="D1616" s="6">
        <v>0</v>
      </c>
      <c r="E1616" s="6">
        <v>0</v>
      </c>
      <c r="F1616" s="6">
        <v>0</v>
      </c>
      <c r="G1616" s="6">
        <v>0</v>
      </c>
      <c r="H1616" s="6">
        <v>0</v>
      </c>
      <c r="I1616" t="s">
        <v>510</v>
      </c>
    </row>
    <row r="1617" spans="1:11">
      <c r="A1617" s="2" t="s">
        <v>32</v>
      </c>
      <c r="B1617" s="81"/>
      <c r="F1617" s="38"/>
      <c r="G1617" s="38"/>
    </row>
    <row r="1618" spans="1:11">
      <c r="A1618" s="2" t="s">
        <v>32</v>
      </c>
      <c r="B1618"/>
      <c r="F1618" s="38"/>
      <c r="G1618" s="38"/>
      <c r="I1618" s="2" t="s">
        <v>499</v>
      </c>
      <c r="J1618" s="2">
        <f>J1604+1</f>
        <v>30</v>
      </c>
      <c r="K1618" s="2" t="s">
        <v>511</v>
      </c>
    </row>
    <row r="1619" spans="1:11">
      <c r="A1619" s="1" t="s">
        <v>26</v>
      </c>
      <c r="B1619" s="2" t="s">
        <v>1428</v>
      </c>
      <c r="F1619" s="38"/>
      <c r="G1619" s="38"/>
    </row>
    <row r="1620" spans="1:11">
      <c r="A1620" s="6">
        <v>0</v>
      </c>
      <c r="B1620" s="6">
        <v>0</v>
      </c>
      <c r="C1620" s="6">
        <v>0</v>
      </c>
      <c r="D1620" s="6">
        <v>0</v>
      </c>
      <c r="E1620" s="6">
        <v>0</v>
      </c>
      <c r="F1620" s="6">
        <v>0</v>
      </c>
      <c r="G1620" s="6">
        <v>0</v>
      </c>
      <c r="H1620" s="6">
        <v>0</v>
      </c>
      <c r="I1620" t="s">
        <v>500</v>
      </c>
    </row>
    <row r="1621" spans="1:11">
      <c r="A1621" s="6">
        <v>0</v>
      </c>
      <c r="B1621" s="6">
        <v>0</v>
      </c>
      <c r="C1621" s="6">
        <v>0</v>
      </c>
      <c r="D1621" s="6">
        <v>0</v>
      </c>
      <c r="E1621" s="6">
        <v>0</v>
      </c>
      <c r="F1621" s="6">
        <v>0</v>
      </c>
      <c r="G1621" s="6">
        <v>0</v>
      </c>
      <c r="H1621" s="6">
        <v>0</v>
      </c>
      <c r="I1621" t="s">
        <v>501</v>
      </c>
    </row>
    <row r="1622" spans="1:11">
      <c r="A1622" s="6">
        <v>0</v>
      </c>
      <c r="B1622" s="6">
        <v>0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t="s">
        <v>502</v>
      </c>
    </row>
    <row r="1623" spans="1:11">
      <c r="A1623" s="6">
        <v>0</v>
      </c>
      <c r="B1623" s="6">
        <v>0</v>
      </c>
      <c r="C1623" s="6">
        <v>0</v>
      </c>
      <c r="D1623" s="6">
        <v>0</v>
      </c>
      <c r="E1623" s="6">
        <v>0</v>
      </c>
      <c r="F1623" s="6">
        <v>0</v>
      </c>
      <c r="G1623" s="6">
        <v>0</v>
      </c>
      <c r="H1623" s="6">
        <v>0</v>
      </c>
      <c r="I1623" t="s">
        <v>503</v>
      </c>
    </row>
    <row r="1624" spans="1:11">
      <c r="A1624" s="6">
        <v>0</v>
      </c>
      <c r="B1624" s="6" t="s">
        <v>1427</v>
      </c>
      <c r="C1624" s="6" t="s">
        <v>1427</v>
      </c>
      <c r="D1624" s="6" t="s">
        <v>1427</v>
      </c>
      <c r="E1624" s="6" t="s">
        <v>1427</v>
      </c>
      <c r="F1624" s="6">
        <v>0</v>
      </c>
      <c r="G1624" s="6">
        <v>0</v>
      </c>
      <c r="H1624" s="6">
        <v>0</v>
      </c>
      <c r="I1624" t="s">
        <v>504</v>
      </c>
    </row>
    <row r="1625" spans="1:11">
      <c r="A1625" s="6">
        <v>0</v>
      </c>
      <c r="B1625" s="6">
        <v>0</v>
      </c>
      <c r="C1625" s="6">
        <v>0</v>
      </c>
      <c r="D1625" s="6">
        <v>0</v>
      </c>
      <c r="E1625" s="6">
        <v>0</v>
      </c>
      <c r="F1625" s="6">
        <v>0</v>
      </c>
      <c r="G1625" s="6">
        <v>0</v>
      </c>
      <c r="H1625" s="6">
        <v>0</v>
      </c>
      <c r="I1625" t="s">
        <v>505</v>
      </c>
    </row>
    <row r="1626" spans="1:11">
      <c r="A1626" s="6">
        <v>0</v>
      </c>
      <c r="B1626" s="6">
        <v>0</v>
      </c>
      <c r="C1626" s="6">
        <v>0</v>
      </c>
      <c r="D1626" s="6">
        <v>0</v>
      </c>
      <c r="E1626" s="6">
        <v>0</v>
      </c>
      <c r="F1626" s="6">
        <v>0</v>
      </c>
      <c r="G1626" s="6">
        <v>0</v>
      </c>
      <c r="H1626" s="6">
        <v>0</v>
      </c>
      <c r="I1626" t="s">
        <v>506</v>
      </c>
    </row>
    <row r="1627" spans="1:11">
      <c r="A1627" s="6">
        <v>0</v>
      </c>
      <c r="B1627" s="6">
        <v>0</v>
      </c>
      <c r="C1627" s="6">
        <v>0</v>
      </c>
      <c r="D1627" s="6">
        <v>0</v>
      </c>
      <c r="E1627" s="6">
        <v>0</v>
      </c>
      <c r="F1627" s="6">
        <v>0</v>
      </c>
      <c r="G1627" s="6">
        <v>0</v>
      </c>
      <c r="H1627" s="6">
        <v>0</v>
      </c>
      <c r="I1627" t="s">
        <v>507</v>
      </c>
    </row>
    <row r="1628" spans="1:11">
      <c r="A1628" s="6">
        <v>0</v>
      </c>
      <c r="B1628" s="6">
        <v>0</v>
      </c>
      <c r="C1628" s="6">
        <v>0</v>
      </c>
      <c r="D1628" s="6">
        <v>0</v>
      </c>
      <c r="E1628" s="6">
        <v>0</v>
      </c>
      <c r="F1628" s="6">
        <v>0</v>
      </c>
      <c r="G1628" s="6">
        <v>0</v>
      </c>
      <c r="H1628" s="6">
        <v>0</v>
      </c>
      <c r="I1628" t="s">
        <v>508</v>
      </c>
    </row>
    <row r="1629" spans="1:11">
      <c r="A1629" s="6">
        <v>0</v>
      </c>
      <c r="B1629" s="6">
        <v>0</v>
      </c>
      <c r="C1629" s="6">
        <v>0</v>
      </c>
      <c r="D1629" s="6">
        <v>0</v>
      </c>
      <c r="E1629" s="6">
        <v>0</v>
      </c>
      <c r="F1629" s="6">
        <v>0</v>
      </c>
      <c r="G1629" s="6">
        <v>0</v>
      </c>
      <c r="H1629" s="6">
        <v>0</v>
      </c>
      <c r="I1629" t="s">
        <v>509</v>
      </c>
    </row>
    <row r="1630" spans="1:11">
      <c r="A1630" s="6">
        <v>0</v>
      </c>
      <c r="B1630" s="6">
        <v>0</v>
      </c>
      <c r="C1630" s="6">
        <v>0</v>
      </c>
      <c r="D1630" s="6">
        <v>0</v>
      </c>
      <c r="E1630" s="6">
        <v>0</v>
      </c>
      <c r="F1630" s="6">
        <v>0</v>
      </c>
      <c r="G1630" s="6">
        <v>0</v>
      </c>
      <c r="H1630" s="6">
        <v>0</v>
      </c>
      <c r="I1630" t="s">
        <v>510</v>
      </c>
    </row>
    <row r="1631" spans="1:11">
      <c r="A1631" s="2" t="s">
        <v>32</v>
      </c>
      <c r="B1631" s="81"/>
      <c r="F1631" s="38"/>
      <c r="G1631" s="38"/>
    </row>
    <row r="1632" spans="1:11">
      <c r="A1632" s="2" t="s">
        <v>32</v>
      </c>
      <c r="B1632"/>
      <c r="F1632" s="38"/>
      <c r="G1632" s="38"/>
      <c r="I1632" s="2" t="s">
        <v>499</v>
      </c>
      <c r="J1632" s="2">
        <f>J1618+1</f>
        <v>31</v>
      </c>
      <c r="K1632" s="2" t="s">
        <v>511</v>
      </c>
    </row>
    <row r="1633" spans="1:11">
      <c r="A1633" s="1" t="s">
        <v>26</v>
      </c>
      <c r="B1633" s="2" t="s">
        <v>1428</v>
      </c>
      <c r="F1633" s="38"/>
      <c r="G1633" s="38"/>
    </row>
    <row r="1634" spans="1:11">
      <c r="A1634" s="6">
        <v>0</v>
      </c>
      <c r="B1634" s="6">
        <v>0</v>
      </c>
      <c r="C1634" s="6">
        <v>0</v>
      </c>
      <c r="D1634" s="6">
        <v>0</v>
      </c>
      <c r="E1634" s="6">
        <v>0</v>
      </c>
      <c r="F1634" s="6">
        <v>0</v>
      </c>
      <c r="G1634" s="6">
        <v>0</v>
      </c>
      <c r="H1634" s="6">
        <v>0</v>
      </c>
      <c r="I1634" t="s">
        <v>500</v>
      </c>
    </row>
    <row r="1635" spans="1:11">
      <c r="A1635" s="6">
        <v>0</v>
      </c>
      <c r="B1635" s="6">
        <v>0</v>
      </c>
      <c r="C1635" s="6">
        <v>0</v>
      </c>
      <c r="D1635" s="6">
        <v>0</v>
      </c>
      <c r="E1635" s="6">
        <v>0</v>
      </c>
      <c r="F1635" s="6">
        <v>0</v>
      </c>
      <c r="G1635" s="6">
        <v>0</v>
      </c>
      <c r="H1635" s="6">
        <v>0</v>
      </c>
      <c r="I1635" t="s">
        <v>501</v>
      </c>
    </row>
    <row r="1636" spans="1:11">
      <c r="A1636" s="6">
        <v>0</v>
      </c>
      <c r="B1636" s="6">
        <v>0</v>
      </c>
      <c r="C1636" s="6">
        <v>0</v>
      </c>
      <c r="D1636" s="6">
        <v>0</v>
      </c>
      <c r="E1636" s="6">
        <v>0</v>
      </c>
      <c r="F1636" s="6">
        <v>0</v>
      </c>
      <c r="G1636" s="6">
        <v>0</v>
      </c>
      <c r="H1636" s="6">
        <v>0</v>
      </c>
      <c r="I1636" t="s">
        <v>502</v>
      </c>
    </row>
    <row r="1637" spans="1:11">
      <c r="A1637" s="6">
        <v>0</v>
      </c>
      <c r="B1637" s="6">
        <v>0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  <c r="I1637" t="s">
        <v>503</v>
      </c>
    </row>
    <row r="1638" spans="1:11">
      <c r="A1638" s="6">
        <v>0</v>
      </c>
      <c r="B1638" s="6">
        <v>0</v>
      </c>
      <c r="C1638" s="6">
        <v>0</v>
      </c>
      <c r="D1638" s="6">
        <v>0</v>
      </c>
      <c r="E1638" s="6">
        <v>0</v>
      </c>
      <c r="F1638" s="6">
        <v>0</v>
      </c>
      <c r="G1638" s="6">
        <v>0</v>
      </c>
      <c r="H1638" s="6">
        <v>0</v>
      </c>
      <c r="I1638" t="s">
        <v>504</v>
      </c>
    </row>
    <row r="1639" spans="1:11">
      <c r="A1639" s="6">
        <v>0</v>
      </c>
      <c r="B1639" s="6">
        <v>0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  <c r="H1639" s="6">
        <v>0</v>
      </c>
      <c r="I1639" t="s">
        <v>505</v>
      </c>
    </row>
    <row r="1640" spans="1:11">
      <c r="A1640" s="6">
        <v>0</v>
      </c>
      <c r="B1640" s="6">
        <v>0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  <c r="I1640" t="s">
        <v>506</v>
      </c>
    </row>
    <row r="1641" spans="1:11">
      <c r="A1641" s="6">
        <v>0</v>
      </c>
      <c r="B1641" s="6">
        <v>0</v>
      </c>
      <c r="C1641" s="6">
        <v>0</v>
      </c>
      <c r="D1641" s="6">
        <v>0</v>
      </c>
      <c r="E1641" s="6">
        <v>0</v>
      </c>
      <c r="F1641" s="6">
        <v>0</v>
      </c>
      <c r="G1641" s="6">
        <v>0</v>
      </c>
      <c r="H1641" s="6">
        <v>0</v>
      </c>
      <c r="I1641" t="s">
        <v>507</v>
      </c>
    </row>
    <row r="1642" spans="1:11">
      <c r="A1642" s="6">
        <v>0</v>
      </c>
      <c r="B1642" s="6">
        <v>0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  <c r="I1642" t="s">
        <v>508</v>
      </c>
    </row>
    <row r="1643" spans="1:11">
      <c r="A1643" s="6">
        <v>0</v>
      </c>
      <c r="B1643" s="6">
        <v>0</v>
      </c>
      <c r="C1643" s="6">
        <v>0</v>
      </c>
      <c r="D1643" s="6">
        <v>0</v>
      </c>
      <c r="E1643" s="6">
        <v>0</v>
      </c>
      <c r="F1643" s="6">
        <v>0</v>
      </c>
      <c r="G1643" s="6">
        <v>0</v>
      </c>
      <c r="H1643" s="6">
        <v>0</v>
      </c>
      <c r="I1643" t="s">
        <v>509</v>
      </c>
    </row>
    <row r="1644" spans="1:11">
      <c r="A1644" s="6">
        <v>0</v>
      </c>
      <c r="B1644" s="6">
        <v>0</v>
      </c>
      <c r="C1644" s="6">
        <v>0</v>
      </c>
      <c r="D1644" s="6">
        <v>0</v>
      </c>
      <c r="E1644" s="6">
        <v>0</v>
      </c>
      <c r="F1644" s="6">
        <v>0</v>
      </c>
      <c r="G1644" s="6">
        <v>0</v>
      </c>
      <c r="H1644" s="6">
        <v>0</v>
      </c>
      <c r="I1644" t="s">
        <v>510</v>
      </c>
    </row>
    <row r="1645" spans="1:11">
      <c r="A1645" s="2" t="s">
        <v>32</v>
      </c>
      <c r="B1645" s="81"/>
      <c r="F1645" s="38"/>
      <c r="G1645" s="38"/>
    </row>
    <row r="1646" spans="1:11">
      <c r="A1646" s="2" t="s">
        <v>32</v>
      </c>
      <c r="B1646"/>
      <c r="F1646" s="38"/>
      <c r="G1646" s="38"/>
      <c r="I1646" s="2" t="s">
        <v>499</v>
      </c>
      <c r="J1646" s="2">
        <f>J1632+1</f>
        <v>32</v>
      </c>
      <c r="K1646" s="2" t="s">
        <v>511</v>
      </c>
    </row>
    <row r="1647" spans="1:11">
      <c r="A1647" s="1" t="s">
        <v>26</v>
      </c>
      <c r="B1647" s="2" t="s">
        <v>1428</v>
      </c>
      <c r="F1647" s="38"/>
      <c r="G1647" s="38"/>
    </row>
    <row r="1648" spans="1:11">
      <c r="A1648" s="6">
        <v>0</v>
      </c>
      <c r="B1648" s="6">
        <v>0</v>
      </c>
      <c r="C1648" s="6">
        <v>0</v>
      </c>
      <c r="D1648" s="6">
        <v>0</v>
      </c>
      <c r="E1648" s="6">
        <v>0</v>
      </c>
      <c r="F1648" s="6">
        <v>0</v>
      </c>
      <c r="G1648" s="6">
        <v>0</v>
      </c>
      <c r="H1648" s="6">
        <v>0</v>
      </c>
      <c r="I1648" t="s">
        <v>500</v>
      </c>
    </row>
    <row r="1649" spans="1:11">
      <c r="A1649" s="6">
        <v>0</v>
      </c>
      <c r="B1649" s="6">
        <v>0</v>
      </c>
      <c r="C1649" s="6">
        <v>0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  <c r="I1649" t="s">
        <v>501</v>
      </c>
    </row>
    <row r="1650" spans="1:11">
      <c r="A1650" s="6">
        <v>0</v>
      </c>
      <c r="B1650" s="6">
        <v>0</v>
      </c>
      <c r="C1650" s="6">
        <v>0</v>
      </c>
      <c r="D1650" s="6">
        <v>0</v>
      </c>
      <c r="E1650" s="6">
        <v>0</v>
      </c>
      <c r="F1650" s="6">
        <v>0</v>
      </c>
      <c r="G1650" s="6">
        <v>0</v>
      </c>
      <c r="H1650" s="6">
        <v>0</v>
      </c>
      <c r="I1650" t="s">
        <v>502</v>
      </c>
    </row>
    <row r="1651" spans="1:11">
      <c r="A1651" s="6">
        <v>0</v>
      </c>
      <c r="B1651" s="6">
        <v>0</v>
      </c>
      <c r="C1651" s="6">
        <v>0</v>
      </c>
      <c r="D1651" s="6">
        <v>0</v>
      </c>
      <c r="E1651" s="6">
        <v>0</v>
      </c>
      <c r="F1651" s="6">
        <v>0</v>
      </c>
      <c r="G1651" s="6">
        <v>0</v>
      </c>
      <c r="H1651" s="6">
        <v>0</v>
      </c>
      <c r="I1651" t="s">
        <v>503</v>
      </c>
    </row>
    <row r="1652" spans="1:11">
      <c r="A1652" s="6">
        <v>0</v>
      </c>
      <c r="B1652" s="6">
        <v>0</v>
      </c>
      <c r="C1652" s="6">
        <v>0</v>
      </c>
      <c r="D1652" s="6">
        <v>0</v>
      </c>
      <c r="E1652" s="6">
        <v>0</v>
      </c>
      <c r="F1652" s="6" t="s">
        <v>1661</v>
      </c>
      <c r="G1652" s="6">
        <v>0</v>
      </c>
      <c r="H1652" s="6">
        <v>0</v>
      </c>
      <c r="I1652" t="s">
        <v>504</v>
      </c>
    </row>
    <row r="1653" spans="1:11">
      <c r="A1653" s="6">
        <v>0</v>
      </c>
      <c r="B1653" s="6">
        <v>0</v>
      </c>
      <c r="C1653" s="6">
        <v>0</v>
      </c>
      <c r="D1653" s="6">
        <v>0</v>
      </c>
      <c r="E1653" s="6">
        <v>0</v>
      </c>
      <c r="F1653" s="6">
        <v>0</v>
      </c>
      <c r="G1653" s="6">
        <v>0</v>
      </c>
      <c r="H1653" s="6">
        <v>0</v>
      </c>
      <c r="I1653" t="s">
        <v>505</v>
      </c>
    </row>
    <row r="1654" spans="1:11">
      <c r="A1654" s="6">
        <v>0</v>
      </c>
      <c r="B1654" s="6">
        <v>0</v>
      </c>
      <c r="C1654" s="6">
        <v>0</v>
      </c>
      <c r="D1654" s="6">
        <v>0</v>
      </c>
      <c r="E1654" s="6">
        <v>0</v>
      </c>
      <c r="F1654" s="6">
        <v>0</v>
      </c>
      <c r="G1654" s="6">
        <v>0</v>
      </c>
      <c r="H1654" s="6">
        <v>0</v>
      </c>
      <c r="I1654" t="s">
        <v>506</v>
      </c>
    </row>
    <row r="1655" spans="1:11">
      <c r="A1655" s="6">
        <v>0</v>
      </c>
      <c r="B1655" s="6">
        <v>0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  <c r="I1655" t="s">
        <v>507</v>
      </c>
    </row>
    <row r="1656" spans="1:11">
      <c r="A1656" s="6">
        <v>0</v>
      </c>
      <c r="B1656" s="6">
        <v>0</v>
      </c>
      <c r="C1656" s="6">
        <v>0</v>
      </c>
      <c r="D1656" s="6">
        <v>0</v>
      </c>
      <c r="E1656" s="6">
        <v>0</v>
      </c>
      <c r="F1656" s="6">
        <v>0</v>
      </c>
      <c r="G1656" s="6">
        <v>0</v>
      </c>
      <c r="H1656" s="6">
        <v>0</v>
      </c>
      <c r="I1656" t="s">
        <v>508</v>
      </c>
    </row>
    <row r="1657" spans="1:11">
      <c r="A1657" s="6">
        <v>0</v>
      </c>
      <c r="B1657" s="6">
        <v>0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  <c r="I1657" t="s">
        <v>509</v>
      </c>
    </row>
    <row r="1658" spans="1:11">
      <c r="A1658" s="6">
        <v>0</v>
      </c>
      <c r="B1658" s="6">
        <v>0</v>
      </c>
      <c r="C1658" s="6">
        <v>0</v>
      </c>
      <c r="D1658" s="6">
        <v>0</v>
      </c>
      <c r="E1658" s="6">
        <v>0</v>
      </c>
      <c r="F1658" s="6">
        <v>0</v>
      </c>
      <c r="G1658" s="6">
        <v>0</v>
      </c>
      <c r="H1658" s="6">
        <v>0</v>
      </c>
      <c r="I1658" t="s">
        <v>510</v>
      </c>
    </row>
    <row r="1659" spans="1:11">
      <c r="A1659" s="2" t="s">
        <v>32</v>
      </c>
      <c r="B1659" s="81"/>
      <c r="F1659" s="38"/>
      <c r="G1659" s="38"/>
    </row>
    <row r="1660" spans="1:11">
      <c r="A1660" s="2" t="s">
        <v>32</v>
      </c>
      <c r="B1660"/>
      <c r="F1660" s="38"/>
      <c r="G1660" s="38"/>
      <c r="I1660" s="2" t="s">
        <v>499</v>
      </c>
      <c r="J1660" s="2">
        <f>J1646+1</f>
        <v>33</v>
      </c>
      <c r="K1660" s="2" t="s">
        <v>511</v>
      </c>
    </row>
    <row r="1661" spans="1:11">
      <c r="A1661" s="1" t="s">
        <v>26</v>
      </c>
      <c r="B1661" s="2" t="s">
        <v>1428</v>
      </c>
      <c r="F1661" s="38"/>
      <c r="G1661" s="38"/>
    </row>
    <row r="1662" spans="1:11">
      <c r="A1662" s="6">
        <v>0</v>
      </c>
      <c r="B1662" s="6">
        <v>0</v>
      </c>
      <c r="C1662" s="6">
        <v>0</v>
      </c>
      <c r="D1662" s="6">
        <v>0</v>
      </c>
      <c r="E1662" s="6">
        <v>0</v>
      </c>
      <c r="F1662" s="6">
        <v>0</v>
      </c>
      <c r="G1662" s="6">
        <v>0</v>
      </c>
      <c r="H1662" s="6">
        <v>0</v>
      </c>
      <c r="I1662" t="s">
        <v>500</v>
      </c>
    </row>
    <row r="1663" spans="1:11">
      <c r="A1663" s="6">
        <v>0</v>
      </c>
      <c r="B1663" s="6">
        <v>0</v>
      </c>
      <c r="C1663" s="6">
        <v>0</v>
      </c>
      <c r="D1663" s="6">
        <v>0</v>
      </c>
      <c r="E1663" s="6">
        <v>0</v>
      </c>
      <c r="F1663" s="6">
        <v>0</v>
      </c>
      <c r="G1663" s="6">
        <v>0</v>
      </c>
      <c r="H1663" s="6">
        <v>0</v>
      </c>
      <c r="I1663" t="s">
        <v>501</v>
      </c>
    </row>
    <row r="1664" spans="1:11">
      <c r="A1664" s="6">
        <v>0</v>
      </c>
      <c r="B1664" s="6">
        <v>0</v>
      </c>
      <c r="C1664" s="6">
        <v>0</v>
      </c>
      <c r="D1664" s="6">
        <v>0</v>
      </c>
      <c r="E1664" s="6">
        <v>0</v>
      </c>
      <c r="F1664" s="6">
        <v>0</v>
      </c>
      <c r="G1664" s="6">
        <v>0</v>
      </c>
      <c r="H1664" s="6">
        <v>0</v>
      </c>
      <c r="I1664" t="s">
        <v>502</v>
      </c>
    </row>
    <row r="1665" spans="1:11">
      <c r="A1665" s="6">
        <v>0</v>
      </c>
      <c r="B1665" s="6">
        <v>0</v>
      </c>
      <c r="C1665" s="6">
        <v>0</v>
      </c>
      <c r="D1665" s="6">
        <v>0</v>
      </c>
      <c r="E1665" s="6">
        <v>0</v>
      </c>
      <c r="F1665" s="6">
        <v>0</v>
      </c>
      <c r="G1665" s="6">
        <v>0</v>
      </c>
      <c r="H1665" s="6">
        <v>0</v>
      </c>
      <c r="I1665" t="s">
        <v>503</v>
      </c>
    </row>
    <row r="1666" spans="1:11">
      <c r="A1666" s="6">
        <v>0</v>
      </c>
      <c r="B1666" s="6">
        <v>0</v>
      </c>
      <c r="C1666" s="6">
        <v>0</v>
      </c>
      <c r="D1666" s="6">
        <v>0</v>
      </c>
      <c r="E1666" s="6">
        <v>0</v>
      </c>
      <c r="F1666" s="6">
        <v>0</v>
      </c>
      <c r="G1666" s="6">
        <v>0</v>
      </c>
      <c r="H1666" s="6">
        <v>0</v>
      </c>
      <c r="I1666" t="s">
        <v>504</v>
      </c>
    </row>
    <row r="1667" spans="1:11">
      <c r="A1667" s="6">
        <v>0</v>
      </c>
      <c r="B1667" s="6">
        <v>0</v>
      </c>
      <c r="C1667" s="6">
        <v>0</v>
      </c>
      <c r="D1667" s="6">
        <v>0</v>
      </c>
      <c r="E1667" s="6">
        <v>0</v>
      </c>
      <c r="F1667" s="6">
        <v>0</v>
      </c>
      <c r="G1667" s="6">
        <v>0</v>
      </c>
      <c r="H1667" s="6">
        <v>0</v>
      </c>
      <c r="I1667" t="s">
        <v>505</v>
      </c>
    </row>
    <row r="1668" spans="1:11">
      <c r="A1668" s="6">
        <v>0</v>
      </c>
      <c r="B1668" s="6">
        <v>0</v>
      </c>
      <c r="C1668" s="6">
        <v>0</v>
      </c>
      <c r="D1668" s="6">
        <v>0</v>
      </c>
      <c r="E1668" s="6">
        <v>0</v>
      </c>
      <c r="F1668" s="6">
        <v>0</v>
      </c>
      <c r="G1668" s="6">
        <v>0</v>
      </c>
      <c r="H1668" s="6">
        <v>0</v>
      </c>
      <c r="I1668" t="s">
        <v>506</v>
      </c>
    </row>
    <row r="1669" spans="1:11">
      <c r="A1669" s="6">
        <v>0</v>
      </c>
      <c r="B1669" s="6">
        <v>0</v>
      </c>
      <c r="C1669" s="6">
        <v>0</v>
      </c>
      <c r="D1669" s="6">
        <v>0</v>
      </c>
      <c r="E1669" s="6">
        <v>0</v>
      </c>
      <c r="F1669" s="6">
        <v>0</v>
      </c>
      <c r="G1669" s="6">
        <v>0</v>
      </c>
      <c r="H1669" s="6">
        <v>0</v>
      </c>
      <c r="I1669" t="s">
        <v>507</v>
      </c>
    </row>
    <row r="1670" spans="1:11">
      <c r="A1670" s="6">
        <v>0</v>
      </c>
      <c r="B1670" s="6">
        <v>0</v>
      </c>
      <c r="C1670" s="6">
        <v>0</v>
      </c>
      <c r="D1670" s="6">
        <v>0</v>
      </c>
      <c r="E1670" s="6">
        <v>0</v>
      </c>
      <c r="F1670" s="6">
        <v>0</v>
      </c>
      <c r="G1670" s="6">
        <v>0</v>
      </c>
      <c r="H1670" s="6">
        <v>0</v>
      </c>
      <c r="I1670" t="s">
        <v>508</v>
      </c>
    </row>
    <row r="1671" spans="1:11">
      <c r="A1671" s="6">
        <v>0</v>
      </c>
      <c r="B1671" s="6">
        <v>0</v>
      </c>
      <c r="C1671" s="6">
        <v>0</v>
      </c>
      <c r="D1671" s="6">
        <v>0</v>
      </c>
      <c r="E1671" s="6">
        <v>0</v>
      </c>
      <c r="F1671" s="6">
        <v>0</v>
      </c>
      <c r="G1671" s="6">
        <v>0</v>
      </c>
      <c r="H1671" s="6">
        <v>0</v>
      </c>
      <c r="I1671" t="s">
        <v>509</v>
      </c>
    </row>
    <row r="1672" spans="1:11">
      <c r="A1672" s="6">
        <v>0</v>
      </c>
      <c r="B1672" s="6">
        <v>0</v>
      </c>
      <c r="C1672" s="6">
        <v>0</v>
      </c>
      <c r="D1672" s="6">
        <v>0</v>
      </c>
      <c r="E1672" s="6">
        <v>0</v>
      </c>
      <c r="F1672" s="6">
        <v>0</v>
      </c>
      <c r="G1672" s="6">
        <v>0</v>
      </c>
      <c r="H1672" s="6">
        <v>0</v>
      </c>
      <c r="I1672" t="s">
        <v>510</v>
      </c>
    </row>
    <row r="1673" spans="1:11">
      <c r="A1673" s="2" t="s">
        <v>32</v>
      </c>
      <c r="B1673" s="81"/>
      <c r="F1673" s="38"/>
      <c r="G1673" s="38"/>
    </row>
    <row r="1674" spans="1:11">
      <c r="A1674" s="2" t="s">
        <v>32</v>
      </c>
      <c r="B1674"/>
      <c r="F1674" s="38"/>
      <c r="G1674" s="38"/>
      <c r="I1674" s="2" t="s">
        <v>499</v>
      </c>
      <c r="J1674" s="2">
        <f>J1660+1</f>
        <v>34</v>
      </c>
      <c r="K1674" s="2" t="s">
        <v>511</v>
      </c>
    </row>
    <row r="1675" spans="1:11">
      <c r="A1675" s="1" t="s">
        <v>26</v>
      </c>
      <c r="B1675" s="2" t="s">
        <v>1428</v>
      </c>
      <c r="F1675" s="38"/>
      <c r="G1675" s="38"/>
    </row>
    <row r="1676" spans="1:11">
      <c r="A1676" s="6">
        <v>0</v>
      </c>
      <c r="B1676" s="6">
        <v>0</v>
      </c>
      <c r="C1676" s="6">
        <v>0</v>
      </c>
      <c r="D1676" s="6">
        <v>0</v>
      </c>
      <c r="E1676" s="6">
        <v>0</v>
      </c>
      <c r="F1676" s="6">
        <v>0</v>
      </c>
      <c r="G1676" s="6">
        <v>0</v>
      </c>
      <c r="H1676" s="6">
        <v>0</v>
      </c>
      <c r="I1676" t="s">
        <v>500</v>
      </c>
    </row>
    <row r="1677" spans="1:11">
      <c r="A1677" s="6">
        <v>0</v>
      </c>
      <c r="B1677" s="6">
        <v>0</v>
      </c>
      <c r="C1677" s="6">
        <v>0</v>
      </c>
      <c r="D1677" s="6">
        <v>0</v>
      </c>
      <c r="E1677" s="6">
        <v>0</v>
      </c>
      <c r="F1677" s="6">
        <v>0</v>
      </c>
      <c r="G1677" s="6">
        <v>0</v>
      </c>
      <c r="H1677" s="6">
        <v>0</v>
      </c>
      <c r="I1677" t="s">
        <v>501</v>
      </c>
    </row>
    <row r="1678" spans="1:11">
      <c r="A1678" s="6">
        <v>0</v>
      </c>
      <c r="B1678" s="6">
        <v>0</v>
      </c>
      <c r="C1678" s="6">
        <v>0</v>
      </c>
      <c r="D1678" s="6">
        <v>0</v>
      </c>
      <c r="E1678" s="6">
        <v>0</v>
      </c>
      <c r="F1678" s="6">
        <v>0</v>
      </c>
      <c r="G1678" s="6">
        <v>0</v>
      </c>
      <c r="H1678" s="6">
        <v>0</v>
      </c>
      <c r="I1678" t="s">
        <v>502</v>
      </c>
    </row>
    <row r="1679" spans="1:11">
      <c r="A1679" s="6">
        <v>0</v>
      </c>
      <c r="B1679" s="6">
        <v>0</v>
      </c>
      <c r="C1679" s="6">
        <v>0</v>
      </c>
      <c r="D1679" s="6">
        <v>0</v>
      </c>
      <c r="E1679" s="6">
        <v>0</v>
      </c>
      <c r="F1679" s="6">
        <v>0</v>
      </c>
      <c r="G1679" s="6">
        <v>0</v>
      </c>
      <c r="H1679" s="6">
        <v>0</v>
      </c>
      <c r="I1679" t="s">
        <v>503</v>
      </c>
    </row>
    <row r="1680" spans="1:11">
      <c r="A1680" s="6">
        <v>0</v>
      </c>
      <c r="B1680" s="6">
        <v>0</v>
      </c>
      <c r="C1680" s="6">
        <v>0</v>
      </c>
      <c r="D1680" s="6">
        <v>0</v>
      </c>
      <c r="E1680" s="6">
        <v>0</v>
      </c>
      <c r="F1680" s="6">
        <v>0</v>
      </c>
      <c r="G1680" s="6">
        <v>0</v>
      </c>
      <c r="H1680" s="6">
        <v>0</v>
      </c>
      <c r="I1680" t="s">
        <v>504</v>
      </c>
    </row>
    <row r="1681" spans="1:11">
      <c r="A1681" s="6">
        <v>0</v>
      </c>
      <c r="B1681" s="6">
        <v>0</v>
      </c>
      <c r="C1681" s="6">
        <v>0</v>
      </c>
      <c r="D1681" s="6">
        <v>0</v>
      </c>
      <c r="E1681" s="6">
        <v>0</v>
      </c>
      <c r="F1681" s="6">
        <v>0</v>
      </c>
      <c r="G1681" s="6">
        <v>0</v>
      </c>
      <c r="H1681" s="6">
        <v>0</v>
      </c>
      <c r="I1681" t="s">
        <v>505</v>
      </c>
    </row>
    <row r="1682" spans="1:11">
      <c r="A1682" s="6">
        <v>0</v>
      </c>
      <c r="B1682" s="6">
        <v>0</v>
      </c>
      <c r="C1682" s="6">
        <v>0</v>
      </c>
      <c r="D1682" s="6">
        <v>0</v>
      </c>
      <c r="E1682" s="6">
        <v>0</v>
      </c>
      <c r="F1682" s="6">
        <v>0</v>
      </c>
      <c r="G1682" s="6">
        <v>0</v>
      </c>
      <c r="H1682" s="6">
        <v>0</v>
      </c>
      <c r="I1682" t="s">
        <v>506</v>
      </c>
    </row>
    <row r="1683" spans="1:11">
      <c r="A1683" s="6">
        <v>0</v>
      </c>
      <c r="B1683" s="6">
        <v>0</v>
      </c>
      <c r="C1683" s="6">
        <v>0</v>
      </c>
      <c r="D1683" s="6">
        <v>0</v>
      </c>
      <c r="E1683" s="6">
        <v>0</v>
      </c>
      <c r="F1683" s="6">
        <v>0</v>
      </c>
      <c r="G1683" s="6">
        <v>0</v>
      </c>
      <c r="H1683" s="6">
        <v>0</v>
      </c>
      <c r="I1683" t="s">
        <v>507</v>
      </c>
    </row>
    <row r="1684" spans="1:11">
      <c r="A1684" s="6">
        <v>0</v>
      </c>
      <c r="B1684" s="6">
        <v>0</v>
      </c>
      <c r="C1684" s="6">
        <v>0</v>
      </c>
      <c r="D1684" s="6">
        <v>0</v>
      </c>
      <c r="E1684" s="6">
        <v>0</v>
      </c>
      <c r="F1684" s="6">
        <v>0</v>
      </c>
      <c r="G1684" s="6">
        <v>0</v>
      </c>
      <c r="H1684" s="6">
        <v>0</v>
      </c>
      <c r="I1684" t="s">
        <v>508</v>
      </c>
    </row>
    <row r="1685" spans="1:11">
      <c r="A1685" s="6">
        <v>0</v>
      </c>
      <c r="B1685" s="6">
        <v>0</v>
      </c>
      <c r="C1685" s="6">
        <v>0</v>
      </c>
      <c r="D1685" s="6">
        <v>0</v>
      </c>
      <c r="E1685" s="6">
        <v>0</v>
      </c>
      <c r="F1685" s="6">
        <v>0</v>
      </c>
      <c r="G1685" s="6">
        <v>0</v>
      </c>
      <c r="H1685" s="6">
        <v>0</v>
      </c>
      <c r="I1685" t="s">
        <v>509</v>
      </c>
    </row>
    <row r="1686" spans="1:11">
      <c r="A1686" s="6">
        <v>0</v>
      </c>
      <c r="B1686" s="6">
        <v>0</v>
      </c>
      <c r="C1686" s="6">
        <v>0</v>
      </c>
      <c r="D1686" s="6">
        <v>0</v>
      </c>
      <c r="E1686" s="6">
        <v>0</v>
      </c>
      <c r="F1686" s="6">
        <v>0</v>
      </c>
      <c r="G1686" s="6">
        <v>0</v>
      </c>
      <c r="H1686" s="6">
        <v>0</v>
      </c>
      <c r="I1686" t="s">
        <v>510</v>
      </c>
    </row>
    <row r="1687" spans="1:11">
      <c r="A1687" s="2" t="s">
        <v>32</v>
      </c>
      <c r="B1687" s="81"/>
      <c r="F1687" s="38"/>
      <c r="G1687" s="38"/>
    </row>
    <row r="1688" spans="1:11">
      <c r="A1688" s="2" t="s">
        <v>32</v>
      </c>
      <c r="B1688"/>
      <c r="F1688" s="38"/>
      <c r="G1688" s="38"/>
      <c r="I1688" s="2" t="s">
        <v>499</v>
      </c>
      <c r="J1688" s="2">
        <f>J1674+1</f>
        <v>35</v>
      </c>
      <c r="K1688" s="2" t="s">
        <v>511</v>
      </c>
    </row>
    <row r="1689" spans="1:11">
      <c r="A1689" s="1" t="s">
        <v>26</v>
      </c>
      <c r="B1689" s="2" t="s">
        <v>1428</v>
      </c>
      <c r="F1689" s="38"/>
      <c r="G1689" s="38"/>
    </row>
    <row r="1690" spans="1:11">
      <c r="A1690" s="6">
        <v>0</v>
      </c>
      <c r="B1690" s="6">
        <v>0</v>
      </c>
      <c r="C1690" s="6">
        <v>0</v>
      </c>
      <c r="D1690" s="6">
        <v>0</v>
      </c>
      <c r="E1690" s="6">
        <v>0</v>
      </c>
      <c r="F1690" s="6">
        <v>0</v>
      </c>
      <c r="G1690" s="6">
        <v>0</v>
      </c>
      <c r="H1690" s="6">
        <v>0</v>
      </c>
      <c r="I1690" t="s">
        <v>500</v>
      </c>
    </row>
    <row r="1691" spans="1:11">
      <c r="A1691" s="6">
        <v>0</v>
      </c>
      <c r="B1691" s="6">
        <v>0</v>
      </c>
      <c r="C1691" s="6">
        <v>0</v>
      </c>
      <c r="D1691" s="6">
        <v>0</v>
      </c>
      <c r="E1691" s="6">
        <v>0</v>
      </c>
      <c r="F1691" s="6">
        <v>0</v>
      </c>
      <c r="G1691" s="6">
        <v>0</v>
      </c>
      <c r="H1691" s="6">
        <v>0</v>
      </c>
      <c r="I1691" t="s">
        <v>501</v>
      </c>
    </row>
    <row r="1692" spans="1:11">
      <c r="A1692" s="6">
        <v>0</v>
      </c>
      <c r="B1692" s="6">
        <v>0</v>
      </c>
      <c r="C1692" s="6">
        <v>0</v>
      </c>
      <c r="D1692" s="6">
        <v>0</v>
      </c>
      <c r="E1692" s="6">
        <v>0</v>
      </c>
      <c r="F1692" s="6">
        <v>0</v>
      </c>
      <c r="G1692" s="6">
        <v>0</v>
      </c>
      <c r="H1692" s="6">
        <v>0</v>
      </c>
      <c r="I1692" t="s">
        <v>502</v>
      </c>
    </row>
    <row r="1693" spans="1:11">
      <c r="A1693" s="6">
        <v>0</v>
      </c>
      <c r="B1693" s="6">
        <v>0</v>
      </c>
      <c r="C1693" s="6">
        <v>0</v>
      </c>
      <c r="D1693" s="6">
        <v>0</v>
      </c>
      <c r="E1693" s="6">
        <v>0</v>
      </c>
      <c r="F1693" s="6">
        <v>0</v>
      </c>
      <c r="G1693" s="6">
        <v>0</v>
      </c>
      <c r="H1693" s="6">
        <v>0</v>
      </c>
      <c r="I1693" t="s">
        <v>503</v>
      </c>
    </row>
    <row r="1694" spans="1:11">
      <c r="A1694" s="6">
        <v>0</v>
      </c>
      <c r="B1694" s="6">
        <v>0</v>
      </c>
      <c r="C1694" s="6">
        <v>0</v>
      </c>
      <c r="D1694" s="6">
        <v>0</v>
      </c>
      <c r="E1694" s="6">
        <v>0</v>
      </c>
      <c r="F1694" s="6">
        <v>0</v>
      </c>
      <c r="G1694" s="6" t="s">
        <v>1661</v>
      </c>
      <c r="H1694" s="6">
        <v>0</v>
      </c>
      <c r="I1694" t="s">
        <v>504</v>
      </c>
    </row>
    <row r="1695" spans="1:11">
      <c r="A1695" s="6">
        <v>0</v>
      </c>
      <c r="B1695" s="6">
        <v>0</v>
      </c>
      <c r="C1695" s="6">
        <v>0</v>
      </c>
      <c r="D1695" s="6">
        <v>0</v>
      </c>
      <c r="E1695" s="6">
        <v>0</v>
      </c>
      <c r="F1695" s="6">
        <v>0</v>
      </c>
      <c r="G1695" s="6">
        <v>0</v>
      </c>
      <c r="H1695" s="6">
        <v>0</v>
      </c>
      <c r="I1695" t="s">
        <v>505</v>
      </c>
    </row>
    <row r="1696" spans="1:11">
      <c r="A1696" s="6">
        <v>0</v>
      </c>
      <c r="B1696" s="6">
        <v>0</v>
      </c>
      <c r="C1696" s="6">
        <v>0</v>
      </c>
      <c r="D1696" s="6">
        <v>0</v>
      </c>
      <c r="E1696" s="6">
        <v>0</v>
      </c>
      <c r="F1696" s="6">
        <v>0</v>
      </c>
      <c r="G1696" s="6">
        <v>0</v>
      </c>
      <c r="H1696" s="6">
        <v>0</v>
      </c>
      <c r="I1696" t="s">
        <v>506</v>
      </c>
    </row>
    <row r="1697" spans="1:11">
      <c r="A1697" s="6">
        <v>0</v>
      </c>
      <c r="B1697" s="6">
        <v>0</v>
      </c>
      <c r="C1697" s="6">
        <v>0</v>
      </c>
      <c r="D1697" s="6">
        <v>0</v>
      </c>
      <c r="E1697" s="6">
        <v>0</v>
      </c>
      <c r="F1697" s="6">
        <v>0</v>
      </c>
      <c r="G1697" s="6">
        <v>0</v>
      </c>
      <c r="H1697" s="6">
        <v>0</v>
      </c>
      <c r="I1697" t="s">
        <v>507</v>
      </c>
    </row>
    <row r="1698" spans="1:11">
      <c r="A1698" s="6">
        <v>0</v>
      </c>
      <c r="B1698" s="6">
        <v>0</v>
      </c>
      <c r="C1698" s="6">
        <v>0</v>
      </c>
      <c r="D1698" s="6">
        <v>0</v>
      </c>
      <c r="E1698" s="6">
        <v>0</v>
      </c>
      <c r="F1698" s="6">
        <v>0</v>
      </c>
      <c r="G1698" s="6">
        <v>0</v>
      </c>
      <c r="H1698" s="6">
        <v>0</v>
      </c>
      <c r="I1698" t="s">
        <v>508</v>
      </c>
    </row>
    <row r="1699" spans="1:11">
      <c r="A1699" s="6">
        <v>0</v>
      </c>
      <c r="B1699" s="6">
        <v>0</v>
      </c>
      <c r="C1699" s="6">
        <v>0</v>
      </c>
      <c r="D1699" s="6">
        <v>0</v>
      </c>
      <c r="E1699" s="6">
        <v>0</v>
      </c>
      <c r="F1699" s="6">
        <v>0</v>
      </c>
      <c r="G1699" s="6">
        <v>0</v>
      </c>
      <c r="H1699" s="6">
        <v>0</v>
      </c>
      <c r="I1699" t="s">
        <v>509</v>
      </c>
    </row>
    <row r="1700" spans="1:11">
      <c r="A1700" s="6">
        <v>0</v>
      </c>
      <c r="B1700" s="6">
        <v>0</v>
      </c>
      <c r="C1700" s="6">
        <v>0</v>
      </c>
      <c r="D1700" s="6">
        <v>0</v>
      </c>
      <c r="E1700" s="6">
        <v>0</v>
      </c>
      <c r="F1700" s="6">
        <v>0</v>
      </c>
      <c r="G1700" s="6">
        <v>0</v>
      </c>
      <c r="H1700" s="6">
        <v>0</v>
      </c>
      <c r="I1700" t="s">
        <v>510</v>
      </c>
    </row>
    <row r="1701" spans="1:11">
      <c r="A1701" s="2" t="s">
        <v>32</v>
      </c>
      <c r="B1701" s="81"/>
      <c r="F1701" s="38"/>
      <c r="G1701" s="38"/>
    </row>
    <row r="1702" spans="1:11">
      <c r="A1702" s="2" t="s">
        <v>32</v>
      </c>
      <c r="B1702"/>
      <c r="F1702" s="38"/>
      <c r="G1702" s="38"/>
      <c r="I1702" s="2" t="s">
        <v>499</v>
      </c>
      <c r="J1702" s="2">
        <f>J1688+1</f>
        <v>36</v>
      </c>
      <c r="K1702" s="2" t="s">
        <v>511</v>
      </c>
    </row>
    <row r="1703" spans="1:11">
      <c r="A1703" s="1" t="s">
        <v>26</v>
      </c>
      <c r="B1703" s="2" t="s">
        <v>1428</v>
      </c>
      <c r="F1703" s="38"/>
      <c r="G1703" s="38"/>
    </row>
    <row r="1704" spans="1:11">
      <c r="A1704" s="6">
        <v>0</v>
      </c>
      <c r="B1704" s="6">
        <v>0</v>
      </c>
      <c r="C1704" s="6">
        <v>0</v>
      </c>
      <c r="D1704" s="6">
        <v>0</v>
      </c>
      <c r="E1704" s="6">
        <v>0</v>
      </c>
      <c r="F1704" s="6">
        <v>0</v>
      </c>
      <c r="G1704" s="6">
        <v>0</v>
      </c>
      <c r="H1704" s="6">
        <v>0</v>
      </c>
      <c r="I1704" t="s">
        <v>500</v>
      </c>
    </row>
    <row r="1705" spans="1:11">
      <c r="A1705" s="6">
        <v>0</v>
      </c>
      <c r="B1705" s="6">
        <v>0</v>
      </c>
      <c r="C1705" s="6">
        <v>0</v>
      </c>
      <c r="D1705" s="6">
        <v>0</v>
      </c>
      <c r="E1705" s="6">
        <v>0</v>
      </c>
      <c r="F1705" s="6">
        <v>0</v>
      </c>
      <c r="G1705" s="6">
        <v>0</v>
      </c>
      <c r="H1705" s="6">
        <v>0</v>
      </c>
      <c r="I1705" t="s">
        <v>501</v>
      </c>
    </row>
    <row r="1706" spans="1:11">
      <c r="A1706" s="6">
        <v>0</v>
      </c>
      <c r="B1706" s="6">
        <v>0</v>
      </c>
      <c r="C1706" s="6">
        <v>0</v>
      </c>
      <c r="D1706" s="6">
        <v>0</v>
      </c>
      <c r="E1706" s="6">
        <v>0</v>
      </c>
      <c r="F1706" s="6">
        <v>0</v>
      </c>
      <c r="G1706" s="6">
        <v>0</v>
      </c>
      <c r="H1706" s="6">
        <v>0</v>
      </c>
      <c r="I1706" t="s">
        <v>502</v>
      </c>
    </row>
    <row r="1707" spans="1:11">
      <c r="A1707" s="6">
        <v>0</v>
      </c>
      <c r="B1707" s="6">
        <v>0</v>
      </c>
      <c r="C1707" s="6">
        <v>0</v>
      </c>
      <c r="D1707" s="6">
        <v>0</v>
      </c>
      <c r="E1707" s="6">
        <v>0</v>
      </c>
      <c r="F1707" s="6">
        <v>0</v>
      </c>
      <c r="G1707" s="6">
        <v>0</v>
      </c>
      <c r="H1707" s="6">
        <v>0</v>
      </c>
      <c r="I1707" t="s">
        <v>503</v>
      </c>
    </row>
    <row r="1708" spans="1:11">
      <c r="A1708" s="6">
        <v>0</v>
      </c>
      <c r="B1708" s="6">
        <v>0</v>
      </c>
      <c r="C1708" s="6">
        <v>0</v>
      </c>
      <c r="D1708" s="6">
        <v>0</v>
      </c>
      <c r="E1708" s="6">
        <v>0</v>
      </c>
      <c r="F1708" s="6">
        <v>0</v>
      </c>
      <c r="G1708" s="6">
        <v>0</v>
      </c>
      <c r="H1708" s="6">
        <v>0</v>
      </c>
      <c r="I1708" t="s">
        <v>504</v>
      </c>
    </row>
    <row r="1709" spans="1:11">
      <c r="A1709" s="6">
        <v>0</v>
      </c>
      <c r="B1709" s="6">
        <v>0</v>
      </c>
      <c r="C1709" s="6">
        <v>0</v>
      </c>
      <c r="D1709" s="6">
        <v>0</v>
      </c>
      <c r="E1709" s="6">
        <v>0</v>
      </c>
      <c r="F1709" s="6">
        <v>0</v>
      </c>
      <c r="G1709" s="6">
        <v>0</v>
      </c>
      <c r="H1709" s="6">
        <v>0</v>
      </c>
      <c r="I1709" t="s">
        <v>505</v>
      </c>
    </row>
    <row r="1710" spans="1:11">
      <c r="A1710" s="6">
        <v>0</v>
      </c>
      <c r="B1710" s="6">
        <v>0</v>
      </c>
      <c r="C1710" s="6">
        <v>0</v>
      </c>
      <c r="D1710" s="6">
        <v>0</v>
      </c>
      <c r="E1710" s="6">
        <v>0</v>
      </c>
      <c r="F1710" s="6">
        <v>0</v>
      </c>
      <c r="G1710" s="6">
        <v>0</v>
      </c>
      <c r="H1710" s="6">
        <v>0</v>
      </c>
      <c r="I1710" t="s">
        <v>506</v>
      </c>
    </row>
    <row r="1711" spans="1:11">
      <c r="A1711" s="6">
        <v>0</v>
      </c>
      <c r="B1711" s="6">
        <v>0</v>
      </c>
      <c r="C1711" s="6">
        <v>0</v>
      </c>
      <c r="D1711" s="6">
        <v>0</v>
      </c>
      <c r="E1711" s="6">
        <v>0</v>
      </c>
      <c r="F1711" s="6">
        <v>0</v>
      </c>
      <c r="G1711" s="6">
        <v>0</v>
      </c>
      <c r="H1711" s="6">
        <v>0</v>
      </c>
      <c r="I1711" t="s">
        <v>507</v>
      </c>
    </row>
    <row r="1712" spans="1:11">
      <c r="A1712" s="6">
        <v>0</v>
      </c>
      <c r="B1712" s="6">
        <v>0</v>
      </c>
      <c r="C1712" s="6">
        <v>0</v>
      </c>
      <c r="D1712" s="6">
        <v>0</v>
      </c>
      <c r="E1712" s="6">
        <v>0</v>
      </c>
      <c r="F1712" s="6">
        <v>0</v>
      </c>
      <c r="G1712" s="6">
        <v>0</v>
      </c>
      <c r="H1712" s="6">
        <v>0</v>
      </c>
      <c r="I1712" t="s">
        <v>508</v>
      </c>
    </row>
    <row r="1713" spans="1:11">
      <c r="A1713" s="6">
        <v>0</v>
      </c>
      <c r="B1713" s="6">
        <v>0</v>
      </c>
      <c r="C1713" s="6">
        <v>0</v>
      </c>
      <c r="D1713" s="6">
        <v>0</v>
      </c>
      <c r="E1713" s="6">
        <v>0</v>
      </c>
      <c r="F1713" s="6">
        <v>0</v>
      </c>
      <c r="G1713" s="6">
        <v>0</v>
      </c>
      <c r="H1713" s="6">
        <v>0</v>
      </c>
      <c r="I1713" t="s">
        <v>509</v>
      </c>
    </row>
    <row r="1714" spans="1:11">
      <c r="A1714" s="6">
        <v>0</v>
      </c>
      <c r="B1714" s="6">
        <v>0</v>
      </c>
      <c r="C1714" s="6">
        <v>0</v>
      </c>
      <c r="D1714" s="6">
        <v>0</v>
      </c>
      <c r="E1714" s="6">
        <v>0</v>
      </c>
      <c r="F1714" s="6">
        <v>0</v>
      </c>
      <c r="G1714" s="6">
        <v>0</v>
      </c>
      <c r="H1714" s="6">
        <v>0</v>
      </c>
      <c r="I1714" t="s">
        <v>510</v>
      </c>
    </row>
    <row r="1715" spans="1:11">
      <c r="A1715" s="2" t="s">
        <v>32</v>
      </c>
      <c r="B1715" s="81"/>
      <c r="F1715" s="38"/>
      <c r="G1715" s="38"/>
    </row>
    <row r="1716" spans="1:11">
      <c r="A1716" s="2" t="s">
        <v>32</v>
      </c>
      <c r="B1716"/>
      <c r="F1716" s="38"/>
      <c r="G1716" s="38"/>
      <c r="I1716" s="2" t="s">
        <v>499</v>
      </c>
      <c r="J1716" s="2">
        <f>J1702+1</f>
        <v>37</v>
      </c>
      <c r="K1716" s="2" t="s">
        <v>511</v>
      </c>
    </row>
    <row r="1717" spans="1:11">
      <c r="A1717" s="1" t="s">
        <v>26</v>
      </c>
      <c r="B1717" s="2" t="s">
        <v>1428</v>
      </c>
      <c r="F1717" s="38"/>
      <c r="G1717" s="38"/>
    </row>
    <row r="1718" spans="1:11">
      <c r="A1718" s="6">
        <v>0</v>
      </c>
      <c r="B1718" s="6">
        <v>0</v>
      </c>
      <c r="C1718" s="6">
        <v>0</v>
      </c>
      <c r="D1718" s="6">
        <v>0</v>
      </c>
      <c r="E1718" s="6">
        <v>0</v>
      </c>
      <c r="F1718" s="6">
        <v>0</v>
      </c>
      <c r="G1718" s="6">
        <v>0</v>
      </c>
      <c r="H1718" s="6">
        <v>0</v>
      </c>
      <c r="I1718" t="s">
        <v>500</v>
      </c>
    </row>
    <row r="1719" spans="1:11">
      <c r="A1719" s="6">
        <v>0</v>
      </c>
      <c r="B1719" s="6">
        <v>0</v>
      </c>
      <c r="C1719" s="6">
        <v>0</v>
      </c>
      <c r="D1719" s="6">
        <v>0</v>
      </c>
      <c r="E1719" s="6">
        <v>0</v>
      </c>
      <c r="F1719" s="6">
        <v>0</v>
      </c>
      <c r="G1719" s="6">
        <v>0</v>
      </c>
      <c r="H1719" s="6">
        <v>0</v>
      </c>
      <c r="I1719" t="s">
        <v>501</v>
      </c>
    </row>
    <row r="1720" spans="1:11">
      <c r="A1720" s="6">
        <v>0</v>
      </c>
      <c r="B1720" s="6">
        <v>0</v>
      </c>
      <c r="C1720" s="6">
        <v>0</v>
      </c>
      <c r="D1720" s="6">
        <v>0</v>
      </c>
      <c r="E1720" s="6">
        <v>0</v>
      </c>
      <c r="F1720" s="6">
        <v>0</v>
      </c>
      <c r="G1720" s="6">
        <v>0</v>
      </c>
      <c r="H1720" s="6">
        <v>0</v>
      </c>
      <c r="I1720" t="s">
        <v>502</v>
      </c>
    </row>
    <row r="1721" spans="1:11">
      <c r="A1721" s="6">
        <v>0</v>
      </c>
      <c r="B1721" s="6">
        <v>0</v>
      </c>
      <c r="C1721" s="6">
        <v>0</v>
      </c>
      <c r="D1721" s="6">
        <v>0</v>
      </c>
      <c r="E1721" s="6">
        <v>0</v>
      </c>
      <c r="F1721" s="6">
        <v>0</v>
      </c>
      <c r="G1721" s="6">
        <v>0</v>
      </c>
      <c r="H1721" s="6">
        <v>0</v>
      </c>
      <c r="I1721" t="s">
        <v>503</v>
      </c>
    </row>
    <row r="1722" spans="1:11">
      <c r="A1722" s="6">
        <v>0</v>
      </c>
      <c r="B1722" s="6">
        <v>0</v>
      </c>
      <c r="C1722" s="6">
        <v>0</v>
      </c>
      <c r="D1722" s="6">
        <v>0</v>
      </c>
      <c r="E1722" s="6">
        <v>0</v>
      </c>
      <c r="F1722" s="6">
        <v>0</v>
      </c>
      <c r="G1722" s="6">
        <v>0</v>
      </c>
      <c r="H1722" s="6">
        <v>0</v>
      </c>
      <c r="I1722" t="s">
        <v>504</v>
      </c>
    </row>
    <row r="1723" spans="1:11">
      <c r="A1723" s="6">
        <v>0</v>
      </c>
      <c r="B1723" s="6">
        <v>0</v>
      </c>
      <c r="C1723" s="6">
        <v>0</v>
      </c>
      <c r="D1723" s="6">
        <v>0</v>
      </c>
      <c r="E1723" s="6">
        <v>0</v>
      </c>
      <c r="F1723" s="6">
        <v>0</v>
      </c>
      <c r="G1723" s="6">
        <v>0</v>
      </c>
      <c r="H1723" s="6">
        <v>0</v>
      </c>
      <c r="I1723" t="s">
        <v>505</v>
      </c>
    </row>
    <row r="1724" spans="1:11">
      <c r="A1724" s="6">
        <v>0</v>
      </c>
      <c r="B1724" s="6">
        <v>0</v>
      </c>
      <c r="C1724" s="6">
        <v>0</v>
      </c>
      <c r="D1724" s="6">
        <v>0</v>
      </c>
      <c r="E1724" s="6">
        <v>0</v>
      </c>
      <c r="F1724" s="6">
        <v>0</v>
      </c>
      <c r="G1724" s="6">
        <v>0</v>
      </c>
      <c r="H1724" s="6">
        <v>0</v>
      </c>
      <c r="I1724" t="s">
        <v>506</v>
      </c>
    </row>
    <row r="1725" spans="1:11">
      <c r="A1725" s="6">
        <v>0</v>
      </c>
      <c r="B1725" s="6">
        <v>0</v>
      </c>
      <c r="C1725" s="6">
        <v>0</v>
      </c>
      <c r="D1725" s="6">
        <v>0</v>
      </c>
      <c r="E1725" s="6">
        <v>0</v>
      </c>
      <c r="F1725" s="6">
        <v>0</v>
      </c>
      <c r="G1725" s="6">
        <v>0</v>
      </c>
      <c r="H1725" s="6">
        <v>0</v>
      </c>
      <c r="I1725" t="s">
        <v>507</v>
      </c>
    </row>
    <row r="1726" spans="1:11">
      <c r="A1726" s="6">
        <v>0</v>
      </c>
      <c r="B1726" s="6">
        <v>0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  <c r="H1726" s="6">
        <v>0</v>
      </c>
      <c r="I1726" t="s">
        <v>508</v>
      </c>
    </row>
    <row r="1727" spans="1:11">
      <c r="A1727" s="6">
        <v>0</v>
      </c>
      <c r="B1727" s="6">
        <v>0</v>
      </c>
      <c r="C1727" s="6">
        <v>0</v>
      </c>
      <c r="D1727" s="6">
        <v>0</v>
      </c>
      <c r="E1727" s="6">
        <v>0</v>
      </c>
      <c r="F1727" s="6">
        <v>0</v>
      </c>
      <c r="G1727" s="6">
        <v>0</v>
      </c>
      <c r="H1727" s="6">
        <v>0</v>
      </c>
      <c r="I1727" t="s">
        <v>509</v>
      </c>
    </row>
    <row r="1728" spans="1:11">
      <c r="A1728" s="6">
        <v>0</v>
      </c>
      <c r="B1728" s="6">
        <v>0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t="s">
        <v>510</v>
      </c>
    </row>
    <row r="1729" spans="1:11">
      <c r="A1729" s="2" t="s">
        <v>32</v>
      </c>
      <c r="B1729" s="81"/>
      <c r="F1729" s="38"/>
      <c r="G1729" s="38"/>
    </row>
    <row r="1730" spans="1:11">
      <c r="A1730" s="2" t="s">
        <v>32</v>
      </c>
      <c r="B1730"/>
      <c r="F1730" s="38"/>
      <c r="G1730" s="38"/>
      <c r="I1730" s="2" t="s">
        <v>499</v>
      </c>
      <c r="J1730" s="2">
        <f>J1716+1</f>
        <v>38</v>
      </c>
      <c r="K1730" s="2" t="s">
        <v>511</v>
      </c>
    </row>
    <row r="1731" spans="1:11">
      <c r="A1731" s="1" t="s">
        <v>26</v>
      </c>
      <c r="B1731" s="2" t="s">
        <v>1428</v>
      </c>
      <c r="F1731" s="38"/>
      <c r="G1731" s="38"/>
    </row>
    <row r="1732" spans="1:11">
      <c r="A1732" s="6">
        <v>0</v>
      </c>
      <c r="B1732" s="6">
        <v>0</v>
      </c>
      <c r="C1732" s="6">
        <v>0</v>
      </c>
      <c r="D1732" s="6">
        <v>0</v>
      </c>
      <c r="E1732" s="6">
        <v>0</v>
      </c>
      <c r="F1732" s="6">
        <v>0</v>
      </c>
      <c r="G1732" s="6">
        <v>0</v>
      </c>
      <c r="H1732" s="6">
        <v>0</v>
      </c>
      <c r="I1732" t="s">
        <v>500</v>
      </c>
    </row>
    <row r="1733" spans="1:11">
      <c r="A1733" s="6">
        <v>0</v>
      </c>
      <c r="B1733" s="6">
        <v>0</v>
      </c>
      <c r="C1733" s="6">
        <v>0</v>
      </c>
      <c r="D1733" s="6">
        <v>0</v>
      </c>
      <c r="E1733" s="6">
        <v>0</v>
      </c>
      <c r="F1733" s="6">
        <v>0</v>
      </c>
      <c r="G1733" s="6">
        <v>0</v>
      </c>
      <c r="H1733" s="6">
        <v>0</v>
      </c>
      <c r="I1733" t="s">
        <v>501</v>
      </c>
    </row>
    <row r="1734" spans="1:11">
      <c r="A1734" s="6">
        <v>0</v>
      </c>
      <c r="B1734" s="6">
        <v>0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t="s">
        <v>502</v>
      </c>
    </row>
    <row r="1735" spans="1:11">
      <c r="A1735" s="6">
        <v>0</v>
      </c>
      <c r="B1735" s="6">
        <v>0</v>
      </c>
      <c r="C1735" s="6">
        <v>0</v>
      </c>
      <c r="D1735" s="6">
        <v>0</v>
      </c>
      <c r="E1735" s="6">
        <v>0</v>
      </c>
      <c r="F1735" s="6">
        <v>0</v>
      </c>
      <c r="G1735" s="6">
        <v>0</v>
      </c>
      <c r="H1735" s="6">
        <v>0</v>
      </c>
      <c r="I1735" t="s">
        <v>503</v>
      </c>
    </row>
    <row r="1736" spans="1:11">
      <c r="A1736" s="6">
        <v>0</v>
      </c>
      <c r="B1736" s="6">
        <v>0</v>
      </c>
      <c r="C1736" s="6">
        <v>0</v>
      </c>
      <c r="D1736" s="6">
        <v>0</v>
      </c>
      <c r="E1736" s="6">
        <v>0</v>
      </c>
      <c r="F1736" s="6">
        <v>0</v>
      </c>
      <c r="G1736" s="6">
        <v>0</v>
      </c>
      <c r="H1736" s="6">
        <v>0</v>
      </c>
      <c r="I1736" t="s">
        <v>504</v>
      </c>
    </row>
    <row r="1737" spans="1:11">
      <c r="A1737" s="6">
        <v>0</v>
      </c>
      <c r="B1737" s="6">
        <v>0</v>
      </c>
      <c r="C1737" s="6">
        <v>0</v>
      </c>
      <c r="D1737" s="6">
        <v>0</v>
      </c>
      <c r="E1737" s="6">
        <v>0</v>
      </c>
      <c r="F1737" s="6">
        <v>0</v>
      </c>
      <c r="G1737" s="6">
        <v>0</v>
      </c>
      <c r="H1737" s="6">
        <v>0</v>
      </c>
      <c r="I1737" t="s">
        <v>505</v>
      </c>
    </row>
    <row r="1738" spans="1:11">
      <c r="A1738" s="6">
        <v>0</v>
      </c>
      <c r="B1738" s="6">
        <v>0</v>
      </c>
      <c r="C1738" s="6">
        <v>0</v>
      </c>
      <c r="D1738" s="6">
        <v>0</v>
      </c>
      <c r="E1738" s="6">
        <v>0</v>
      </c>
      <c r="F1738" s="6">
        <v>0</v>
      </c>
      <c r="G1738" s="6">
        <v>0</v>
      </c>
      <c r="H1738" s="6">
        <v>0</v>
      </c>
      <c r="I1738" t="s">
        <v>506</v>
      </c>
    </row>
    <row r="1739" spans="1:11">
      <c r="A1739" s="6">
        <v>0</v>
      </c>
      <c r="B1739" s="6">
        <v>0</v>
      </c>
      <c r="C1739" s="6">
        <v>0</v>
      </c>
      <c r="D1739" s="6">
        <v>0</v>
      </c>
      <c r="E1739" s="6">
        <v>0</v>
      </c>
      <c r="F1739" s="6">
        <v>0</v>
      </c>
      <c r="G1739" s="6">
        <v>0</v>
      </c>
      <c r="H1739" s="6">
        <v>0</v>
      </c>
      <c r="I1739" t="s">
        <v>507</v>
      </c>
    </row>
    <row r="1740" spans="1:11">
      <c r="A1740" s="6">
        <v>0</v>
      </c>
      <c r="B1740" s="6">
        <v>0</v>
      </c>
      <c r="C1740" s="6">
        <v>0</v>
      </c>
      <c r="D1740" s="6">
        <v>0</v>
      </c>
      <c r="E1740" s="6">
        <v>0</v>
      </c>
      <c r="F1740" s="6">
        <v>0</v>
      </c>
      <c r="G1740" s="6">
        <v>0</v>
      </c>
      <c r="H1740" s="6">
        <v>0</v>
      </c>
      <c r="I1740" t="s">
        <v>508</v>
      </c>
    </row>
    <row r="1741" spans="1:11">
      <c r="A1741" s="6">
        <v>0</v>
      </c>
      <c r="B1741" s="6">
        <v>0</v>
      </c>
      <c r="C1741" s="6">
        <v>0</v>
      </c>
      <c r="D1741" s="6">
        <v>0</v>
      </c>
      <c r="E1741" s="6">
        <v>0</v>
      </c>
      <c r="F1741" s="6">
        <v>0</v>
      </c>
      <c r="G1741" s="6">
        <v>0</v>
      </c>
      <c r="H1741" s="6">
        <v>0</v>
      </c>
      <c r="I1741" t="s">
        <v>509</v>
      </c>
    </row>
    <row r="1742" spans="1:11">
      <c r="A1742" s="6">
        <v>0</v>
      </c>
      <c r="B1742" s="6">
        <v>0</v>
      </c>
      <c r="C1742" s="6">
        <v>0</v>
      </c>
      <c r="D1742" s="6">
        <v>0</v>
      </c>
      <c r="E1742" s="6">
        <v>0</v>
      </c>
      <c r="F1742" s="6">
        <v>0</v>
      </c>
      <c r="G1742" s="6">
        <v>0</v>
      </c>
      <c r="H1742" s="6">
        <v>0</v>
      </c>
      <c r="I1742" t="s">
        <v>510</v>
      </c>
    </row>
    <row r="1743" spans="1:11">
      <c r="A1743" s="2" t="s">
        <v>32</v>
      </c>
      <c r="B1743" s="81"/>
      <c r="F1743" s="38"/>
      <c r="G1743" s="38"/>
    </row>
    <row r="1744" spans="1:11">
      <c r="A1744" s="2" t="s">
        <v>32</v>
      </c>
      <c r="B1744"/>
      <c r="F1744" s="38"/>
      <c r="G1744" s="38"/>
      <c r="I1744" s="2" t="s">
        <v>499</v>
      </c>
      <c r="J1744" s="2">
        <f>J1730+1</f>
        <v>39</v>
      </c>
      <c r="K1744" s="2" t="s">
        <v>511</v>
      </c>
    </row>
    <row r="1745" spans="1:11">
      <c r="A1745" s="1" t="s">
        <v>26</v>
      </c>
      <c r="B1745" s="2" t="s">
        <v>1428</v>
      </c>
      <c r="F1745" s="38"/>
      <c r="G1745" s="38"/>
    </row>
    <row r="1746" spans="1:11">
      <c r="A1746" s="6">
        <v>0</v>
      </c>
      <c r="B1746" s="6">
        <v>0</v>
      </c>
      <c r="C1746" s="6">
        <v>0</v>
      </c>
      <c r="D1746" s="6">
        <v>0</v>
      </c>
      <c r="E1746" s="6">
        <v>0</v>
      </c>
      <c r="F1746" s="6">
        <v>0</v>
      </c>
      <c r="G1746" s="6">
        <v>0</v>
      </c>
      <c r="H1746" s="6">
        <v>0</v>
      </c>
      <c r="I1746" t="s">
        <v>500</v>
      </c>
    </row>
    <row r="1747" spans="1:11">
      <c r="A1747" s="6">
        <v>0</v>
      </c>
      <c r="B1747" s="6">
        <v>0</v>
      </c>
      <c r="C1747" s="6">
        <v>0</v>
      </c>
      <c r="D1747" s="6">
        <v>0</v>
      </c>
      <c r="E1747" s="6">
        <v>0</v>
      </c>
      <c r="F1747" s="6">
        <v>0</v>
      </c>
      <c r="G1747" s="6">
        <v>0</v>
      </c>
      <c r="H1747" s="6">
        <v>0</v>
      </c>
      <c r="I1747" t="s">
        <v>501</v>
      </c>
    </row>
    <row r="1748" spans="1:11">
      <c r="A1748" s="6">
        <v>0</v>
      </c>
      <c r="B1748" s="6">
        <v>0</v>
      </c>
      <c r="C1748" s="6">
        <v>0</v>
      </c>
      <c r="D1748" s="6">
        <v>0</v>
      </c>
      <c r="E1748" s="6">
        <v>0</v>
      </c>
      <c r="F1748" s="6">
        <v>0</v>
      </c>
      <c r="G1748" s="6">
        <v>0</v>
      </c>
      <c r="H1748" s="6">
        <v>0</v>
      </c>
      <c r="I1748" t="s">
        <v>502</v>
      </c>
    </row>
    <row r="1749" spans="1:11">
      <c r="A1749" s="6">
        <v>0</v>
      </c>
      <c r="B1749" s="6">
        <v>0</v>
      </c>
      <c r="C1749" s="6">
        <v>0</v>
      </c>
      <c r="D1749" s="6">
        <v>0</v>
      </c>
      <c r="E1749" s="6">
        <v>0</v>
      </c>
      <c r="F1749" s="6">
        <v>0</v>
      </c>
      <c r="G1749" s="6">
        <v>0</v>
      </c>
      <c r="H1749" s="6">
        <v>0</v>
      </c>
      <c r="I1749" t="s">
        <v>503</v>
      </c>
    </row>
    <row r="1750" spans="1:11">
      <c r="A1750" s="6">
        <v>0</v>
      </c>
      <c r="B1750" s="6">
        <v>0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  <c r="H1750" s="6">
        <v>0</v>
      </c>
      <c r="I1750" t="s">
        <v>504</v>
      </c>
    </row>
    <row r="1751" spans="1:11">
      <c r="A1751" s="6">
        <v>0</v>
      </c>
      <c r="B1751" s="6">
        <v>0</v>
      </c>
      <c r="C1751" s="6">
        <v>0</v>
      </c>
      <c r="D1751" s="6">
        <v>0</v>
      </c>
      <c r="E1751" s="6">
        <v>0</v>
      </c>
      <c r="F1751" s="6">
        <v>0</v>
      </c>
      <c r="G1751" s="6">
        <v>0</v>
      </c>
      <c r="H1751" s="6">
        <v>0</v>
      </c>
      <c r="I1751" t="s">
        <v>505</v>
      </c>
    </row>
    <row r="1752" spans="1:11">
      <c r="A1752" s="6">
        <v>0</v>
      </c>
      <c r="B1752" s="6">
        <v>0</v>
      </c>
      <c r="C1752" s="6">
        <v>0</v>
      </c>
      <c r="D1752" s="6">
        <v>0</v>
      </c>
      <c r="E1752" s="6">
        <v>0</v>
      </c>
      <c r="F1752" s="6">
        <v>0</v>
      </c>
      <c r="G1752" s="6">
        <v>0</v>
      </c>
      <c r="H1752" s="6">
        <v>0</v>
      </c>
      <c r="I1752" t="s">
        <v>506</v>
      </c>
    </row>
    <row r="1753" spans="1:11">
      <c r="A1753" s="6">
        <v>0</v>
      </c>
      <c r="B1753" s="6">
        <v>0</v>
      </c>
      <c r="C1753" s="6">
        <v>0</v>
      </c>
      <c r="D1753" s="6">
        <v>0</v>
      </c>
      <c r="E1753" s="6">
        <v>0</v>
      </c>
      <c r="F1753" s="6">
        <v>0</v>
      </c>
      <c r="G1753" s="6">
        <v>0</v>
      </c>
      <c r="H1753" s="6">
        <v>0</v>
      </c>
      <c r="I1753" t="s">
        <v>507</v>
      </c>
    </row>
    <row r="1754" spans="1:11">
      <c r="A1754" s="6">
        <v>0</v>
      </c>
      <c r="B1754" s="6">
        <v>0</v>
      </c>
      <c r="C1754" s="6">
        <v>0</v>
      </c>
      <c r="D1754" s="6">
        <v>0</v>
      </c>
      <c r="E1754" s="6">
        <v>0</v>
      </c>
      <c r="F1754" s="6">
        <v>0</v>
      </c>
      <c r="G1754" s="6">
        <v>0</v>
      </c>
      <c r="H1754" s="6">
        <v>0</v>
      </c>
      <c r="I1754" t="s">
        <v>508</v>
      </c>
    </row>
    <row r="1755" spans="1:11">
      <c r="A1755" s="6">
        <v>0</v>
      </c>
      <c r="B1755" s="6">
        <v>0</v>
      </c>
      <c r="C1755" s="6">
        <v>0</v>
      </c>
      <c r="D1755" s="6">
        <v>0</v>
      </c>
      <c r="E1755" s="6">
        <v>0</v>
      </c>
      <c r="F1755" s="6">
        <v>0</v>
      </c>
      <c r="G1755" s="6">
        <v>0</v>
      </c>
      <c r="H1755" s="6">
        <v>0</v>
      </c>
      <c r="I1755" t="s">
        <v>509</v>
      </c>
    </row>
    <row r="1756" spans="1:11">
      <c r="A1756" s="6">
        <v>0</v>
      </c>
      <c r="B1756" s="6">
        <v>0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  <c r="H1756" s="6">
        <v>0</v>
      </c>
      <c r="I1756" t="s">
        <v>510</v>
      </c>
    </row>
    <row r="1757" spans="1:11">
      <c r="A1757" s="2" t="s">
        <v>32</v>
      </c>
      <c r="B1757" s="81"/>
      <c r="F1757" s="38"/>
      <c r="G1757" s="38"/>
    </row>
    <row r="1758" spans="1:11">
      <c r="A1758" s="2" t="s">
        <v>32</v>
      </c>
      <c r="B1758"/>
      <c r="F1758" s="38"/>
      <c r="G1758" s="38"/>
      <c r="I1758" s="2" t="s">
        <v>499</v>
      </c>
      <c r="J1758" s="2">
        <f>J1744+1</f>
        <v>40</v>
      </c>
      <c r="K1758" s="2" t="s">
        <v>511</v>
      </c>
    </row>
    <row r="1759" spans="1:11">
      <c r="A1759" s="1" t="s">
        <v>26</v>
      </c>
      <c r="B1759" s="2" t="s">
        <v>1428</v>
      </c>
      <c r="F1759" s="38"/>
      <c r="G1759" s="38"/>
    </row>
    <row r="1760" spans="1:11">
      <c r="A1760" s="6">
        <v>0</v>
      </c>
      <c r="B1760" s="6">
        <v>0</v>
      </c>
      <c r="C1760" s="6">
        <v>0</v>
      </c>
      <c r="D1760" s="6">
        <v>0</v>
      </c>
      <c r="E1760" s="6">
        <v>0</v>
      </c>
      <c r="F1760" s="6">
        <v>0</v>
      </c>
      <c r="G1760" s="6">
        <v>0</v>
      </c>
      <c r="H1760" s="6">
        <v>0</v>
      </c>
      <c r="I1760" t="s">
        <v>500</v>
      </c>
    </row>
    <row r="1761" spans="1:11">
      <c r="A1761" s="6">
        <v>0</v>
      </c>
      <c r="B1761" s="6">
        <v>0</v>
      </c>
      <c r="C1761" s="6">
        <v>0</v>
      </c>
      <c r="D1761" s="6">
        <v>0</v>
      </c>
      <c r="E1761" s="6">
        <v>0</v>
      </c>
      <c r="F1761" s="6">
        <v>0</v>
      </c>
      <c r="G1761" s="6">
        <v>0</v>
      </c>
      <c r="H1761" s="6">
        <v>0</v>
      </c>
      <c r="I1761" t="s">
        <v>501</v>
      </c>
    </row>
    <row r="1762" spans="1:11">
      <c r="A1762" s="6">
        <v>0</v>
      </c>
      <c r="B1762" s="6">
        <v>0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t="s">
        <v>502</v>
      </c>
    </row>
    <row r="1763" spans="1:11">
      <c r="A1763" s="6">
        <v>0</v>
      </c>
      <c r="B1763" s="6">
        <v>0</v>
      </c>
      <c r="C1763" s="6">
        <v>0</v>
      </c>
      <c r="D1763" s="6">
        <v>0</v>
      </c>
      <c r="E1763" s="6">
        <v>0</v>
      </c>
      <c r="F1763" s="6">
        <v>0</v>
      </c>
      <c r="G1763" s="6">
        <v>0</v>
      </c>
      <c r="H1763" s="6">
        <v>0</v>
      </c>
      <c r="I1763" t="s">
        <v>503</v>
      </c>
    </row>
    <row r="1764" spans="1:11">
      <c r="A1764" s="6">
        <v>0</v>
      </c>
      <c r="B1764" s="6">
        <v>0</v>
      </c>
      <c r="C1764" s="6">
        <v>0</v>
      </c>
      <c r="D1764" s="6">
        <v>0</v>
      </c>
      <c r="E1764" s="6">
        <v>0</v>
      </c>
      <c r="F1764" s="6">
        <v>0</v>
      </c>
      <c r="G1764" s="6">
        <v>0</v>
      </c>
      <c r="H1764" s="6">
        <v>0</v>
      </c>
      <c r="I1764" t="s">
        <v>504</v>
      </c>
    </row>
    <row r="1765" spans="1:11">
      <c r="A1765" s="6">
        <v>0</v>
      </c>
      <c r="B1765" s="6">
        <v>0</v>
      </c>
      <c r="C1765" s="6">
        <v>0</v>
      </c>
      <c r="D1765" s="6">
        <v>0</v>
      </c>
      <c r="E1765" s="6">
        <v>0</v>
      </c>
      <c r="F1765" s="6">
        <v>0</v>
      </c>
      <c r="G1765" s="6">
        <v>0</v>
      </c>
      <c r="H1765" s="6">
        <v>0</v>
      </c>
      <c r="I1765" t="s">
        <v>505</v>
      </c>
    </row>
    <row r="1766" spans="1:11">
      <c r="A1766" s="6">
        <v>0</v>
      </c>
      <c r="B1766" s="6">
        <v>0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  <c r="H1766" s="6">
        <v>0</v>
      </c>
      <c r="I1766" t="s">
        <v>506</v>
      </c>
    </row>
    <row r="1767" spans="1:11">
      <c r="A1767" s="6">
        <v>0</v>
      </c>
      <c r="B1767" s="6">
        <v>0</v>
      </c>
      <c r="C1767" s="6">
        <v>0</v>
      </c>
      <c r="D1767" s="6">
        <v>0</v>
      </c>
      <c r="E1767" s="6">
        <v>0</v>
      </c>
      <c r="F1767" s="6">
        <v>0</v>
      </c>
      <c r="G1767" s="6">
        <v>0</v>
      </c>
      <c r="H1767" s="6">
        <v>0</v>
      </c>
      <c r="I1767" t="s">
        <v>507</v>
      </c>
    </row>
    <row r="1768" spans="1:11">
      <c r="A1768" s="6">
        <v>0</v>
      </c>
      <c r="B1768" s="6">
        <v>0</v>
      </c>
      <c r="C1768" s="6">
        <v>0</v>
      </c>
      <c r="D1768" s="6">
        <v>0</v>
      </c>
      <c r="E1768" s="6">
        <v>0</v>
      </c>
      <c r="F1768" s="6">
        <v>0</v>
      </c>
      <c r="G1768" s="6">
        <v>0</v>
      </c>
      <c r="H1768" s="6">
        <v>0</v>
      </c>
      <c r="I1768" t="s">
        <v>508</v>
      </c>
    </row>
    <row r="1769" spans="1:11">
      <c r="A1769" s="6">
        <v>0</v>
      </c>
      <c r="B1769" s="6">
        <v>0</v>
      </c>
      <c r="C1769" s="6">
        <v>0</v>
      </c>
      <c r="D1769" s="6">
        <v>0</v>
      </c>
      <c r="E1769" s="6">
        <v>0</v>
      </c>
      <c r="F1769" s="6">
        <v>0</v>
      </c>
      <c r="G1769" s="6">
        <v>0</v>
      </c>
      <c r="H1769" s="6">
        <v>0</v>
      </c>
      <c r="I1769" t="s">
        <v>509</v>
      </c>
    </row>
    <row r="1770" spans="1:11">
      <c r="A1770" s="6">
        <v>0</v>
      </c>
      <c r="B1770" s="6">
        <v>0</v>
      </c>
      <c r="C1770" s="6">
        <v>0</v>
      </c>
      <c r="D1770" s="6">
        <v>0</v>
      </c>
      <c r="E1770" s="6">
        <v>0</v>
      </c>
      <c r="F1770" s="6">
        <v>0</v>
      </c>
      <c r="G1770" s="6">
        <v>0</v>
      </c>
      <c r="H1770" s="6">
        <v>0</v>
      </c>
      <c r="I1770" t="s">
        <v>510</v>
      </c>
    </row>
    <row r="1771" spans="1:11">
      <c r="A1771" s="2" t="s">
        <v>32</v>
      </c>
      <c r="B1771" s="81"/>
      <c r="F1771" s="38"/>
      <c r="G1771" s="38"/>
    </row>
    <row r="1772" spans="1:11">
      <c r="A1772" s="2" t="s">
        <v>32</v>
      </c>
      <c r="B1772"/>
      <c r="F1772" s="38"/>
      <c r="G1772" s="38"/>
      <c r="I1772" s="2" t="s">
        <v>499</v>
      </c>
      <c r="J1772" s="2">
        <f>J1758+1</f>
        <v>41</v>
      </c>
      <c r="K1772" s="2" t="s">
        <v>511</v>
      </c>
    </row>
    <row r="1773" spans="1:11">
      <c r="A1773" s="1" t="s">
        <v>26</v>
      </c>
      <c r="B1773" s="2" t="s">
        <v>1428</v>
      </c>
      <c r="F1773" s="38"/>
      <c r="G1773" s="38"/>
    </row>
    <row r="1774" spans="1:11">
      <c r="A1774" s="6">
        <v>0</v>
      </c>
      <c r="B1774" s="6">
        <v>0</v>
      </c>
      <c r="C1774" s="6">
        <v>0</v>
      </c>
      <c r="D1774" s="6">
        <v>0</v>
      </c>
      <c r="E1774" s="6">
        <v>0</v>
      </c>
      <c r="F1774" s="6">
        <v>0</v>
      </c>
      <c r="G1774" s="6">
        <v>0</v>
      </c>
      <c r="H1774" s="6">
        <v>0</v>
      </c>
      <c r="I1774" t="s">
        <v>500</v>
      </c>
    </row>
    <row r="1775" spans="1:11">
      <c r="A1775" s="6">
        <v>0</v>
      </c>
      <c r="B1775" s="6">
        <v>0</v>
      </c>
      <c r="C1775" s="6">
        <v>0</v>
      </c>
      <c r="D1775" s="6">
        <v>0</v>
      </c>
      <c r="E1775" s="6">
        <v>0</v>
      </c>
      <c r="F1775" s="6">
        <v>0</v>
      </c>
      <c r="G1775" s="6">
        <v>0</v>
      </c>
      <c r="H1775" s="6">
        <v>0</v>
      </c>
      <c r="I1775" t="s">
        <v>501</v>
      </c>
    </row>
    <row r="1776" spans="1:11">
      <c r="A1776" s="6">
        <v>0</v>
      </c>
      <c r="B1776" s="6">
        <v>0</v>
      </c>
      <c r="C1776" s="6">
        <v>0</v>
      </c>
      <c r="D1776" s="6">
        <v>0</v>
      </c>
      <c r="E1776" s="6">
        <v>0</v>
      </c>
      <c r="F1776" s="6">
        <v>0</v>
      </c>
      <c r="G1776" s="6">
        <v>0</v>
      </c>
      <c r="H1776" s="6">
        <v>0</v>
      </c>
      <c r="I1776" t="s">
        <v>502</v>
      </c>
    </row>
    <row r="1777" spans="1:11">
      <c r="A1777" s="6">
        <v>0</v>
      </c>
      <c r="B1777" s="6">
        <v>0</v>
      </c>
      <c r="C1777" s="6">
        <v>0</v>
      </c>
      <c r="D1777" s="6">
        <v>0</v>
      </c>
      <c r="E1777" s="6">
        <v>0</v>
      </c>
      <c r="F1777" s="6">
        <v>0</v>
      </c>
      <c r="G1777" s="6">
        <v>0</v>
      </c>
      <c r="H1777" s="6">
        <v>0</v>
      </c>
      <c r="I1777" t="s">
        <v>503</v>
      </c>
    </row>
    <row r="1778" spans="1:11">
      <c r="A1778" s="6">
        <v>0</v>
      </c>
      <c r="B1778" s="6">
        <v>0</v>
      </c>
      <c r="C1778" s="6">
        <v>0</v>
      </c>
      <c r="D1778" s="6">
        <v>0</v>
      </c>
      <c r="E1778" s="6">
        <v>0</v>
      </c>
      <c r="F1778" s="6">
        <v>0</v>
      </c>
      <c r="G1778" s="6">
        <v>0</v>
      </c>
      <c r="H1778" s="6">
        <v>0</v>
      </c>
      <c r="I1778" t="s">
        <v>504</v>
      </c>
    </row>
    <row r="1779" spans="1:11">
      <c r="A1779" s="6">
        <v>0</v>
      </c>
      <c r="B1779" s="6">
        <v>0</v>
      </c>
      <c r="C1779" s="6">
        <v>0</v>
      </c>
      <c r="D1779" s="6">
        <v>0</v>
      </c>
      <c r="E1779" s="6">
        <v>0</v>
      </c>
      <c r="F1779" s="6">
        <v>0</v>
      </c>
      <c r="G1779" s="6">
        <v>0</v>
      </c>
      <c r="H1779" s="6">
        <v>0</v>
      </c>
      <c r="I1779" t="s">
        <v>505</v>
      </c>
    </row>
    <row r="1780" spans="1:11">
      <c r="A1780" s="6">
        <v>0</v>
      </c>
      <c r="B1780" s="6">
        <v>0</v>
      </c>
      <c r="C1780" s="6">
        <v>0</v>
      </c>
      <c r="D1780" s="6">
        <v>0</v>
      </c>
      <c r="E1780" s="6">
        <v>0</v>
      </c>
      <c r="F1780" s="6">
        <v>0</v>
      </c>
      <c r="G1780" s="6">
        <v>0</v>
      </c>
      <c r="H1780" s="6">
        <v>0</v>
      </c>
      <c r="I1780" t="s">
        <v>506</v>
      </c>
    </row>
    <row r="1781" spans="1:11">
      <c r="A1781" s="6">
        <v>0</v>
      </c>
      <c r="B1781" s="6">
        <v>0</v>
      </c>
      <c r="C1781" s="6">
        <v>0</v>
      </c>
      <c r="D1781" s="6">
        <v>0</v>
      </c>
      <c r="E1781" s="6">
        <v>0</v>
      </c>
      <c r="F1781" s="6">
        <v>0</v>
      </c>
      <c r="G1781" s="6">
        <v>0</v>
      </c>
      <c r="H1781" s="6">
        <v>0</v>
      </c>
      <c r="I1781" t="s">
        <v>507</v>
      </c>
    </row>
    <row r="1782" spans="1:11">
      <c r="A1782" s="6">
        <v>0</v>
      </c>
      <c r="B1782" s="6">
        <v>0</v>
      </c>
      <c r="C1782" s="6">
        <v>0</v>
      </c>
      <c r="D1782" s="6">
        <v>0</v>
      </c>
      <c r="E1782" s="6">
        <v>0</v>
      </c>
      <c r="F1782" s="6">
        <v>0</v>
      </c>
      <c r="G1782" s="6">
        <v>0</v>
      </c>
      <c r="H1782" s="6">
        <v>0</v>
      </c>
      <c r="I1782" t="s">
        <v>508</v>
      </c>
    </row>
    <row r="1783" spans="1:11">
      <c r="A1783" s="6">
        <v>0</v>
      </c>
      <c r="B1783" s="6">
        <v>0</v>
      </c>
      <c r="C1783" s="6">
        <v>0</v>
      </c>
      <c r="D1783" s="6">
        <v>0</v>
      </c>
      <c r="E1783" s="6">
        <v>0</v>
      </c>
      <c r="F1783" s="6">
        <v>0</v>
      </c>
      <c r="G1783" s="6">
        <v>0</v>
      </c>
      <c r="H1783" s="6">
        <v>0</v>
      </c>
      <c r="I1783" t="s">
        <v>509</v>
      </c>
    </row>
    <row r="1784" spans="1:11">
      <c r="A1784" s="6">
        <v>0</v>
      </c>
      <c r="B1784" s="6">
        <v>0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t="s">
        <v>510</v>
      </c>
    </row>
    <row r="1785" spans="1:11">
      <c r="A1785" s="2" t="s">
        <v>32</v>
      </c>
      <c r="B1785" s="81"/>
      <c r="F1785" s="38"/>
      <c r="G1785" s="38"/>
    </row>
    <row r="1786" spans="1:11">
      <c r="A1786" s="2" t="s">
        <v>32</v>
      </c>
      <c r="B1786"/>
      <c r="F1786" s="38"/>
      <c r="G1786" s="38"/>
      <c r="I1786" s="2" t="s">
        <v>499</v>
      </c>
      <c r="J1786" s="2">
        <f>J1772+1</f>
        <v>42</v>
      </c>
      <c r="K1786" s="2" t="s">
        <v>511</v>
      </c>
    </row>
    <row r="1787" spans="1:11">
      <c r="A1787" s="1" t="s">
        <v>26</v>
      </c>
      <c r="B1787" s="2" t="s">
        <v>1428</v>
      </c>
      <c r="F1787" s="38"/>
      <c r="G1787" s="38"/>
    </row>
    <row r="1788" spans="1:11">
      <c r="A1788" s="6">
        <v>0</v>
      </c>
      <c r="B1788" s="6">
        <v>0</v>
      </c>
      <c r="C1788" s="6">
        <v>0</v>
      </c>
      <c r="D1788" s="6">
        <v>0</v>
      </c>
      <c r="E1788" s="6">
        <v>0</v>
      </c>
      <c r="F1788" s="6">
        <v>0</v>
      </c>
      <c r="G1788" s="6">
        <v>0</v>
      </c>
      <c r="H1788" s="6">
        <v>0</v>
      </c>
      <c r="I1788" t="s">
        <v>500</v>
      </c>
    </row>
    <row r="1789" spans="1:11">
      <c r="A1789" s="6">
        <v>0</v>
      </c>
      <c r="B1789" s="6">
        <v>0</v>
      </c>
      <c r="C1789" s="6">
        <v>0</v>
      </c>
      <c r="D1789" s="6">
        <v>0</v>
      </c>
      <c r="E1789" s="6">
        <v>0</v>
      </c>
      <c r="F1789" s="6">
        <v>0</v>
      </c>
      <c r="G1789" s="6">
        <v>0</v>
      </c>
      <c r="H1789" s="6">
        <v>0</v>
      </c>
      <c r="I1789" t="s">
        <v>501</v>
      </c>
    </row>
    <row r="1790" spans="1:11">
      <c r="A1790" s="6">
        <v>0</v>
      </c>
      <c r="B1790" s="6">
        <v>0</v>
      </c>
      <c r="C1790" s="6">
        <v>0</v>
      </c>
      <c r="D1790" s="6">
        <v>0</v>
      </c>
      <c r="E1790" s="6">
        <v>0</v>
      </c>
      <c r="F1790" s="6">
        <v>0</v>
      </c>
      <c r="G1790" s="6">
        <v>0</v>
      </c>
      <c r="H1790" s="6">
        <v>0</v>
      </c>
      <c r="I1790" t="s">
        <v>502</v>
      </c>
    </row>
    <row r="1791" spans="1:11">
      <c r="A1791" s="6">
        <v>0</v>
      </c>
      <c r="B1791" s="6">
        <v>0</v>
      </c>
      <c r="C1791" s="6">
        <v>0</v>
      </c>
      <c r="D1791" s="6">
        <v>0</v>
      </c>
      <c r="E1791" s="6">
        <v>0</v>
      </c>
      <c r="F1791" s="6">
        <v>0</v>
      </c>
      <c r="G1791" s="6">
        <v>0</v>
      </c>
      <c r="H1791" s="6">
        <v>0</v>
      </c>
      <c r="I1791" t="s">
        <v>503</v>
      </c>
    </row>
    <row r="1792" spans="1:11">
      <c r="A1792" s="6">
        <v>0</v>
      </c>
      <c r="B1792" s="6">
        <v>0</v>
      </c>
      <c r="C1792" s="6">
        <v>0</v>
      </c>
      <c r="D1792" s="6">
        <v>0</v>
      </c>
      <c r="E1792" s="6">
        <v>0</v>
      </c>
      <c r="F1792" s="6">
        <v>0</v>
      </c>
      <c r="G1792" s="6">
        <v>0</v>
      </c>
      <c r="H1792" s="6">
        <v>0</v>
      </c>
      <c r="I1792" t="s">
        <v>504</v>
      </c>
    </row>
    <row r="1793" spans="1:11">
      <c r="A1793" s="6">
        <v>0</v>
      </c>
      <c r="B1793" s="6">
        <v>0</v>
      </c>
      <c r="C1793" s="6">
        <v>0</v>
      </c>
      <c r="D1793" s="6">
        <v>0</v>
      </c>
      <c r="E1793" s="6">
        <v>0</v>
      </c>
      <c r="F1793" s="6">
        <v>0</v>
      </c>
      <c r="G1793" s="6">
        <v>0</v>
      </c>
      <c r="H1793" s="6">
        <v>0</v>
      </c>
      <c r="I1793" t="s">
        <v>505</v>
      </c>
    </row>
    <row r="1794" spans="1:11">
      <c r="A1794" s="6">
        <v>0</v>
      </c>
      <c r="B1794" s="6">
        <v>0</v>
      </c>
      <c r="C1794" s="6">
        <v>0</v>
      </c>
      <c r="D1794" s="6">
        <v>0</v>
      </c>
      <c r="E1794" s="6">
        <v>0</v>
      </c>
      <c r="F1794" s="6">
        <v>0</v>
      </c>
      <c r="G1794" s="6">
        <v>0</v>
      </c>
      <c r="H1794" s="6">
        <v>0</v>
      </c>
      <c r="I1794" t="s">
        <v>506</v>
      </c>
    </row>
    <row r="1795" spans="1:11">
      <c r="A1795" s="6">
        <v>0</v>
      </c>
      <c r="B1795" s="6">
        <v>0</v>
      </c>
      <c r="C1795" s="6">
        <v>0</v>
      </c>
      <c r="D1795" s="6">
        <v>0</v>
      </c>
      <c r="E1795" s="6">
        <v>0</v>
      </c>
      <c r="F1795" s="6">
        <v>0</v>
      </c>
      <c r="G1795" s="6">
        <v>0</v>
      </c>
      <c r="H1795" s="6">
        <v>0</v>
      </c>
      <c r="I1795" t="s">
        <v>507</v>
      </c>
    </row>
    <row r="1796" spans="1:11">
      <c r="A1796" s="6">
        <v>0</v>
      </c>
      <c r="B1796" s="6">
        <v>0</v>
      </c>
      <c r="C1796" s="6">
        <v>0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t="s">
        <v>508</v>
      </c>
    </row>
    <row r="1797" spans="1:11">
      <c r="A1797" s="6">
        <v>0</v>
      </c>
      <c r="B1797" s="6">
        <v>0</v>
      </c>
      <c r="C1797" s="6">
        <v>0</v>
      </c>
      <c r="D1797" s="6">
        <v>0</v>
      </c>
      <c r="E1797" s="6">
        <v>0</v>
      </c>
      <c r="F1797" s="6">
        <v>0</v>
      </c>
      <c r="G1797" s="6">
        <v>0</v>
      </c>
      <c r="H1797" s="6">
        <v>0</v>
      </c>
      <c r="I1797" t="s">
        <v>509</v>
      </c>
    </row>
    <row r="1798" spans="1:11">
      <c r="A1798" s="6">
        <v>0</v>
      </c>
      <c r="B1798" s="6">
        <v>0</v>
      </c>
      <c r="C1798" s="6">
        <v>0</v>
      </c>
      <c r="D1798" s="6">
        <v>0</v>
      </c>
      <c r="E1798" s="6">
        <v>0</v>
      </c>
      <c r="F1798" s="6">
        <v>0</v>
      </c>
      <c r="G1798" s="6">
        <v>0</v>
      </c>
      <c r="H1798" s="6">
        <v>0</v>
      </c>
      <c r="I1798" t="s">
        <v>510</v>
      </c>
    </row>
    <row r="1799" spans="1:11">
      <c r="A1799" s="2" t="s">
        <v>32</v>
      </c>
      <c r="B1799" s="81"/>
      <c r="F1799" s="38"/>
      <c r="G1799" s="38"/>
    </row>
    <row r="1800" spans="1:11">
      <c r="A1800" s="2" t="s">
        <v>32</v>
      </c>
      <c r="B1800"/>
      <c r="F1800" s="38"/>
      <c r="G1800" s="38"/>
      <c r="I1800" s="2" t="s">
        <v>499</v>
      </c>
      <c r="J1800" s="2">
        <f>J1786+1</f>
        <v>43</v>
      </c>
      <c r="K1800" s="2" t="s">
        <v>511</v>
      </c>
    </row>
    <row r="1801" spans="1:11">
      <c r="A1801" s="1" t="s">
        <v>26</v>
      </c>
      <c r="B1801" s="2" t="s">
        <v>1428</v>
      </c>
      <c r="F1801" s="38"/>
      <c r="G1801" s="38"/>
    </row>
    <row r="1802" spans="1:11">
      <c r="A1802" s="6">
        <v>0</v>
      </c>
      <c r="B1802" s="6">
        <v>0</v>
      </c>
      <c r="C1802" s="6">
        <v>0</v>
      </c>
      <c r="D1802" s="6">
        <v>0</v>
      </c>
      <c r="E1802" s="6">
        <v>0</v>
      </c>
      <c r="F1802" s="6">
        <v>0</v>
      </c>
      <c r="G1802" s="6">
        <v>0</v>
      </c>
      <c r="H1802" s="6">
        <v>0</v>
      </c>
      <c r="I1802" t="s">
        <v>500</v>
      </c>
    </row>
    <row r="1803" spans="1:11">
      <c r="A1803" s="6">
        <v>0</v>
      </c>
      <c r="B1803" s="6">
        <v>0</v>
      </c>
      <c r="C1803" s="6">
        <v>0</v>
      </c>
      <c r="D1803" s="6">
        <v>0</v>
      </c>
      <c r="E1803" s="6">
        <v>0</v>
      </c>
      <c r="F1803" s="6">
        <v>0</v>
      </c>
      <c r="G1803" s="6">
        <v>0</v>
      </c>
      <c r="H1803" s="6">
        <v>0</v>
      </c>
      <c r="I1803" t="s">
        <v>501</v>
      </c>
    </row>
    <row r="1804" spans="1:11">
      <c r="A1804" s="6">
        <v>0</v>
      </c>
      <c r="B1804" s="6">
        <v>0</v>
      </c>
      <c r="C1804" s="6">
        <v>0</v>
      </c>
      <c r="D1804" s="6">
        <v>0</v>
      </c>
      <c r="E1804" s="6">
        <v>0</v>
      </c>
      <c r="F1804" s="6">
        <v>0</v>
      </c>
      <c r="G1804" s="6">
        <v>0</v>
      </c>
      <c r="H1804" s="6">
        <v>0</v>
      </c>
      <c r="I1804" t="s">
        <v>502</v>
      </c>
    </row>
    <row r="1805" spans="1:11">
      <c r="A1805" s="6">
        <v>0</v>
      </c>
      <c r="B1805" s="6">
        <v>0</v>
      </c>
      <c r="C1805" s="6">
        <v>0</v>
      </c>
      <c r="D1805" s="6">
        <v>0</v>
      </c>
      <c r="E1805" s="6">
        <v>0</v>
      </c>
      <c r="F1805" s="6">
        <v>0</v>
      </c>
      <c r="G1805" s="6">
        <v>0</v>
      </c>
      <c r="H1805" s="6">
        <v>0</v>
      </c>
      <c r="I1805" t="s">
        <v>503</v>
      </c>
    </row>
    <row r="1806" spans="1:11">
      <c r="A1806" s="6">
        <v>0</v>
      </c>
      <c r="B1806" s="6">
        <v>0</v>
      </c>
      <c r="C1806" s="6">
        <v>0</v>
      </c>
      <c r="D1806" s="6">
        <v>0</v>
      </c>
      <c r="E1806" s="6">
        <v>0</v>
      </c>
      <c r="F1806" s="6">
        <v>0</v>
      </c>
      <c r="G1806" s="6">
        <v>0</v>
      </c>
      <c r="H1806" s="6">
        <v>0</v>
      </c>
      <c r="I1806" t="s">
        <v>504</v>
      </c>
    </row>
    <row r="1807" spans="1:11">
      <c r="A1807" s="6">
        <v>0</v>
      </c>
      <c r="B1807" s="6">
        <v>0</v>
      </c>
      <c r="C1807" s="6">
        <v>0</v>
      </c>
      <c r="D1807" s="6">
        <v>0</v>
      </c>
      <c r="E1807" s="6">
        <v>0</v>
      </c>
      <c r="F1807" s="6">
        <v>0</v>
      </c>
      <c r="G1807" s="6">
        <v>0</v>
      </c>
      <c r="H1807" s="6">
        <v>0</v>
      </c>
      <c r="I1807" t="s">
        <v>505</v>
      </c>
    </row>
    <row r="1808" spans="1:11">
      <c r="A1808" s="6">
        <v>0</v>
      </c>
      <c r="B1808" s="6">
        <v>0</v>
      </c>
      <c r="C1808" s="6">
        <v>0</v>
      </c>
      <c r="D1808" s="6">
        <v>0</v>
      </c>
      <c r="E1808" s="6">
        <v>0</v>
      </c>
      <c r="F1808" s="6">
        <v>0</v>
      </c>
      <c r="G1808" s="6">
        <v>0</v>
      </c>
      <c r="H1808" s="6">
        <v>0</v>
      </c>
      <c r="I1808" t="s">
        <v>506</v>
      </c>
    </row>
    <row r="1809" spans="1:11">
      <c r="A1809" s="6">
        <v>0</v>
      </c>
      <c r="B1809" s="6">
        <v>0</v>
      </c>
      <c r="C1809" s="6">
        <v>0</v>
      </c>
      <c r="D1809" s="6">
        <v>0</v>
      </c>
      <c r="E1809" s="6">
        <v>0</v>
      </c>
      <c r="F1809" s="6">
        <v>0</v>
      </c>
      <c r="G1809" s="6">
        <v>0</v>
      </c>
      <c r="H1809" s="6">
        <v>0</v>
      </c>
      <c r="I1809" t="s">
        <v>507</v>
      </c>
    </row>
    <row r="1810" spans="1:11">
      <c r="A1810" s="6">
        <v>0</v>
      </c>
      <c r="B1810" s="6">
        <v>0</v>
      </c>
      <c r="C1810" s="6">
        <v>0</v>
      </c>
      <c r="D1810" s="6">
        <v>0</v>
      </c>
      <c r="E1810" s="6">
        <v>0</v>
      </c>
      <c r="F1810" s="6">
        <v>0</v>
      </c>
      <c r="G1810" s="6">
        <v>0</v>
      </c>
      <c r="H1810" s="6">
        <v>0</v>
      </c>
      <c r="I1810" t="s">
        <v>508</v>
      </c>
    </row>
    <row r="1811" spans="1:11">
      <c r="A1811" s="6">
        <v>0</v>
      </c>
      <c r="B1811" s="6">
        <v>0</v>
      </c>
      <c r="C1811" s="6">
        <v>0</v>
      </c>
      <c r="D1811" s="6">
        <v>0</v>
      </c>
      <c r="E1811" s="6">
        <v>0</v>
      </c>
      <c r="F1811" s="6">
        <v>0</v>
      </c>
      <c r="G1811" s="6">
        <v>0</v>
      </c>
      <c r="H1811" s="6">
        <v>0</v>
      </c>
      <c r="I1811" t="s">
        <v>509</v>
      </c>
    </row>
    <row r="1812" spans="1:11">
      <c r="A1812" s="6">
        <v>0</v>
      </c>
      <c r="B1812" s="6">
        <v>0</v>
      </c>
      <c r="C1812" s="6">
        <v>0</v>
      </c>
      <c r="D1812" s="6">
        <v>0</v>
      </c>
      <c r="E1812" s="6">
        <v>0</v>
      </c>
      <c r="F1812" s="6">
        <v>0</v>
      </c>
      <c r="G1812" s="6">
        <v>0</v>
      </c>
      <c r="H1812" s="6">
        <v>0</v>
      </c>
      <c r="I1812" t="s">
        <v>510</v>
      </c>
    </row>
    <row r="1813" spans="1:11">
      <c r="A1813" s="2" t="s">
        <v>32</v>
      </c>
      <c r="B1813" s="81"/>
      <c r="F1813" s="38"/>
      <c r="G1813" s="38"/>
    </row>
    <row r="1814" spans="1:11">
      <c r="A1814" s="2" t="s">
        <v>32</v>
      </c>
      <c r="B1814"/>
      <c r="F1814" s="38"/>
      <c r="G1814" s="38"/>
      <c r="I1814" s="2" t="s">
        <v>499</v>
      </c>
      <c r="J1814" s="2">
        <f>J1800+1</f>
        <v>44</v>
      </c>
      <c r="K1814" s="2" t="s">
        <v>511</v>
      </c>
    </row>
    <row r="1815" spans="1:11">
      <c r="A1815" s="1" t="s">
        <v>26</v>
      </c>
      <c r="B1815" s="2" t="s">
        <v>1428</v>
      </c>
      <c r="F1815" s="38"/>
      <c r="G1815" s="38"/>
    </row>
    <row r="1816" spans="1:11">
      <c r="A1816" s="6">
        <v>0</v>
      </c>
      <c r="B1816" s="6">
        <v>0</v>
      </c>
      <c r="C1816" s="6">
        <v>0</v>
      </c>
      <c r="D1816" s="6">
        <v>0</v>
      </c>
      <c r="E1816" s="6">
        <v>0</v>
      </c>
      <c r="F1816" s="6">
        <v>0</v>
      </c>
      <c r="G1816" s="6">
        <v>0</v>
      </c>
      <c r="H1816" s="6">
        <v>0</v>
      </c>
      <c r="I1816" t="s">
        <v>500</v>
      </c>
    </row>
    <row r="1817" spans="1:11">
      <c r="A1817" s="6">
        <v>0</v>
      </c>
      <c r="B1817" s="6">
        <v>0</v>
      </c>
      <c r="C1817" s="6">
        <v>0</v>
      </c>
      <c r="D1817" s="6">
        <v>0</v>
      </c>
      <c r="E1817" s="6">
        <v>0</v>
      </c>
      <c r="F1817" s="6">
        <v>0</v>
      </c>
      <c r="G1817" s="6">
        <v>0</v>
      </c>
      <c r="H1817" s="6">
        <v>0</v>
      </c>
      <c r="I1817" t="s">
        <v>501</v>
      </c>
    </row>
    <row r="1818" spans="1:11">
      <c r="A1818" s="6">
        <v>0</v>
      </c>
      <c r="B1818" s="6">
        <v>0</v>
      </c>
      <c r="C1818" s="6">
        <v>0</v>
      </c>
      <c r="D1818" s="6">
        <v>0</v>
      </c>
      <c r="E1818" s="6">
        <v>0</v>
      </c>
      <c r="F1818" s="6">
        <v>0</v>
      </c>
      <c r="G1818" s="6">
        <v>0</v>
      </c>
      <c r="H1818" s="6">
        <v>0</v>
      </c>
      <c r="I1818" t="s">
        <v>502</v>
      </c>
    </row>
    <row r="1819" spans="1:11">
      <c r="A1819" s="6">
        <v>0</v>
      </c>
      <c r="B1819" s="6">
        <v>0</v>
      </c>
      <c r="C1819" s="6">
        <v>0</v>
      </c>
      <c r="D1819" s="6">
        <v>0</v>
      </c>
      <c r="E1819" s="6">
        <v>0</v>
      </c>
      <c r="F1819" s="6">
        <v>0</v>
      </c>
      <c r="G1819" s="6">
        <v>0</v>
      </c>
      <c r="H1819" s="6">
        <v>0</v>
      </c>
      <c r="I1819" t="s">
        <v>503</v>
      </c>
    </row>
    <row r="1820" spans="1:11">
      <c r="A1820" s="6">
        <v>0</v>
      </c>
      <c r="B1820" s="6">
        <v>0</v>
      </c>
      <c r="C1820" s="6">
        <v>0</v>
      </c>
      <c r="D1820" s="6">
        <v>0</v>
      </c>
      <c r="E1820" s="6">
        <v>0</v>
      </c>
      <c r="F1820" s="6">
        <v>0</v>
      </c>
      <c r="G1820" s="6">
        <v>0</v>
      </c>
      <c r="H1820" s="6">
        <v>0</v>
      </c>
      <c r="I1820" t="s">
        <v>504</v>
      </c>
    </row>
    <row r="1821" spans="1:11">
      <c r="A1821" s="6">
        <v>0</v>
      </c>
      <c r="B1821" s="6">
        <v>0</v>
      </c>
      <c r="C1821" s="6">
        <v>0</v>
      </c>
      <c r="D1821" s="6">
        <v>0</v>
      </c>
      <c r="E1821" s="6">
        <v>0</v>
      </c>
      <c r="F1821" s="6">
        <v>0</v>
      </c>
      <c r="G1821" s="6">
        <v>0</v>
      </c>
      <c r="H1821" s="6">
        <v>0</v>
      </c>
      <c r="I1821" t="s">
        <v>505</v>
      </c>
    </row>
    <row r="1822" spans="1:11">
      <c r="A1822" s="6">
        <v>0</v>
      </c>
      <c r="B1822" s="6">
        <v>0</v>
      </c>
      <c r="C1822" s="6">
        <v>0</v>
      </c>
      <c r="D1822" s="6">
        <v>0</v>
      </c>
      <c r="E1822" s="6">
        <v>0</v>
      </c>
      <c r="F1822" s="6">
        <v>0</v>
      </c>
      <c r="G1822" s="6">
        <v>0</v>
      </c>
      <c r="H1822" s="6">
        <v>0</v>
      </c>
      <c r="I1822" t="s">
        <v>506</v>
      </c>
    </row>
    <row r="1823" spans="1:11">
      <c r="A1823" s="6">
        <v>0</v>
      </c>
      <c r="B1823" s="6">
        <v>0</v>
      </c>
      <c r="C1823" s="6">
        <v>0</v>
      </c>
      <c r="D1823" s="6">
        <v>0</v>
      </c>
      <c r="E1823" s="6">
        <v>0</v>
      </c>
      <c r="F1823" s="6">
        <v>0</v>
      </c>
      <c r="G1823" s="6">
        <v>0</v>
      </c>
      <c r="H1823" s="6">
        <v>0</v>
      </c>
      <c r="I1823" t="s">
        <v>507</v>
      </c>
    </row>
    <row r="1824" spans="1:11">
      <c r="A1824" s="6">
        <v>0</v>
      </c>
      <c r="B1824" s="6">
        <v>0</v>
      </c>
      <c r="C1824" s="6">
        <v>0</v>
      </c>
      <c r="D1824" s="6">
        <v>0</v>
      </c>
      <c r="E1824" s="6">
        <v>0</v>
      </c>
      <c r="F1824" s="6">
        <v>0</v>
      </c>
      <c r="G1824" s="6">
        <v>0</v>
      </c>
      <c r="H1824" s="6">
        <v>0</v>
      </c>
      <c r="I1824" t="s">
        <v>508</v>
      </c>
    </row>
    <row r="1825" spans="1:11">
      <c r="A1825" s="6">
        <v>0</v>
      </c>
      <c r="B1825" s="6">
        <v>0</v>
      </c>
      <c r="C1825" s="6">
        <v>0</v>
      </c>
      <c r="D1825" s="6">
        <v>0</v>
      </c>
      <c r="E1825" s="6">
        <v>0</v>
      </c>
      <c r="F1825" s="6">
        <v>0</v>
      </c>
      <c r="G1825" s="6">
        <v>0</v>
      </c>
      <c r="H1825" s="6">
        <v>0</v>
      </c>
      <c r="I1825" t="s">
        <v>509</v>
      </c>
    </row>
    <row r="1826" spans="1:11">
      <c r="A1826" s="6">
        <v>0</v>
      </c>
      <c r="B1826" s="6">
        <v>0</v>
      </c>
      <c r="C1826" s="6">
        <v>0</v>
      </c>
      <c r="D1826" s="6">
        <v>0</v>
      </c>
      <c r="E1826" s="6">
        <v>0</v>
      </c>
      <c r="F1826" s="6">
        <v>0</v>
      </c>
      <c r="G1826" s="6">
        <v>0</v>
      </c>
      <c r="H1826" s="6">
        <v>0</v>
      </c>
      <c r="I1826" t="s">
        <v>510</v>
      </c>
    </row>
    <row r="1827" spans="1:11">
      <c r="A1827" s="2" t="s">
        <v>32</v>
      </c>
      <c r="B1827" s="81"/>
      <c r="F1827" s="38"/>
      <c r="G1827" s="38"/>
    </row>
    <row r="1828" spans="1:11">
      <c r="A1828" s="2" t="s">
        <v>32</v>
      </c>
      <c r="B1828"/>
      <c r="F1828" s="38"/>
      <c r="G1828" s="38"/>
      <c r="I1828" s="2" t="s">
        <v>499</v>
      </c>
      <c r="J1828" s="2">
        <f>J1814+1</f>
        <v>45</v>
      </c>
      <c r="K1828" s="2" t="s">
        <v>511</v>
      </c>
    </row>
    <row r="1829" spans="1:11">
      <c r="A1829" s="1" t="s">
        <v>26</v>
      </c>
      <c r="B1829" s="2" t="s">
        <v>1428</v>
      </c>
      <c r="F1829" s="38"/>
      <c r="G1829" s="38"/>
    </row>
    <row r="1830" spans="1:11">
      <c r="A1830" s="6">
        <v>0</v>
      </c>
      <c r="B1830" s="6">
        <v>0</v>
      </c>
      <c r="C1830" s="6">
        <v>0</v>
      </c>
      <c r="D1830" s="6">
        <v>0</v>
      </c>
      <c r="E1830" s="6">
        <v>0</v>
      </c>
      <c r="F1830" s="6">
        <v>0</v>
      </c>
      <c r="G1830" s="6">
        <v>0</v>
      </c>
      <c r="H1830" s="6">
        <v>0</v>
      </c>
      <c r="I1830" t="s">
        <v>500</v>
      </c>
    </row>
    <row r="1831" spans="1:11">
      <c r="A1831" s="6">
        <v>0</v>
      </c>
      <c r="B1831" s="6">
        <v>0</v>
      </c>
      <c r="C1831" s="6">
        <v>0</v>
      </c>
      <c r="D1831" s="6">
        <v>0</v>
      </c>
      <c r="E1831" s="6">
        <v>0</v>
      </c>
      <c r="F1831" s="6">
        <v>0</v>
      </c>
      <c r="G1831" s="6">
        <v>0</v>
      </c>
      <c r="H1831" s="6">
        <v>0</v>
      </c>
      <c r="I1831" t="s">
        <v>501</v>
      </c>
    </row>
    <row r="1832" spans="1:11">
      <c r="A1832" s="6">
        <v>0</v>
      </c>
      <c r="B1832" s="6">
        <v>0</v>
      </c>
      <c r="C1832" s="6">
        <v>0</v>
      </c>
      <c r="D1832" s="6">
        <v>0</v>
      </c>
      <c r="E1832" s="6">
        <v>0</v>
      </c>
      <c r="F1832" s="6">
        <v>0</v>
      </c>
      <c r="G1832" s="6">
        <v>0</v>
      </c>
      <c r="H1832" s="6">
        <v>0</v>
      </c>
      <c r="I1832" t="s">
        <v>502</v>
      </c>
    </row>
    <row r="1833" spans="1:11">
      <c r="A1833" s="6">
        <v>0</v>
      </c>
      <c r="B1833" s="6">
        <v>0</v>
      </c>
      <c r="C1833" s="6">
        <v>0</v>
      </c>
      <c r="D1833" s="6">
        <v>0</v>
      </c>
      <c r="E1833" s="6">
        <v>0</v>
      </c>
      <c r="F1833" s="6">
        <v>0</v>
      </c>
      <c r="G1833" s="6">
        <v>0</v>
      </c>
      <c r="H1833" s="6">
        <v>0</v>
      </c>
      <c r="I1833" t="s">
        <v>503</v>
      </c>
    </row>
    <row r="1834" spans="1:11">
      <c r="A1834" s="6">
        <v>0</v>
      </c>
      <c r="B1834" s="6">
        <v>0</v>
      </c>
      <c r="C1834" s="6">
        <v>0</v>
      </c>
      <c r="D1834" s="6">
        <v>0</v>
      </c>
      <c r="E1834" s="6">
        <v>0</v>
      </c>
      <c r="F1834" s="6">
        <v>0</v>
      </c>
      <c r="G1834" s="6">
        <v>0</v>
      </c>
      <c r="H1834" s="6">
        <v>0</v>
      </c>
      <c r="I1834" t="s">
        <v>504</v>
      </c>
    </row>
    <row r="1835" spans="1:11">
      <c r="A1835" s="6">
        <v>0</v>
      </c>
      <c r="B1835" s="6">
        <v>0</v>
      </c>
      <c r="C1835" s="6">
        <v>0</v>
      </c>
      <c r="D1835" s="6">
        <v>0</v>
      </c>
      <c r="E1835" s="6">
        <v>0</v>
      </c>
      <c r="F1835" s="6">
        <v>0</v>
      </c>
      <c r="G1835" s="6">
        <v>0</v>
      </c>
      <c r="H1835" s="6">
        <v>0</v>
      </c>
      <c r="I1835" t="s">
        <v>505</v>
      </c>
    </row>
    <row r="1836" spans="1:11">
      <c r="A1836" s="6">
        <v>0</v>
      </c>
      <c r="B1836" s="6">
        <v>0</v>
      </c>
      <c r="C1836" s="6">
        <v>0</v>
      </c>
      <c r="D1836" s="6">
        <v>0</v>
      </c>
      <c r="E1836" s="6">
        <v>0</v>
      </c>
      <c r="F1836" s="6">
        <v>0</v>
      </c>
      <c r="G1836" s="6">
        <v>0</v>
      </c>
      <c r="H1836" s="6">
        <v>0</v>
      </c>
      <c r="I1836" t="s">
        <v>506</v>
      </c>
    </row>
    <row r="1837" spans="1:11">
      <c r="A1837" s="6">
        <v>0</v>
      </c>
      <c r="B1837" s="6">
        <v>0</v>
      </c>
      <c r="C1837" s="6">
        <v>0</v>
      </c>
      <c r="D1837" s="6">
        <v>0</v>
      </c>
      <c r="E1837" s="6">
        <v>0</v>
      </c>
      <c r="F1837" s="6">
        <v>0</v>
      </c>
      <c r="G1837" s="6">
        <v>0</v>
      </c>
      <c r="H1837" s="6">
        <v>0</v>
      </c>
      <c r="I1837" t="s">
        <v>507</v>
      </c>
    </row>
    <row r="1838" spans="1:11">
      <c r="A1838" s="6">
        <v>0</v>
      </c>
      <c r="B1838" s="6">
        <v>0</v>
      </c>
      <c r="C1838" s="6">
        <v>0</v>
      </c>
      <c r="D1838" s="6">
        <v>0</v>
      </c>
      <c r="E1838" s="6">
        <v>0</v>
      </c>
      <c r="F1838" s="6">
        <v>0</v>
      </c>
      <c r="G1838" s="6">
        <v>0</v>
      </c>
      <c r="H1838" s="6">
        <v>0</v>
      </c>
      <c r="I1838" t="s">
        <v>508</v>
      </c>
    </row>
    <row r="1839" spans="1:11">
      <c r="A1839" s="6">
        <v>0</v>
      </c>
      <c r="B1839" s="6">
        <v>0</v>
      </c>
      <c r="C1839" s="6">
        <v>0</v>
      </c>
      <c r="D1839" s="6">
        <v>0</v>
      </c>
      <c r="E1839" s="6">
        <v>0</v>
      </c>
      <c r="F1839" s="6">
        <v>0</v>
      </c>
      <c r="G1839" s="6">
        <v>0</v>
      </c>
      <c r="H1839" s="6">
        <v>0</v>
      </c>
      <c r="I1839" t="s">
        <v>509</v>
      </c>
    </row>
    <row r="1840" spans="1:11">
      <c r="A1840" s="6">
        <v>0</v>
      </c>
      <c r="B1840" s="6">
        <v>0</v>
      </c>
      <c r="C1840" s="6">
        <v>0</v>
      </c>
      <c r="D1840" s="6">
        <v>0</v>
      </c>
      <c r="E1840" s="6">
        <v>0</v>
      </c>
      <c r="F1840" s="6">
        <v>0</v>
      </c>
      <c r="G1840" s="6">
        <v>0</v>
      </c>
      <c r="H1840" s="6">
        <v>0</v>
      </c>
      <c r="I1840" t="s">
        <v>510</v>
      </c>
    </row>
    <row r="1841" spans="1:11">
      <c r="A1841" s="2" t="s">
        <v>32</v>
      </c>
      <c r="B1841" s="81"/>
      <c r="F1841" s="38"/>
      <c r="G1841" s="38"/>
    </row>
    <row r="1842" spans="1:11">
      <c r="A1842" s="2" t="s">
        <v>32</v>
      </c>
      <c r="B1842"/>
      <c r="F1842" s="38"/>
      <c r="G1842" s="38"/>
      <c r="I1842" s="2" t="s">
        <v>499</v>
      </c>
      <c r="J1842" s="2">
        <f>J1828+1</f>
        <v>46</v>
      </c>
      <c r="K1842" s="2" t="s">
        <v>511</v>
      </c>
    </row>
    <row r="1843" spans="1:11">
      <c r="A1843" s="1" t="s">
        <v>26</v>
      </c>
      <c r="B1843" s="2" t="s">
        <v>1428</v>
      </c>
      <c r="F1843" s="38"/>
      <c r="G1843" s="38"/>
    </row>
    <row r="1844" spans="1:11">
      <c r="A1844" s="6">
        <v>0</v>
      </c>
      <c r="B1844" s="6">
        <v>0</v>
      </c>
      <c r="C1844" s="6">
        <v>0</v>
      </c>
      <c r="D1844" s="6">
        <v>0</v>
      </c>
      <c r="E1844" s="6">
        <v>0</v>
      </c>
      <c r="F1844" s="6">
        <v>0</v>
      </c>
      <c r="G1844" s="6">
        <v>0</v>
      </c>
      <c r="H1844" s="6">
        <v>0</v>
      </c>
      <c r="I1844" t="s">
        <v>500</v>
      </c>
    </row>
    <row r="1845" spans="1:11">
      <c r="A1845" s="6">
        <v>0</v>
      </c>
      <c r="B1845" s="6">
        <v>0</v>
      </c>
      <c r="C1845" s="6">
        <v>0</v>
      </c>
      <c r="D1845" s="6">
        <v>0</v>
      </c>
      <c r="E1845" s="6">
        <v>0</v>
      </c>
      <c r="F1845" s="6">
        <v>0</v>
      </c>
      <c r="G1845" s="6">
        <v>0</v>
      </c>
      <c r="H1845" s="6">
        <v>0</v>
      </c>
      <c r="I1845" t="s">
        <v>501</v>
      </c>
    </row>
    <row r="1846" spans="1:11">
      <c r="A1846" s="6">
        <v>0</v>
      </c>
      <c r="B1846" s="6">
        <v>0</v>
      </c>
      <c r="C1846" s="6">
        <v>0</v>
      </c>
      <c r="D1846" s="6">
        <v>0</v>
      </c>
      <c r="E1846" s="6">
        <v>0</v>
      </c>
      <c r="F1846" s="6">
        <v>0</v>
      </c>
      <c r="G1846" s="6">
        <v>0</v>
      </c>
      <c r="H1846" s="6">
        <v>0</v>
      </c>
      <c r="I1846" t="s">
        <v>502</v>
      </c>
    </row>
    <row r="1847" spans="1:11">
      <c r="A1847" s="6">
        <v>0</v>
      </c>
      <c r="B1847" s="6">
        <v>0</v>
      </c>
      <c r="C1847" s="6">
        <v>0</v>
      </c>
      <c r="D1847" s="6">
        <v>0</v>
      </c>
      <c r="E1847" s="6">
        <v>0</v>
      </c>
      <c r="F1847" s="6">
        <v>0</v>
      </c>
      <c r="G1847" s="6">
        <v>0</v>
      </c>
      <c r="H1847" s="6">
        <v>0</v>
      </c>
      <c r="I1847" t="s">
        <v>503</v>
      </c>
    </row>
    <row r="1848" spans="1:11">
      <c r="A1848" s="6">
        <v>0</v>
      </c>
      <c r="B1848" s="6">
        <v>0</v>
      </c>
      <c r="C1848" s="6">
        <v>0</v>
      </c>
      <c r="D1848" s="6">
        <v>0</v>
      </c>
      <c r="E1848" s="6">
        <v>0</v>
      </c>
      <c r="F1848" s="6">
        <v>0</v>
      </c>
      <c r="G1848" s="6">
        <v>0</v>
      </c>
      <c r="H1848" s="6">
        <v>0</v>
      </c>
      <c r="I1848" t="s">
        <v>504</v>
      </c>
    </row>
    <row r="1849" spans="1:11">
      <c r="A1849" s="6">
        <v>0</v>
      </c>
      <c r="B1849" s="6">
        <v>0</v>
      </c>
      <c r="C1849" s="6">
        <v>0</v>
      </c>
      <c r="D1849" s="6">
        <v>0</v>
      </c>
      <c r="E1849" s="6">
        <v>0</v>
      </c>
      <c r="F1849" s="6">
        <v>0</v>
      </c>
      <c r="G1849" s="6">
        <v>0</v>
      </c>
      <c r="H1849" s="6">
        <v>0</v>
      </c>
      <c r="I1849" t="s">
        <v>505</v>
      </c>
    </row>
    <row r="1850" spans="1:11">
      <c r="A1850" s="6">
        <v>0</v>
      </c>
      <c r="B1850" s="6">
        <v>0</v>
      </c>
      <c r="C1850" s="6">
        <v>0</v>
      </c>
      <c r="D1850" s="6">
        <v>0</v>
      </c>
      <c r="E1850" s="6">
        <v>0</v>
      </c>
      <c r="F1850" s="6">
        <v>0</v>
      </c>
      <c r="G1850" s="6">
        <v>0</v>
      </c>
      <c r="H1850" s="6">
        <v>0</v>
      </c>
      <c r="I1850" t="s">
        <v>506</v>
      </c>
    </row>
    <row r="1851" spans="1:11">
      <c r="A1851" s="6">
        <v>0</v>
      </c>
      <c r="B1851" s="6">
        <v>0</v>
      </c>
      <c r="C1851" s="6">
        <v>0</v>
      </c>
      <c r="D1851" s="6">
        <v>0</v>
      </c>
      <c r="E1851" s="6">
        <v>0</v>
      </c>
      <c r="F1851" s="6">
        <v>0</v>
      </c>
      <c r="G1851" s="6">
        <v>0</v>
      </c>
      <c r="H1851" s="6">
        <v>0</v>
      </c>
      <c r="I1851" t="s">
        <v>507</v>
      </c>
    </row>
    <row r="1852" spans="1:11">
      <c r="A1852" s="6">
        <v>0</v>
      </c>
      <c r="B1852" s="6">
        <v>0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  <c r="H1852" s="6">
        <v>0</v>
      </c>
      <c r="I1852" t="s">
        <v>508</v>
      </c>
    </row>
    <row r="1853" spans="1:11">
      <c r="A1853" s="6">
        <v>0</v>
      </c>
      <c r="B1853" s="6">
        <v>0</v>
      </c>
      <c r="C1853" s="6">
        <v>0</v>
      </c>
      <c r="D1853" s="6">
        <v>0</v>
      </c>
      <c r="E1853" s="6">
        <v>0</v>
      </c>
      <c r="F1853" s="6">
        <v>0</v>
      </c>
      <c r="G1853" s="6">
        <v>0</v>
      </c>
      <c r="H1853" s="6">
        <v>0</v>
      </c>
      <c r="I1853" t="s">
        <v>509</v>
      </c>
    </row>
    <row r="1854" spans="1:11">
      <c r="A1854" s="6">
        <v>0</v>
      </c>
      <c r="B1854" s="6">
        <v>0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t="s">
        <v>510</v>
      </c>
    </row>
    <row r="1855" spans="1:11">
      <c r="A1855" s="2" t="s">
        <v>32</v>
      </c>
      <c r="B1855" s="81"/>
      <c r="F1855" s="38"/>
      <c r="G1855" s="38"/>
    </row>
    <row r="1856" spans="1:11">
      <c r="A1856" s="2" t="s">
        <v>32</v>
      </c>
      <c r="B1856"/>
      <c r="F1856" s="38"/>
      <c r="G1856" s="38"/>
      <c r="I1856" s="2" t="s">
        <v>499</v>
      </c>
      <c r="J1856" s="2">
        <f>J1842+1</f>
        <v>47</v>
      </c>
      <c r="K1856" s="2" t="s">
        <v>511</v>
      </c>
    </row>
    <row r="1857" spans="1:11">
      <c r="A1857" s="1" t="s">
        <v>26</v>
      </c>
      <c r="B1857" s="2" t="s">
        <v>1428</v>
      </c>
      <c r="F1857" s="38"/>
      <c r="G1857" s="38"/>
    </row>
    <row r="1858" spans="1:11">
      <c r="A1858" s="6">
        <v>0</v>
      </c>
      <c r="B1858" s="6">
        <v>0</v>
      </c>
      <c r="C1858" s="6">
        <v>0</v>
      </c>
      <c r="D1858" s="6">
        <v>0</v>
      </c>
      <c r="E1858" s="6">
        <v>0</v>
      </c>
      <c r="F1858" s="6">
        <v>0</v>
      </c>
      <c r="G1858" s="6">
        <v>0</v>
      </c>
      <c r="H1858" s="6">
        <v>0</v>
      </c>
      <c r="I1858" t="s">
        <v>500</v>
      </c>
    </row>
    <row r="1859" spans="1:11">
      <c r="A1859" s="6">
        <v>0</v>
      </c>
      <c r="B1859" s="6">
        <v>0</v>
      </c>
      <c r="C1859" s="6">
        <v>0</v>
      </c>
      <c r="D1859" s="6">
        <v>0</v>
      </c>
      <c r="E1859" s="6">
        <v>0</v>
      </c>
      <c r="F1859" s="6">
        <v>0</v>
      </c>
      <c r="G1859" s="6">
        <v>0</v>
      </c>
      <c r="H1859" s="6">
        <v>0</v>
      </c>
      <c r="I1859" t="s">
        <v>501</v>
      </c>
    </row>
    <row r="1860" spans="1:11">
      <c r="A1860" s="6">
        <v>0</v>
      </c>
      <c r="B1860" s="6">
        <v>0</v>
      </c>
      <c r="C1860" s="6">
        <v>0</v>
      </c>
      <c r="D1860" s="6">
        <v>0</v>
      </c>
      <c r="E1860" s="6">
        <v>0</v>
      </c>
      <c r="F1860" s="6">
        <v>0</v>
      </c>
      <c r="G1860" s="6">
        <v>0</v>
      </c>
      <c r="H1860" s="6">
        <v>0</v>
      </c>
      <c r="I1860" t="s">
        <v>502</v>
      </c>
    </row>
    <row r="1861" spans="1:11">
      <c r="A1861" s="6">
        <v>0</v>
      </c>
      <c r="B1861" s="6">
        <v>0</v>
      </c>
      <c r="C1861" s="6">
        <v>0</v>
      </c>
      <c r="D1861" s="6">
        <v>0</v>
      </c>
      <c r="E1861" s="6">
        <v>0</v>
      </c>
      <c r="F1861" s="6">
        <v>0</v>
      </c>
      <c r="G1861" s="6">
        <v>0</v>
      </c>
      <c r="H1861" s="6">
        <v>0</v>
      </c>
      <c r="I1861" t="s">
        <v>503</v>
      </c>
    </row>
    <row r="1862" spans="1:11">
      <c r="A1862" s="6">
        <v>0</v>
      </c>
      <c r="B1862" s="6">
        <v>0</v>
      </c>
      <c r="C1862" s="6">
        <v>0</v>
      </c>
      <c r="D1862" s="6">
        <v>0</v>
      </c>
      <c r="E1862" s="6">
        <v>0</v>
      </c>
      <c r="F1862" s="6">
        <v>0</v>
      </c>
      <c r="G1862" s="6">
        <v>0</v>
      </c>
      <c r="H1862" s="6">
        <v>0</v>
      </c>
      <c r="I1862" t="s">
        <v>504</v>
      </c>
    </row>
    <row r="1863" spans="1:11">
      <c r="A1863" s="6">
        <v>0</v>
      </c>
      <c r="B1863" s="6">
        <v>0</v>
      </c>
      <c r="C1863" s="6">
        <v>0</v>
      </c>
      <c r="D1863" s="6">
        <v>0</v>
      </c>
      <c r="E1863" s="6">
        <v>0</v>
      </c>
      <c r="F1863" s="6">
        <v>0</v>
      </c>
      <c r="G1863" s="6">
        <v>0</v>
      </c>
      <c r="H1863" s="6">
        <v>0</v>
      </c>
      <c r="I1863" t="s">
        <v>505</v>
      </c>
    </row>
    <row r="1864" spans="1:11">
      <c r="A1864" s="6">
        <v>0</v>
      </c>
      <c r="B1864" s="6">
        <v>0</v>
      </c>
      <c r="C1864" s="6">
        <v>0</v>
      </c>
      <c r="D1864" s="6">
        <v>0</v>
      </c>
      <c r="E1864" s="6">
        <v>0</v>
      </c>
      <c r="F1864" s="6">
        <v>0</v>
      </c>
      <c r="G1864" s="6">
        <v>0</v>
      </c>
      <c r="H1864" s="6">
        <v>0</v>
      </c>
      <c r="I1864" t="s">
        <v>506</v>
      </c>
    </row>
    <row r="1865" spans="1:11">
      <c r="A1865" s="6">
        <v>0</v>
      </c>
      <c r="B1865" s="6">
        <v>0</v>
      </c>
      <c r="C1865" s="6">
        <v>0</v>
      </c>
      <c r="D1865" s="6">
        <v>0</v>
      </c>
      <c r="E1865" s="6">
        <v>0</v>
      </c>
      <c r="F1865" s="6">
        <v>0</v>
      </c>
      <c r="G1865" s="6">
        <v>0</v>
      </c>
      <c r="H1865" s="6">
        <v>0</v>
      </c>
      <c r="I1865" t="s">
        <v>507</v>
      </c>
    </row>
    <row r="1866" spans="1:11">
      <c r="A1866" s="6">
        <v>0</v>
      </c>
      <c r="B1866" s="6">
        <v>0</v>
      </c>
      <c r="C1866" s="6">
        <v>0</v>
      </c>
      <c r="D1866" s="6">
        <v>0</v>
      </c>
      <c r="E1866" s="6">
        <v>0</v>
      </c>
      <c r="F1866" s="6">
        <v>0</v>
      </c>
      <c r="G1866" s="6">
        <v>0</v>
      </c>
      <c r="H1866" s="6">
        <v>0</v>
      </c>
      <c r="I1866" t="s">
        <v>508</v>
      </c>
    </row>
    <row r="1867" spans="1:11">
      <c r="A1867" s="6">
        <v>0</v>
      </c>
      <c r="B1867" s="6">
        <v>0</v>
      </c>
      <c r="C1867" s="6">
        <v>0</v>
      </c>
      <c r="D1867" s="6">
        <v>0</v>
      </c>
      <c r="E1867" s="6">
        <v>0</v>
      </c>
      <c r="F1867" s="6">
        <v>0</v>
      </c>
      <c r="G1867" s="6">
        <v>0</v>
      </c>
      <c r="H1867" s="6">
        <v>0</v>
      </c>
      <c r="I1867" t="s">
        <v>509</v>
      </c>
    </row>
    <row r="1868" spans="1:11">
      <c r="A1868" s="6">
        <v>0</v>
      </c>
      <c r="B1868" s="6">
        <v>0</v>
      </c>
      <c r="C1868" s="6">
        <v>0</v>
      </c>
      <c r="D1868" s="6">
        <v>0</v>
      </c>
      <c r="E1868" s="6">
        <v>0</v>
      </c>
      <c r="F1868" s="6">
        <v>0</v>
      </c>
      <c r="G1868" s="6">
        <v>0</v>
      </c>
      <c r="H1868" s="6">
        <v>0</v>
      </c>
      <c r="I1868" t="s">
        <v>510</v>
      </c>
    </row>
    <row r="1869" spans="1:11">
      <c r="A1869" s="2" t="s">
        <v>32</v>
      </c>
      <c r="B1869" s="81"/>
      <c r="F1869" s="38"/>
      <c r="G1869" s="38"/>
    </row>
    <row r="1870" spans="1:11">
      <c r="A1870" s="2" t="s">
        <v>32</v>
      </c>
      <c r="B1870"/>
      <c r="F1870" s="38"/>
      <c r="G1870" s="38"/>
      <c r="I1870" s="2" t="s">
        <v>499</v>
      </c>
      <c r="J1870" s="2">
        <f>J1856+1</f>
        <v>48</v>
      </c>
      <c r="K1870" s="2" t="s">
        <v>511</v>
      </c>
    </row>
    <row r="1871" spans="1:11">
      <c r="A1871" s="1" t="s">
        <v>26</v>
      </c>
      <c r="B1871" s="2" t="s">
        <v>1428</v>
      </c>
      <c r="F1871" s="38"/>
      <c r="G1871" s="38"/>
    </row>
    <row r="1872" spans="1:11">
      <c r="A1872" s="6">
        <v>0</v>
      </c>
      <c r="B1872" s="6">
        <v>0</v>
      </c>
      <c r="C1872" s="6">
        <v>0</v>
      </c>
      <c r="D1872" s="6">
        <v>0</v>
      </c>
      <c r="E1872" s="6">
        <v>0</v>
      </c>
      <c r="F1872" s="6">
        <v>0</v>
      </c>
      <c r="G1872" s="6">
        <v>0</v>
      </c>
      <c r="H1872" s="6">
        <v>0</v>
      </c>
      <c r="I1872" t="s">
        <v>500</v>
      </c>
    </row>
    <row r="1873" spans="1:11">
      <c r="A1873" s="6">
        <v>0</v>
      </c>
      <c r="B1873" s="6">
        <v>0</v>
      </c>
      <c r="C1873" s="6">
        <v>0</v>
      </c>
      <c r="D1873" s="6">
        <v>0</v>
      </c>
      <c r="E1873" s="6">
        <v>0</v>
      </c>
      <c r="F1873" s="6">
        <v>0</v>
      </c>
      <c r="G1873" s="6">
        <v>0</v>
      </c>
      <c r="H1873" s="6">
        <v>0</v>
      </c>
      <c r="I1873" t="s">
        <v>501</v>
      </c>
    </row>
    <row r="1874" spans="1:11">
      <c r="A1874" s="6">
        <v>0</v>
      </c>
      <c r="B1874" s="6">
        <v>0</v>
      </c>
      <c r="C1874" s="6">
        <v>0</v>
      </c>
      <c r="D1874" s="6">
        <v>0</v>
      </c>
      <c r="E1874" s="6">
        <v>0</v>
      </c>
      <c r="F1874" s="6">
        <v>0</v>
      </c>
      <c r="G1874" s="6">
        <v>0</v>
      </c>
      <c r="H1874" s="6">
        <v>0</v>
      </c>
      <c r="I1874" t="s">
        <v>502</v>
      </c>
    </row>
    <row r="1875" spans="1:11">
      <c r="A1875" s="6">
        <v>0</v>
      </c>
      <c r="B1875" s="6">
        <v>0</v>
      </c>
      <c r="C1875" s="6">
        <v>0</v>
      </c>
      <c r="D1875" s="6">
        <v>0</v>
      </c>
      <c r="E1875" s="6">
        <v>0</v>
      </c>
      <c r="F1875" s="6">
        <v>0</v>
      </c>
      <c r="G1875" s="6">
        <v>0</v>
      </c>
      <c r="H1875" s="6">
        <v>0</v>
      </c>
      <c r="I1875" t="s">
        <v>503</v>
      </c>
    </row>
    <row r="1876" spans="1:11">
      <c r="A1876" s="6">
        <v>0</v>
      </c>
      <c r="B1876" s="6">
        <v>0</v>
      </c>
      <c r="C1876" s="6">
        <v>0</v>
      </c>
      <c r="D1876" s="6">
        <v>0</v>
      </c>
      <c r="E1876" s="6">
        <v>0</v>
      </c>
      <c r="F1876" s="6">
        <v>0</v>
      </c>
      <c r="G1876" s="6">
        <v>0</v>
      </c>
      <c r="H1876" s="6">
        <v>0</v>
      </c>
      <c r="I1876" t="s">
        <v>504</v>
      </c>
    </row>
    <row r="1877" spans="1:11">
      <c r="A1877" s="6">
        <v>0</v>
      </c>
      <c r="B1877" s="6">
        <v>0</v>
      </c>
      <c r="C1877" s="6">
        <v>0</v>
      </c>
      <c r="D1877" s="6">
        <v>0</v>
      </c>
      <c r="E1877" s="6">
        <v>0</v>
      </c>
      <c r="F1877" s="6">
        <v>0</v>
      </c>
      <c r="G1877" s="6">
        <v>0</v>
      </c>
      <c r="H1877" s="6">
        <v>0</v>
      </c>
      <c r="I1877" t="s">
        <v>505</v>
      </c>
    </row>
    <row r="1878" spans="1:11">
      <c r="A1878" s="6">
        <v>0</v>
      </c>
      <c r="B1878" s="6">
        <v>0</v>
      </c>
      <c r="C1878" s="6">
        <v>0</v>
      </c>
      <c r="D1878" s="6">
        <v>0</v>
      </c>
      <c r="E1878" s="6">
        <v>0</v>
      </c>
      <c r="F1878" s="6">
        <v>0</v>
      </c>
      <c r="G1878" s="6">
        <v>0</v>
      </c>
      <c r="H1878" s="6">
        <v>0</v>
      </c>
      <c r="I1878" t="s">
        <v>506</v>
      </c>
    </row>
    <row r="1879" spans="1:11">
      <c r="A1879" s="6">
        <v>0</v>
      </c>
      <c r="B1879" s="6">
        <v>0</v>
      </c>
      <c r="C1879" s="6">
        <v>0</v>
      </c>
      <c r="D1879" s="6">
        <v>0</v>
      </c>
      <c r="E1879" s="6">
        <v>0</v>
      </c>
      <c r="F1879" s="6">
        <v>0</v>
      </c>
      <c r="G1879" s="6">
        <v>0</v>
      </c>
      <c r="H1879" s="6">
        <v>0</v>
      </c>
      <c r="I1879" t="s">
        <v>507</v>
      </c>
    </row>
    <row r="1880" spans="1:11">
      <c r="A1880" s="6">
        <v>0</v>
      </c>
      <c r="B1880" s="6">
        <v>0</v>
      </c>
      <c r="C1880" s="6">
        <v>0</v>
      </c>
      <c r="D1880" s="6">
        <v>0</v>
      </c>
      <c r="E1880" s="6">
        <v>0</v>
      </c>
      <c r="F1880" s="6">
        <v>0</v>
      </c>
      <c r="G1880" s="6">
        <v>0</v>
      </c>
      <c r="H1880" s="6">
        <v>0</v>
      </c>
      <c r="I1880" t="s">
        <v>508</v>
      </c>
    </row>
    <row r="1881" spans="1:11">
      <c r="A1881" s="6">
        <v>0</v>
      </c>
      <c r="B1881" s="6">
        <v>0</v>
      </c>
      <c r="C1881" s="6">
        <v>0</v>
      </c>
      <c r="D1881" s="6">
        <v>0</v>
      </c>
      <c r="E1881" s="6">
        <v>0</v>
      </c>
      <c r="F1881" s="6">
        <v>0</v>
      </c>
      <c r="G1881" s="6">
        <v>0</v>
      </c>
      <c r="H1881" s="6">
        <v>0</v>
      </c>
      <c r="I1881" t="s">
        <v>509</v>
      </c>
    </row>
    <row r="1882" spans="1:11">
      <c r="A1882" s="6">
        <v>0</v>
      </c>
      <c r="B1882" s="6">
        <v>0</v>
      </c>
      <c r="C1882" s="6">
        <v>0</v>
      </c>
      <c r="D1882" s="6">
        <v>0</v>
      </c>
      <c r="E1882" s="6">
        <v>0</v>
      </c>
      <c r="F1882" s="6">
        <v>0</v>
      </c>
      <c r="G1882" s="6">
        <v>0</v>
      </c>
      <c r="H1882" s="6">
        <v>0</v>
      </c>
      <c r="I1882" t="s">
        <v>510</v>
      </c>
    </row>
    <row r="1883" spans="1:11">
      <c r="A1883" s="2" t="s">
        <v>32</v>
      </c>
      <c r="B1883" s="81"/>
      <c r="F1883" s="38"/>
      <c r="G1883" s="38"/>
    </row>
    <row r="1884" spans="1:11">
      <c r="A1884" s="2" t="s">
        <v>32</v>
      </c>
      <c r="B1884"/>
      <c r="F1884" s="38"/>
      <c r="G1884" s="38"/>
      <c r="I1884" s="2" t="s">
        <v>499</v>
      </c>
      <c r="J1884" s="2">
        <f>J1870+1</f>
        <v>49</v>
      </c>
      <c r="K1884" s="2" t="s">
        <v>511</v>
      </c>
    </row>
    <row r="1885" spans="1:11">
      <c r="A1885" s="1" t="s">
        <v>26</v>
      </c>
      <c r="B1885" s="2" t="s">
        <v>1428</v>
      </c>
      <c r="F1885" s="38"/>
      <c r="G1885" s="38"/>
    </row>
    <row r="1886" spans="1:11">
      <c r="A1886" s="6">
        <v>0</v>
      </c>
      <c r="B1886" s="6">
        <v>0</v>
      </c>
      <c r="C1886" s="6">
        <v>0</v>
      </c>
      <c r="D1886" s="6">
        <v>0</v>
      </c>
      <c r="E1886" s="6">
        <v>0</v>
      </c>
      <c r="F1886" s="6">
        <v>0</v>
      </c>
      <c r="G1886" s="6">
        <v>0</v>
      </c>
      <c r="H1886" s="6">
        <v>0</v>
      </c>
      <c r="I1886" t="s">
        <v>500</v>
      </c>
    </row>
    <row r="1887" spans="1:11">
      <c r="A1887" s="6">
        <v>0</v>
      </c>
      <c r="B1887" s="6">
        <v>0</v>
      </c>
      <c r="C1887" s="6">
        <v>0</v>
      </c>
      <c r="D1887" s="6">
        <v>0</v>
      </c>
      <c r="E1887" s="6">
        <v>0</v>
      </c>
      <c r="F1887" s="6">
        <v>0</v>
      </c>
      <c r="G1887" s="6">
        <v>0</v>
      </c>
      <c r="H1887" s="6">
        <v>0</v>
      </c>
      <c r="I1887" t="s">
        <v>501</v>
      </c>
    </row>
    <row r="1888" spans="1:11">
      <c r="A1888" s="6">
        <v>0</v>
      </c>
      <c r="B1888" s="6">
        <v>0</v>
      </c>
      <c r="C1888" s="6">
        <v>0</v>
      </c>
      <c r="D1888" s="6">
        <v>0</v>
      </c>
      <c r="E1888" s="6">
        <v>0</v>
      </c>
      <c r="F1888" s="6">
        <v>0</v>
      </c>
      <c r="G1888" s="6">
        <v>0</v>
      </c>
      <c r="H1888" s="6">
        <v>0</v>
      </c>
      <c r="I1888" t="s">
        <v>502</v>
      </c>
    </row>
    <row r="1889" spans="1:11">
      <c r="A1889" s="6">
        <v>0</v>
      </c>
      <c r="B1889" s="6">
        <v>0</v>
      </c>
      <c r="C1889" s="6">
        <v>0</v>
      </c>
      <c r="D1889" s="6">
        <v>0</v>
      </c>
      <c r="E1889" s="6">
        <v>0</v>
      </c>
      <c r="F1889" s="6">
        <v>0</v>
      </c>
      <c r="G1889" s="6">
        <v>0</v>
      </c>
      <c r="H1889" s="6">
        <v>0</v>
      </c>
      <c r="I1889" t="s">
        <v>503</v>
      </c>
    </row>
    <row r="1890" spans="1:11">
      <c r="A1890" s="6">
        <v>0</v>
      </c>
      <c r="B1890" s="6">
        <v>0</v>
      </c>
      <c r="C1890" s="6">
        <v>0</v>
      </c>
      <c r="D1890" s="6">
        <v>0</v>
      </c>
      <c r="E1890" s="6">
        <v>0</v>
      </c>
      <c r="F1890" s="6">
        <v>0</v>
      </c>
      <c r="G1890" s="6">
        <v>0</v>
      </c>
      <c r="H1890" s="6">
        <v>0</v>
      </c>
      <c r="I1890" t="s">
        <v>504</v>
      </c>
    </row>
    <row r="1891" spans="1:11">
      <c r="A1891" s="6">
        <v>0</v>
      </c>
      <c r="B1891" s="6">
        <v>0</v>
      </c>
      <c r="C1891" s="6">
        <v>0</v>
      </c>
      <c r="D1891" s="6">
        <v>0</v>
      </c>
      <c r="E1891" s="6">
        <v>0</v>
      </c>
      <c r="F1891" s="6">
        <v>0</v>
      </c>
      <c r="G1891" s="6">
        <v>0</v>
      </c>
      <c r="H1891" s="6">
        <v>0</v>
      </c>
      <c r="I1891" t="s">
        <v>505</v>
      </c>
    </row>
    <row r="1892" spans="1:11">
      <c r="A1892" s="6">
        <v>0</v>
      </c>
      <c r="B1892" s="6">
        <v>0</v>
      </c>
      <c r="C1892" s="6">
        <v>0</v>
      </c>
      <c r="D1892" s="6">
        <v>0</v>
      </c>
      <c r="E1892" s="6">
        <v>0</v>
      </c>
      <c r="F1892" s="6">
        <v>0</v>
      </c>
      <c r="G1892" s="6">
        <v>0</v>
      </c>
      <c r="H1892" s="6">
        <v>0</v>
      </c>
      <c r="I1892" t="s">
        <v>506</v>
      </c>
    </row>
    <row r="1893" spans="1:11">
      <c r="A1893" s="6">
        <v>0</v>
      </c>
      <c r="B1893" s="6">
        <v>0</v>
      </c>
      <c r="C1893" s="6">
        <v>0</v>
      </c>
      <c r="D1893" s="6">
        <v>0</v>
      </c>
      <c r="E1893" s="6">
        <v>0</v>
      </c>
      <c r="F1893" s="6">
        <v>0</v>
      </c>
      <c r="G1893" s="6">
        <v>0</v>
      </c>
      <c r="H1893" s="6">
        <v>0</v>
      </c>
      <c r="I1893" t="s">
        <v>507</v>
      </c>
    </row>
    <row r="1894" spans="1:11">
      <c r="A1894" s="6">
        <v>0</v>
      </c>
      <c r="B1894" s="6">
        <v>0</v>
      </c>
      <c r="C1894" s="6">
        <v>0</v>
      </c>
      <c r="D1894" s="6">
        <v>0</v>
      </c>
      <c r="E1894" s="6">
        <v>0</v>
      </c>
      <c r="F1894" s="6">
        <v>0</v>
      </c>
      <c r="G1894" s="6">
        <v>0</v>
      </c>
      <c r="H1894" s="6">
        <v>0</v>
      </c>
      <c r="I1894" t="s">
        <v>508</v>
      </c>
    </row>
    <row r="1895" spans="1:11">
      <c r="A1895" s="6">
        <v>0</v>
      </c>
      <c r="B1895" s="6">
        <v>0</v>
      </c>
      <c r="C1895" s="6">
        <v>0</v>
      </c>
      <c r="D1895" s="6">
        <v>0</v>
      </c>
      <c r="E1895" s="6">
        <v>0</v>
      </c>
      <c r="F1895" s="6">
        <v>0</v>
      </c>
      <c r="G1895" s="6">
        <v>0</v>
      </c>
      <c r="H1895" s="6">
        <v>0</v>
      </c>
      <c r="I1895" t="s">
        <v>509</v>
      </c>
    </row>
    <row r="1896" spans="1:11">
      <c r="A1896" s="6">
        <v>0</v>
      </c>
      <c r="B1896" s="6">
        <v>0</v>
      </c>
      <c r="C1896" s="6">
        <v>0</v>
      </c>
      <c r="D1896" s="6">
        <v>0</v>
      </c>
      <c r="E1896" s="6">
        <v>0</v>
      </c>
      <c r="F1896" s="6">
        <v>0</v>
      </c>
      <c r="G1896" s="6">
        <v>0</v>
      </c>
      <c r="H1896" s="6">
        <v>0</v>
      </c>
      <c r="I1896" t="s">
        <v>510</v>
      </c>
    </row>
    <row r="1897" spans="1:11">
      <c r="A1897" s="2" t="s">
        <v>32</v>
      </c>
      <c r="B1897" s="81"/>
      <c r="F1897" s="38"/>
      <c r="G1897" s="38"/>
    </row>
    <row r="1898" spans="1:11">
      <c r="A1898" s="2" t="s">
        <v>32</v>
      </c>
      <c r="B1898"/>
      <c r="F1898" s="38"/>
      <c r="G1898" s="38"/>
      <c r="I1898" s="2" t="s">
        <v>499</v>
      </c>
      <c r="J1898" s="2">
        <f>J1884+1</f>
        <v>50</v>
      </c>
      <c r="K1898" s="2" t="s">
        <v>511</v>
      </c>
    </row>
    <row r="1899" spans="1:11">
      <c r="A1899" s="1" t="s">
        <v>26</v>
      </c>
      <c r="B1899" s="2" t="s">
        <v>1428</v>
      </c>
      <c r="F1899" s="38"/>
      <c r="G1899" s="38"/>
    </row>
    <row r="1900" spans="1:11">
      <c r="A1900" s="6">
        <v>0</v>
      </c>
      <c r="B1900" s="6">
        <v>0</v>
      </c>
      <c r="C1900" s="6">
        <v>0</v>
      </c>
      <c r="D1900" s="6">
        <v>0</v>
      </c>
      <c r="E1900" s="6">
        <v>0</v>
      </c>
      <c r="F1900" s="6">
        <v>0</v>
      </c>
      <c r="G1900" s="6">
        <v>0</v>
      </c>
      <c r="H1900" s="6">
        <v>0</v>
      </c>
      <c r="I1900" t="s">
        <v>500</v>
      </c>
    </row>
    <row r="1901" spans="1:11">
      <c r="A1901" s="6">
        <v>0</v>
      </c>
      <c r="B1901" s="6">
        <v>0</v>
      </c>
      <c r="C1901" s="6">
        <v>0</v>
      </c>
      <c r="D1901" s="6">
        <v>0</v>
      </c>
      <c r="E1901" s="6">
        <v>0</v>
      </c>
      <c r="F1901" s="6">
        <v>0</v>
      </c>
      <c r="G1901" s="6">
        <v>0</v>
      </c>
      <c r="H1901" s="6">
        <v>0</v>
      </c>
      <c r="I1901" t="s">
        <v>501</v>
      </c>
    </row>
    <row r="1902" spans="1:11">
      <c r="A1902" s="6">
        <v>0</v>
      </c>
      <c r="B1902" s="6">
        <v>0</v>
      </c>
      <c r="C1902" s="6">
        <v>0</v>
      </c>
      <c r="D1902" s="6">
        <v>0</v>
      </c>
      <c r="E1902" s="6">
        <v>0</v>
      </c>
      <c r="F1902" s="6">
        <v>0</v>
      </c>
      <c r="G1902" s="6">
        <v>0</v>
      </c>
      <c r="H1902" s="6">
        <v>0</v>
      </c>
      <c r="I1902" t="s">
        <v>502</v>
      </c>
    </row>
    <row r="1903" spans="1:11">
      <c r="A1903" s="6">
        <v>0</v>
      </c>
      <c r="B1903" s="6">
        <v>0</v>
      </c>
      <c r="C1903" s="6">
        <v>0</v>
      </c>
      <c r="D1903" s="6">
        <v>0</v>
      </c>
      <c r="E1903" s="6">
        <v>0</v>
      </c>
      <c r="F1903" s="6">
        <v>0</v>
      </c>
      <c r="G1903" s="6">
        <v>0</v>
      </c>
      <c r="H1903" s="6">
        <v>0</v>
      </c>
      <c r="I1903" t="s">
        <v>503</v>
      </c>
    </row>
    <row r="1904" spans="1:11">
      <c r="A1904" s="6">
        <v>0</v>
      </c>
      <c r="B1904" s="6">
        <v>0</v>
      </c>
      <c r="C1904" s="6">
        <v>0</v>
      </c>
      <c r="D1904" s="6">
        <v>0</v>
      </c>
      <c r="E1904" s="6">
        <v>0</v>
      </c>
      <c r="F1904" s="6">
        <v>0</v>
      </c>
      <c r="G1904" s="6">
        <v>0</v>
      </c>
      <c r="H1904" s="6">
        <v>0</v>
      </c>
      <c r="I1904" t="s">
        <v>504</v>
      </c>
    </row>
    <row r="1905" spans="1:11">
      <c r="A1905" s="6">
        <v>0</v>
      </c>
      <c r="B1905" s="6">
        <v>0</v>
      </c>
      <c r="C1905" s="6">
        <v>0</v>
      </c>
      <c r="D1905" s="6">
        <v>0</v>
      </c>
      <c r="E1905" s="6">
        <v>0</v>
      </c>
      <c r="F1905" s="6">
        <v>0</v>
      </c>
      <c r="G1905" s="6">
        <v>0</v>
      </c>
      <c r="H1905" s="6">
        <v>0</v>
      </c>
      <c r="I1905" t="s">
        <v>505</v>
      </c>
    </row>
    <row r="1906" spans="1:11">
      <c r="A1906" s="6">
        <v>0</v>
      </c>
      <c r="B1906" s="6">
        <v>0</v>
      </c>
      <c r="C1906" s="6">
        <v>0</v>
      </c>
      <c r="D1906" s="6">
        <v>0</v>
      </c>
      <c r="E1906" s="6">
        <v>0</v>
      </c>
      <c r="F1906" s="6">
        <v>0</v>
      </c>
      <c r="G1906" s="6">
        <v>0</v>
      </c>
      <c r="H1906" s="6">
        <v>0</v>
      </c>
      <c r="I1906" t="s">
        <v>506</v>
      </c>
    </row>
    <row r="1907" spans="1:11">
      <c r="A1907" s="6">
        <v>0</v>
      </c>
      <c r="B1907" s="6">
        <v>0</v>
      </c>
      <c r="C1907" s="6">
        <v>0</v>
      </c>
      <c r="D1907" s="6">
        <v>0</v>
      </c>
      <c r="E1907" s="6">
        <v>0</v>
      </c>
      <c r="F1907" s="6">
        <v>0</v>
      </c>
      <c r="G1907" s="6">
        <v>0</v>
      </c>
      <c r="H1907" s="6">
        <v>0</v>
      </c>
      <c r="I1907" t="s">
        <v>507</v>
      </c>
    </row>
    <row r="1908" spans="1:11">
      <c r="A1908" s="6">
        <v>0</v>
      </c>
      <c r="B1908" s="6">
        <v>0</v>
      </c>
      <c r="C1908" s="6">
        <v>0</v>
      </c>
      <c r="D1908" s="6">
        <v>0</v>
      </c>
      <c r="E1908" s="6">
        <v>0</v>
      </c>
      <c r="F1908" s="6">
        <v>0</v>
      </c>
      <c r="G1908" s="6">
        <v>0</v>
      </c>
      <c r="H1908" s="6">
        <v>0</v>
      </c>
      <c r="I1908" t="s">
        <v>508</v>
      </c>
    </row>
    <row r="1909" spans="1:11">
      <c r="A1909" s="6">
        <v>0</v>
      </c>
      <c r="B1909" s="6">
        <v>0</v>
      </c>
      <c r="C1909" s="6">
        <v>0</v>
      </c>
      <c r="D1909" s="6">
        <v>0</v>
      </c>
      <c r="E1909" s="6">
        <v>0</v>
      </c>
      <c r="F1909" s="6">
        <v>0</v>
      </c>
      <c r="G1909" s="6">
        <v>0</v>
      </c>
      <c r="H1909" s="6">
        <v>0</v>
      </c>
      <c r="I1909" t="s">
        <v>509</v>
      </c>
    </row>
    <row r="1910" spans="1:11">
      <c r="A1910" s="6">
        <v>0</v>
      </c>
      <c r="B1910" s="6">
        <v>0</v>
      </c>
      <c r="C1910" s="6">
        <v>0</v>
      </c>
      <c r="D1910" s="6">
        <v>0</v>
      </c>
      <c r="E1910" s="6">
        <v>0</v>
      </c>
      <c r="F1910" s="6">
        <v>0</v>
      </c>
      <c r="G1910" s="6">
        <v>0</v>
      </c>
      <c r="H1910" s="6">
        <v>0</v>
      </c>
      <c r="I1910" t="s">
        <v>510</v>
      </c>
    </row>
    <row r="1911" spans="1:11">
      <c r="A1911" s="2" t="s">
        <v>32</v>
      </c>
      <c r="B1911" s="81"/>
      <c r="F1911" s="38"/>
      <c r="G1911" s="38"/>
    </row>
    <row r="1912" spans="1:11">
      <c r="A1912" s="2" t="s">
        <v>32</v>
      </c>
      <c r="B1912"/>
      <c r="F1912" s="38"/>
      <c r="G1912" s="38"/>
      <c r="I1912" s="2" t="s">
        <v>499</v>
      </c>
      <c r="J1912" s="2">
        <f>J1898+1</f>
        <v>51</v>
      </c>
      <c r="K1912" s="2" t="s">
        <v>511</v>
      </c>
    </row>
    <row r="1913" spans="1:11">
      <c r="A1913" s="1" t="s">
        <v>26</v>
      </c>
      <c r="B1913" s="2" t="s">
        <v>1428</v>
      </c>
      <c r="F1913" s="38"/>
      <c r="G1913" s="38"/>
    </row>
    <row r="1914" spans="1:11">
      <c r="A1914" s="6">
        <v>0</v>
      </c>
      <c r="B1914" s="6">
        <v>0</v>
      </c>
      <c r="C1914" s="6">
        <v>0</v>
      </c>
      <c r="D1914" s="6">
        <v>0</v>
      </c>
      <c r="E1914" s="6">
        <v>0</v>
      </c>
      <c r="F1914" s="6">
        <v>0</v>
      </c>
      <c r="G1914" s="6">
        <v>0</v>
      </c>
      <c r="H1914" s="6">
        <v>0</v>
      </c>
      <c r="I1914" t="s">
        <v>500</v>
      </c>
    </row>
    <row r="1915" spans="1:11">
      <c r="A1915" s="6">
        <v>0</v>
      </c>
      <c r="B1915" s="6">
        <v>0</v>
      </c>
      <c r="C1915" s="6">
        <v>0</v>
      </c>
      <c r="D1915" s="6">
        <v>0</v>
      </c>
      <c r="E1915" s="6">
        <v>0</v>
      </c>
      <c r="F1915" s="6">
        <v>0</v>
      </c>
      <c r="G1915" s="6">
        <v>0</v>
      </c>
      <c r="H1915" s="6">
        <v>0</v>
      </c>
      <c r="I1915" t="s">
        <v>501</v>
      </c>
    </row>
    <row r="1916" spans="1:11">
      <c r="A1916" s="6">
        <v>0</v>
      </c>
      <c r="B1916" s="6">
        <v>0</v>
      </c>
      <c r="C1916" s="6">
        <v>0</v>
      </c>
      <c r="D1916" s="6">
        <v>0</v>
      </c>
      <c r="E1916" s="6">
        <v>0</v>
      </c>
      <c r="F1916" s="6">
        <v>0</v>
      </c>
      <c r="G1916" s="6">
        <v>0</v>
      </c>
      <c r="H1916" s="6">
        <v>0</v>
      </c>
      <c r="I1916" t="s">
        <v>502</v>
      </c>
    </row>
    <row r="1917" spans="1:11">
      <c r="A1917" s="6">
        <v>0</v>
      </c>
      <c r="B1917" s="6">
        <v>0</v>
      </c>
      <c r="C1917" s="6">
        <v>0</v>
      </c>
      <c r="D1917" s="6">
        <v>0</v>
      </c>
      <c r="E1917" s="6">
        <v>0</v>
      </c>
      <c r="F1917" s="6">
        <v>0</v>
      </c>
      <c r="G1917" s="6">
        <v>0</v>
      </c>
      <c r="H1917" s="6">
        <v>0</v>
      </c>
      <c r="I1917" t="s">
        <v>503</v>
      </c>
    </row>
    <row r="1918" spans="1:11">
      <c r="A1918" s="6">
        <v>0</v>
      </c>
      <c r="B1918" s="6">
        <v>0</v>
      </c>
      <c r="C1918" s="6">
        <v>0</v>
      </c>
      <c r="D1918" s="6">
        <v>0</v>
      </c>
      <c r="E1918" s="6">
        <v>0</v>
      </c>
      <c r="F1918" s="6">
        <v>0</v>
      </c>
      <c r="G1918" s="6">
        <v>0</v>
      </c>
      <c r="H1918" s="6">
        <v>0</v>
      </c>
      <c r="I1918" t="s">
        <v>504</v>
      </c>
    </row>
    <row r="1919" spans="1:11">
      <c r="A1919" s="6">
        <v>0</v>
      </c>
      <c r="B1919" s="6">
        <v>0</v>
      </c>
      <c r="C1919" s="6">
        <v>0</v>
      </c>
      <c r="D1919" s="6">
        <v>0</v>
      </c>
      <c r="E1919" s="6">
        <v>0</v>
      </c>
      <c r="F1919" s="6">
        <v>0</v>
      </c>
      <c r="G1919" s="6">
        <v>0</v>
      </c>
      <c r="H1919" s="6">
        <v>0</v>
      </c>
      <c r="I1919" t="s">
        <v>505</v>
      </c>
    </row>
    <row r="1920" spans="1:11">
      <c r="A1920" s="6">
        <v>0</v>
      </c>
      <c r="B1920" s="6">
        <v>0</v>
      </c>
      <c r="C1920" s="6">
        <v>0</v>
      </c>
      <c r="D1920" s="6">
        <v>0</v>
      </c>
      <c r="E1920" s="6">
        <v>0</v>
      </c>
      <c r="F1920" s="6">
        <v>0</v>
      </c>
      <c r="G1920" s="6">
        <v>0</v>
      </c>
      <c r="H1920" s="6">
        <v>0</v>
      </c>
      <c r="I1920" t="s">
        <v>506</v>
      </c>
    </row>
    <row r="1921" spans="1:11">
      <c r="A1921" s="6">
        <v>0</v>
      </c>
      <c r="B1921" s="6">
        <v>0</v>
      </c>
      <c r="C1921" s="6">
        <v>0</v>
      </c>
      <c r="D1921" s="6">
        <v>0</v>
      </c>
      <c r="E1921" s="6">
        <v>0</v>
      </c>
      <c r="F1921" s="6">
        <v>0</v>
      </c>
      <c r="G1921" s="6">
        <v>0</v>
      </c>
      <c r="H1921" s="6">
        <v>0</v>
      </c>
      <c r="I1921" t="s">
        <v>507</v>
      </c>
    </row>
    <row r="1922" spans="1:11">
      <c r="A1922" s="6">
        <v>0</v>
      </c>
      <c r="B1922" s="6">
        <v>0</v>
      </c>
      <c r="C1922" s="6">
        <v>0</v>
      </c>
      <c r="D1922" s="6">
        <v>0</v>
      </c>
      <c r="E1922" s="6">
        <v>0</v>
      </c>
      <c r="F1922" s="6">
        <v>0</v>
      </c>
      <c r="G1922" s="6">
        <v>0</v>
      </c>
      <c r="H1922" s="6">
        <v>0</v>
      </c>
      <c r="I1922" t="s">
        <v>508</v>
      </c>
    </row>
    <row r="1923" spans="1:11">
      <c r="A1923" s="6">
        <v>0</v>
      </c>
      <c r="B1923" s="6">
        <v>0</v>
      </c>
      <c r="C1923" s="6">
        <v>0</v>
      </c>
      <c r="D1923" s="6">
        <v>0</v>
      </c>
      <c r="E1923" s="6">
        <v>0</v>
      </c>
      <c r="F1923" s="6">
        <v>0</v>
      </c>
      <c r="G1923" s="6">
        <v>0</v>
      </c>
      <c r="H1923" s="6">
        <v>0</v>
      </c>
      <c r="I1923" t="s">
        <v>509</v>
      </c>
    </row>
    <row r="1924" spans="1:11">
      <c r="A1924" s="6">
        <v>0</v>
      </c>
      <c r="B1924" s="6">
        <v>0</v>
      </c>
      <c r="C1924" s="6">
        <v>0</v>
      </c>
      <c r="D1924" s="6">
        <v>0</v>
      </c>
      <c r="E1924" s="6">
        <v>0</v>
      </c>
      <c r="F1924" s="6">
        <v>0</v>
      </c>
      <c r="G1924" s="6">
        <v>0</v>
      </c>
      <c r="H1924" s="6">
        <v>0</v>
      </c>
      <c r="I1924" t="s">
        <v>510</v>
      </c>
    </row>
    <row r="1925" spans="1:11">
      <c r="A1925" s="2" t="s">
        <v>32</v>
      </c>
      <c r="B1925" s="81"/>
      <c r="F1925" s="38"/>
      <c r="G1925" s="38"/>
    </row>
    <row r="1926" spans="1:11">
      <c r="A1926" s="2" t="s">
        <v>32</v>
      </c>
      <c r="B1926"/>
      <c r="F1926" s="38"/>
      <c r="G1926" s="38"/>
      <c r="I1926" s="2" t="s">
        <v>499</v>
      </c>
      <c r="J1926" s="2">
        <f>J1912+1</f>
        <v>52</v>
      </c>
      <c r="K1926" s="2" t="s">
        <v>511</v>
      </c>
    </row>
    <row r="1927" spans="1:11">
      <c r="A1927" s="1" t="s">
        <v>26</v>
      </c>
      <c r="B1927" s="2" t="s">
        <v>1428</v>
      </c>
      <c r="F1927" s="38"/>
      <c r="G1927" s="38"/>
    </row>
    <row r="1928" spans="1:11">
      <c r="A1928" s="6">
        <v>0</v>
      </c>
      <c r="B1928" s="6">
        <v>0</v>
      </c>
      <c r="C1928" s="6">
        <v>0</v>
      </c>
      <c r="D1928" s="6">
        <v>0</v>
      </c>
      <c r="E1928" s="6">
        <v>0</v>
      </c>
      <c r="F1928" s="6">
        <v>0</v>
      </c>
      <c r="G1928" s="6">
        <v>0</v>
      </c>
      <c r="H1928" s="6">
        <v>0</v>
      </c>
      <c r="I1928" t="s">
        <v>500</v>
      </c>
    </row>
    <row r="1929" spans="1:11">
      <c r="A1929" s="6">
        <v>0</v>
      </c>
      <c r="B1929" s="6">
        <v>0</v>
      </c>
      <c r="C1929" s="6">
        <v>0</v>
      </c>
      <c r="D1929" s="6">
        <v>0</v>
      </c>
      <c r="E1929" s="6">
        <v>0</v>
      </c>
      <c r="F1929" s="6">
        <v>0</v>
      </c>
      <c r="G1929" s="6">
        <v>0</v>
      </c>
      <c r="H1929" s="6">
        <v>0</v>
      </c>
      <c r="I1929" t="s">
        <v>501</v>
      </c>
    </row>
    <row r="1930" spans="1:11">
      <c r="A1930" s="6">
        <v>0</v>
      </c>
      <c r="B1930" s="6">
        <v>0</v>
      </c>
      <c r="C1930" s="6">
        <v>0</v>
      </c>
      <c r="D1930" s="6">
        <v>0</v>
      </c>
      <c r="E1930" s="6">
        <v>0</v>
      </c>
      <c r="F1930" s="6">
        <v>0</v>
      </c>
      <c r="G1930" s="6">
        <v>0</v>
      </c>
      <c r="H1930" s="6">
        <v>0</v>
      </c>
      <c r="I1930" t="s">
        <v>502</v>
      </c>
    </row>
    <row r="1931" spans="1:11">
      <c r="A1931" s="6">
        <v>0</v>
      </c>
      <c r="B1931" s="6">
        <v>0</v>
      </c>
      <c r="C1931" s="6">
        <v>0</v>
      </c>
      <c r="D1931" s="6">
        <v>0</v>
      </c>
      <c r="E1931" s="6">
        <v>0</v>
      </c>
      <c r="F1931" s="6">
        <v>0</v>
      </c>
      <c r="G1931" s="6">
        <v>0</v>
      </c>
      <c r="H1931" s="6">
        <v>0</v>
      </c>
      <c r="I1931" t="s">
        <v>503</v>
      </c>
    </row>
    <row r="1932" spans="1:11">
      <c r="A1932" s="6">
        <v>0</v>
      </c>
      <c r="B1932" s="6">
        <v>0</v>
      </c>
      <c r="C1932" s="6">
        <v>0</v>
      </c>
      <c r="D1932" s="6">
        <v>0</v>
      </c>
      <c r="E1932" s="6">
        <v>0</v>
      </c>
      <c r="F1932" s="6">
        <v>0</v>
      </c>
      <c r="G1932" s="6">
        <v>0</v>
      </c>
      <c r="H1932" s="6">
        <v>0</v>
      </c>
      <c r="I1932" t="s">
        <v>504</v>
      </c>
    </row>
    <row r="1933" spans="1:11">
      <c r="A1933" s="6">
        <v>0</v>
      </c>
      <c r="B1933" s="6">
        <v>0</v>
      </c>
      <c r="C1933" s="6">
        <v>0</v>
      </c>
      <c r="D1933" s="6">
        <v>0</v>
      </c>
      <c r="E1933" s="6">
        <v>0</v>
      </c>
      <c r="F1933" s="6">
        <v>0</v>
      </c>
      <c r="G1933" s="6">
        <v>0</v>
      </c>
      <c r="H1933" s="6">
        <v>0</v>
      </c>
      <c r="I1933" t="s">
        <v>505</v>
      </c>
    </row>
    <row r="1934" spans="1:11">
      <c r="A1934" s="6">
        <v>0</v>
      </c>
      <c r="B1934" s="6">
        <v>0</v>
      </c>
      <c r="C1934" s="6">
        <v>0</v>
      </c>
      <c r="D1934" s="6">
        <v>0</v>
      </c>
      <c r="E1934" s="6">
        <v>0</v>
      </c>
      <c r="F1934" s="6">
        <v>0</v>
      </c>
      <c r="G1934" s="6">
        <v>0</v>
      </c>
      <c r="H1934" s="6">
        <v>0</v>
      </c>
      <c r="I1934" t="s">
        <v>506</v>
      </c>
    </row>
    <row r="1935" spans="1:11">
      <c r="A1935" s="6">
        <v>0</v>
      </c>
      <c r="B1935" s="6">
        <v>0</v>
      </c>
      <c r="C1935" s="6">
        <v>0</v>
      </c>
      <c r="D1935" s="6">
        <v>0</v>
      </c>
      <c r="E1935" s="6">
        <v>0</v>
      </c>
      <c r="F1935" s="6">
        <v>0</v>
      </c>
      <c r="G1935" s="6">
        <v>0</v>
      </c>
      <c r="H1935" s="6">
        <v>0</v>
      </c>
      <c r="I1935" t="s">
        <v>507</v>
      </c>
    </row>
    <row r="1936" spans="1:11">
      <c r="A1936" s="6">
        <v>0</v>
      </c>
      <c r="B1936" s="6">
        <v>0</v>
      </c>
      <c r="C1936" s="6">
        <v>0</v>
      </c>
      <c r="D1936" s="6">
        <v>0</v>
      </c>
      <c r="E1936" s="6">
        <v>0</v>
      </c>
      <c r="F1936" s="6">
        <v>0</v>
      </c>
      <c r="G1936" s="6">
        <v>0</v>
      </c>
      <c r="H1936" s="6">
        <v>0</v>
      </c>
      <c r="I1936" t="s">
        <v>508</v>
      </c>
    </row>
    <row r="1937" spans="1:11">
      <c r="A1937" s="6">
        <v>0</v>
      </c>
      <c r="B1937" s="6">
        <v>0</v>
      </c>
      <c r="C1937" s="6">
        <v>0</v>
      </c>
      <c r="D1937" s="6">
        <v>0</v>
      </c>
      <c r="E1937" s="6">
        <v>0</v>
      </c>
      <c r="F1937" s="6">
        <v>0</v>
      </c>
      <c r="G1937" s="6">
        <v>0</v>
      </c>
      <c r="H1937" s="6">
        <v>0</v>
      </c>
      <c r="I1937" t="s">
        <v>509</v>
      </c>
    </row>
    <row r="1938" spans="1:11">
      <c r="A1938" s="6">
        <v>0</v>
      </c>
      <c r="B1938" s="6">
        <v>0</v>
      </c>
      <c r="C1938" s="6">
        <v>0</v>
      </c>
      <c r="D1938" s="6">
        <v>0</v>
      </c>
      <c r="E1938" s="6">
        <v>0</v>
      </c>
      <c r="F1938" s="6">
        <v>0</v>
      </c>
      <c r="G1938" s="6">
        <v>0</v>
      </c>
      <c r="H1938" s="6">
        <v>0</v>
      </c>
      <c r="I1938" t="s">
        <v>510</v>
      </c>
    </row>
    <row r="1939" spans="1:11">
      <c r="A1939" s="2" t="s">
        <v>32</v>
      </c>
      <c r="B1939" s="81"/>
      <c r="F1939" s="38"/>
      <c r="G1939" s="38"/>
    </row>
    <row r="1940" spans="1:11">
      <c r="A1940" s="2" t="s">
        <v>32</v>
      </c>
      <c r="B1940"/>
      <c r="F1940" s="38"/>
      <c r="G1940" s="38"/>
      <c r="I1940" s="2" t="s">
        <v>499</v>
      </c>
      <c r="J1940" s="2">
        <f>J1926+1</f>
        <v>53</v>
      </c>
      <c r="K1940" s="2" t="s">
        <v>511</v>
      </c>
    </row>
    <row r="1941" spans="1:11">
      <c r="A1941" s="1" t="s">
        <v>26</v>
      </c>
      <c r="B1941" s="2" t="s">
        <v>1428</v>
      </c>
      <c r="F1941" s="38"/>
      <c r="G1941" s="38"/>
    </row>
    <row r="1942" spans="1:11">
      <c r="A1942" s="6">
        <v>0</v>
      </c>
      <c r="B1942" s="6">
        <v>0</v>
      </c>
      <c r="C1942" s="6">
        <v>0</v>
      </c>
      <c r="D1942" s="6">
        <v>0</v>
      </c>
      <c r="E1942" s="6">
        <v>0</v>
      </c>
      <c r="F1942" s="6">
        <v>0</v>
      </c>
      <c r="G1942" s="6">
        <v>0</v>
      </c>
      <c r="H1942" s="6">
        <v>0</v>
      </c>
      <c r="I1942" t="s">
        <v>500</v>
      </c>
    </row>
    <row r="1943" spans="1:11">
      <c r="A1943" s="6">
        <v>0</v>
      </c>
      <c r="B1943" s="6">
        <v>0</v>
      </c>
      <c r="C1943" s="6">
        <v>0</v>
      </c>
      <c r="D1943" s="6">
        <v>0</v>
      </c>
      <c r="E1943" s="6">
        <v>0</v>
      </c>
      <c r="F1943" s="6">
        <v>0</v>
      </c>
      <c r="G1943" s="6">
        <v>0</v>
      </c>
      <c r="H1943" s="6">
        <v>0</v>
      </c>
      <c r="I1943" t="s">
        <v>501</v>
      </c>
    </row>
    <row r="1944" spans="1:11">
      <c r="A1944" s="6">
        <v>0</v>
      </c>
      <c r="B1944" s="6">
        <v>0</v>
      </c>
      <c r="C1944" s="6">
        <v>0</v>
      </c>
      <c r="D1944" s="6">
        <v>0</v>
      </c>
      <c r="E1944" s="6">
        <v>0</v>
      </c>
      <c r="F1944" s="6">
        <v>0</v>
      </c>
      <c r="G1944" s="6">
        <v>0</v>
      </c>
      <c r="H1944" s="6">
        <v>0</v>
      </c>
      <c r="I1944" t="s">
        <v>502</v>
      </c>
    </row>
    <row r="1945" spans="1:11">
      <c r="A1945" s="6">
        <v>0</v>
      </c>
      <c r="B1945" s="6">
        <v>0</v>
      </c>
      <c r="C1945" s="6">
        <v>0</v>
      </c>
      <c r="D1945" s="6">
        <v>0</v>
      </c>
      <c r="E1945" s="6">
        <v>0</v>
      </c>
      <c r="F1945" s="6">
        <v>0</v>
      </c>
      <c r="G1945" s="6">
        <v>0</v>
      </c>
      <c r="H1945" s="6">
        <v>0</v>
      </c>
      <c r="I1945" t="s">
        <v>503</v>
      </c>
    </row>
    <row r="1946" spans="1:11">
      <c r="A1946" s="6">
        <v>0</v>
      </c>
      <c r="B1946" s="6">
        <v>0</v>
      </c>
      <c r="C1946" s="6">
        <v>0</v>
      </c>
      <c r="D1946" s="6">
        <v>0</v>
      </c>
      <c r="E1946" s="6">
        <v>0</v>
      </c>
      <c r="F1946" s="6">
        <v>0</v>
      </c>
      <c r="G1946" s="6">
        <v>0</v>
      </c>
      <c r="H1946" s="6">
        <v>0</v>
      </c>
      <c r="I1946" t="s">
        <v>504</v>
      </c>
    </row>
    <row r="1947" spans="1:11">
      <c r="A1947" s="6">
        <v>0</v>
      </c>
      <c r="B1947" s="6">
        <v>0</v>
      </c>
      <c r="C1947" s="6">
        <v>0</v>
      </c>
      <c r="D1947" s="6">
        <v>0</v>
      </c>
      <c r="E1947" s="6">
        <v>0</v>
      </c>
      <c r="F1947" s="6">
        <v>0</v>
      </c>
      <c r="G1947" s="6">
        <v>0</v>
      </c>
      <c r="H1947" s="6">
        <v>0</v>
      </c>
      <c r="I1947" t="s">
        <v>505</v>
      </c>
    </row>
    <row r="1948" spans="1:11">
      <c r="A1948" s="6">
        <v>0</v>
      </c>
      <c r="B1948" s="6">
        <v>0</v>
      </c>
      <c r="C1948" s="6">
        <v>0</v>
      </c>
      <c r="D1948" s="6">
        <v>0</v>
      </c>
      <c r="E1948" s="6">
        <v>0</v>
      </c>
      <c r="F1948" s="6">
        <v>0</v>
      </c>
      <c r="G1948" s="6">
        <v>0</v>
      </c>
      <c r="H1948" s="6">
        <v>0</v>
      </c>
      <c r="I1948" t="s">
        <v>506</v>
      </c>
    </row>
    <row r="1949" spans="1:11">
      <c r="A1949" s="6">
        <v>0</v>
      </c>
      <c r="B1949" s="6">
        <v>0</v>
      </c>
      <c r="C1949" s="6">
        <v>0</v>
      </c>
      <c r="D1949" s="6">
        <v>0</v>
      </c>
      <c r="E1949" s="6">
        <v>0</v>
      </c>
      <c r="F1949" s="6">
        <v>0</v>
      </c>
      <c r="G1949" s="6">
        <v>0</v>
      </c>
      <c r="H1949" s="6">
        <v>0</v>
      </c>
      <c r="I1949" t="s">
        <v>507</v>
      </c>
    </row>
    <row r="1950" spans="1:11">
      <c r="A1950" s="6">
        <v>0</v>
      </c>
      <c r="B1950" s="6">
        <v>0</v>
      </c>
      <c r="C1950" s="6">
        <v>0</v>
      </c>
      <c r="D1950" s="6">
        <v>0</v>
      </c>
      <c r="E1950" s="6">
        <v>0</v>
      </c>
      <c r="F1950" s="6">
        <v>0</v>
      </c>
      <c r="G1950" s="6">
        <v>0</v>
      </c>
      <c r="H1950" s="6">
        <v>0</v>
      </c>
      <c r="I1950" t="s">
        <v>508</v>
      </c>
    </row>
    <row r="1951" spans="1:11">
      <c r="A1951" s="6">
        <v>0</v>
      </c>
      <c r="B1951" s="6">
        <v>0</v>
      </c>
      <c r="C1951" s="6">
        <v>0</v>
      </c>
      <c r="D1951" s="6">
        <v>0</v>
      </c>
      <c r="E1951" s="6">
        <v>0</v>
      </c>
      <c r="F1951" s="6">
        <v>0</v>
      </c>
      <c r="G1951" s="6">
        <v>0</v>
      </c>
      <c r="H1951" s="6">
        <v>0</v>
      </c>
      <c r="I1951" t="s">
        <v>509</v>
      </c>
    </row>
    <row r="1952" spans="1:11">
      <c r="A1952" s="6">
        <v>0</v>
      </c>
      <c r="B1952" s="6">
        <v>0</v>
      </c>
      <c r="C1952" s="6">
        <v>0</v>
      </c>
      <c r="D1952" s="6">
        <v>0</v>
      </c>
      <c r="E1952" s="6">
        <v>0</v>
      </c>
      <c r="F1952" s="6">
        <v>0</v>
      </c>
      <c r="G1952" s="6">
        <v>0</v>
      </c>
      <c r="H1952" s="6">
        <v>0</v>
      </c>
      <c r="I1952" t="s">
        <v>510</v>
      </c>
    </row>
    <row r="1953" spans="1:11">
      <c r="A1953" s="2" t="s">
        <v>32</v>
      </c>
      <c r="B1953" s="81"/>
      <c r="F1953" s="38"/>
      <c r="G1953" s="38"/>
    </row>
    <row r="1954" spans="1:11">
      <c r="A1954" s="2" t="s">
        <v>32</v>
      </c>
      <c r="B1954"/>
      <c r="F1954" s="38"/>
      <c r="G1954" s="38"/>
      <c r="I1954" s="2" t="s">
        <v>499</v>
      </c>
      <c r="J1954" s="2">
        <f>J1940+1</f>
        <v>54</v>
      </c>
      <c r="K1954" s="2" t="s">
        <v>511</v>
      </c>
    </row>
    <row r="1955" spans="1:11">
      <c r="A1955" s="1" t="s">
        <v>26</v>
      </c>
      <c r="B1955" s="2" t="s">
        <v>1428</v>
      </c>
      <c r="F1955" s="38"/>
      <c r="G1955" s="38"/>
    </row>
    <row r="1956" spans="1:11">
      <c r="A1956" s="6">
        <v>0</v>
      </c>
      <c r="B1956" s="6">
        <v>0</v>
      </c>
      <c r="C1956" s="6">
        <v>0</v>
      </c>
      <c r="D1956" s="6">
        <v>0</v>
      </c>
      <c r="E1956" s="6">
        <v>0</v>
      </c>
      <c r="F1956" s="6">
        <v>0</v>
      </c>
      <c r="G1956" s="6">
        <v>0</v>
      </c>
      <c r="H1956" s="6">
        <v>0</v>
      </c>
      <c r="I1956" t="s">
        <v>500</v>
      </c>
    </row>
    <row r="1957" spans="1:11">
      <c r="A1957" s="6">
        <v>0</v>
      </c>
      <c r="B1957" s="6">
        <v>0</v>
      </c>
      <c r="C1957" s="6">
        <v>0</v>
      </c>
      <c r="D1957" s="6">
        <v>0</v>
      </c>
      <c r="E1957" s="6">
        <v>0</v>
      </c>
      <c r="F1957" s="6">
        <v>0</v>
      </c>
      <c r="G1957" s="6">
        <v>0</v>
      </c>
      <c r="H1957" s="6">
        <v>0</v>
      </c>
      <c r="I1957" t="s">
        <v>501</v>
      </c>
    </row>
    <row r="1958" spans="1:11">
      <c r="A1958" s="6">
        <v>0</v>
      </c>
      <c r="B1958" s="6">
        <v>0</v>
      </c>
      <c r="C1958" s="6">
        <v>0</v>
      </c>
      <c r="D1958" s="6">
        <v>0</v>
      </c>
      <c r="E1958" s="6">
        <v>0</v>
      </c>
      <c r="F1958" s="6">
        <v>0</v>
      </c>
      <c r="G1958" s="6">
        <v>0</v>
      </c>
      <c r="H1958" s="6">
        <v>0</v>
      </c>
      <c r="I1958" t="s">
        <v>502</v>
      </c>
    </row>
    <row r="1959" spans="1:11">
      <c r="A1959" s="6">
        <v>0</v>
      </c>
      <c r="B1959" s="6">
        <v>0</v>
      </c>
      <c r="C1959" s="6">
        <v>0</v>
      </c>
      <c r="D1959" s="6">
        <v>0</v>
      </c>
      <c r="E1959" s="6">
        <v>0</v>
      </c>
      <c r="F1959" s="6">
        <v>0</v>
      </c>
      <c r="G1959" s="6">
        <v>0</v>
      </c>
      <c r="H1959" s="6">
        <v>0</v>
      </c>
      <c r="I1959" t="s">
        <v>503</v>
      </c>
    </row>
    <row r="1960" spans="1:11">
      <c r="A1960" s="6">
        <v>0</v>
      </c>
      <c r="B1960" s="6">
        <v>0</v>
      </c>
      <c r="C1960" s="6">
        <v>0</v>
      </c>
      <c r="D1960" s="6">
        <v>0</v>
      </c>
      <c r="E1960" s="6">
        <v>0</v>
      </c>
      <c r="F1960" s="6">
        <v>0</v>
      </c>
      <c r="G1960" s="6">
        <v>0</v>
      </c>
      <c r="H1960" s="6">
        <v>0</v>
      </c>
      <c r="I1960" t="s">
        <v>504</v>
      </c>
    </row>
    <row r="1961" spans="1:11">
      <c r="A1961" s="6">
        <v>0</v>
      </c>
      <c r="B1961" s="6">
        <v>0</v>
      </c>
      <c r="C1961" s="6">
        <v>0</v>
      </c>
      <c r="D1961" s="6">
        <v>0</v>
      </c>
      <c r="E1961" s="6">
        <v>0</v>
      </c>
      <c r="F1961" s="6">
        <v>0</v>
      </c>
      <c r="G1961" s="6">
        <v>0</v>
      </c>
      <c r="H1961" s="6">
        <v>0</v>
      </c>
      <c r="I1961" t="s">
        <v>505</v>
      </c>
    </row>
    <row r="1962" spans="1:11">
      <c r="A1962" s="6">
        <v>0</v>
      </c>
      <c r="B1962" s="6">
        <v>0</v>
      </c>
      <c r="C1962" s="6">
        <v>0</v>
      </c>
      <c r="D1962" s="6">
        <v>0</v>
      </c>
      <c r="E1962" s="6">
        <v>0</v>
      </c>
      <c r="F1962" s="6">
        <v>0</v>
      </c>
      <c r="G1962" s="6">
        <v>0</v>
      </c>
      <c r="H1962" s="6">
        <v>0</v>
      </c>
      <c r="I1962" t="s">
        <v>506</v>
      </c>
    </row>
    <row r="1963" spans="1:11">
      <c r="A1963" s="6">
        <v>0</v>
      </c>
      <c r="B1963" s="6">
        <v>0</v>
      </c>
      <c r="C1963" s="6">
        <v>0</v>
      </c>
      <c r="D1963" s="6">
        <v>0</v>
      </c>
      <c r="E1963" s="6">
        <v>0</v>
      </c>
      <c r="F1963" s="6">
        <v>0</v>
      </c>
      <c r="G1963" s="6">
        <v>0</v>
      </c>
      <c r="H1963" s="6">
        <v>0</v>
      </c>
      <c r="I1963" t="s">
        <v>507</v>
      </c>
    </row>
    <row r="1964" spans="1:11">
      <c r="A1964" s="6">
        <v>0</v>
      </c>
      <c r="B1964" s="6">
        <v>0</v>
      </c>
      <c r="C1964" s="6">
        <v>0</v>
      </c>
      <c r="D1964" s="6">
        <v>0</v>
      </c>
      <c r="E1964" s="6">
        <v>0</v>
      </c>
      <c r="F1964" s="6">
        <v>0</v>
      </c>
      <c r="G1964" s="6">
        <v>0</v>
      </c>
      <c r="H1964" s="6">
        <v>0</v>
      </c>
      <c r="I1964" t="s">
        <v>508</v>
      </c>
    </row>
    <row r="1965" spans="1:11">
      <c r="A1965" s="6">
        <v>0</v>
      </c>
      <c r="B1965" s="6">
        <v>0</v>
      </c>
      <c r="C1965" s="6">
        <v>0</v>
      </c>
      <c r="D1965" s="6">
        <v>0</v>
      </c>
      <c r="E1965" s="6">
        <v>0</v>
      </c>
      <c r="F1965" s="6">
        <v>0</v>
      </c>
      <c r="G1965" s="6">
        <v>0</v>
      </c>
      <c r="H1965" s="6">
        <v>0</v>
      </c>
      <c r="I1965" t="s">
        <v>509</v>
      </c>
    </row>
    <row r="1966" spans="1:11">
      <c r="A1966" s="6">
        <v>0</v>
      </c>
      <c r="B1966" s="6">
        <v>0</v>
      </c>
      <c r="C1966" s="6">
        <v>0</v>
      </c>
      <c r="D1966" s="6">
        <v>0</v>
      </c>
      <c r="E1966" s="6">
        <v>0</v>
      </c>
      <c r="F1966" s="6">
        <v>0</v>
      </c>
      <c r="G1966" s="6">
        <v>0</v>
      </c>
      <c r="H1966" s="6">
        <v>0</v>
      </c>
      <c r="I1966" t="s">
        <v>510</v>
      </c>
    </row>
    <row r="1967" spans="1:11">
      <c r="A1967" s="2" t="s">
        <v>32</v>
      </c>
      <c r="B1967" s="81"/>
      <c r="F1967" s="38"/>
      <c r="G1967" s="38"/>
    </row>
    <row r="1968" spans="1:11">
      <c r="A1968" s="2" t="s">
        <v>32</v>
      </c>
      <c r="B1968"/>
      <c r="F1968" s="38"/>
      <c r="G1968" s="38"/>
      <c r="I1968" s="2" t="s">
        <v>499</v>
      </c>
      <c r="J1968" s="2">
        <f>J1954+1</f>
        <v>55</v>
      </c>
      <c r="K1968" s="2" t="s">
        <v>511</v>
      </c>
    </row>
    <row r="1969" spans="1:11">
      <c r="A1969" s="1" t="s">
        <v>26</v>
      </c>
      <c r="B1969" s="2" t="s">
        <v>1428</v>
      </c>
      <c r="F1969" s="38"/>
      <c r="G1969" s="38"/>
    </row>
    <row r="1970" spans="1:11">
      <c r="A1970" s="6">
        <v>0</v>
      </c>
      <c r="B1970" s="6">
        <v>0</v>
      </c>
      <c r="C1970" s="6">
        <v>0</v>
      </c>
      <c r="D1970" s="6">
        <v>0</v>
      </c>
      <c r="E1970" s="6">
        <v>0</v>
      </c>
      <c r="F1970" s="6">
        <v>0</v>
      </c>
      <c r="G1970" s="6">
        <v>0</v>
      </c>
      <c r="H1970" s="6">
        <v>0</v>
      </c>
      <c r="I1970" t="s">
        <v>500</v>
      </c>
    </row>
    <row r="1971" spans="1:11">
      <c r="A1971" s="6">
        <v>0</v>
      </c>
      <c r="B1971" s="6">
        <v>0</v>
      </c>
      <c r="C1971" s="6">
        <v>0</v>
      </c>
      <c r="D1971" s="6">
        <v>0</v>
      </c>
      <c r="E1971" s="6">
        <v>0</v>
      </c>
      <c r="F1971" s="6">
        <v>0</v>
      </c>
      <c r="G1971" s="6">
        <v>0</v>
      </c>
      <c r="H1971" s="6">
        <v>0</v>
      </c>
      <c r="I1971" t="s">
        <v>501</v>
      </c>
    </row>
    <row r="1972" spans="1:11">
      <c r="A1972" s="6">
        <v>0</v>
      </c>
      <c r="B1972" s="6">
        <v>0</v>
      </c>
      <c r="C1972" s="6">
        <v>0</v>
      </c>
      <c r="D1972" s="6">
        <v>0</v>
      </c>
      <c r="E1972" s="6">
        <v>0</v>
      </c>
      <c r="F1972" s="6">
        <v>0</v>
      </c>
      <c r="G1972" s="6">
        <v>0</v>
      </c>
      <c r="H1972" s="6">
        <v>0</v>
      </c>
      <c r="I1972" t="s">
        <v>502</v>
      </c>
    </row>
    <row r="1973" spans="1:11">
      <c r="A1973" s="6">
        <v>0</v>
      </c>
      <c r="B1973" s="6">
        <v>0</v>
      </c>
      <c r="C1973" s="6">
        <v>0</v>
      </c>
      <c r="D1973" s="6">
        <v>0</v>
      </c>
      <c r="E1973" s="6">
        <v>0</v>
      </c>
      <c r="F1973" s="6">
        <v>0</v>
      </c>
      <c r="G1973" s="6">
        <v>0</v>
      </c>
      <c r="H1973" s="6">
        <v>0</v>
      </c>
      <c r="I1973" t="s">
        <v>503</v>
      </c>
    </row>
    <row r="1974" spans="1:11">
      <c r="A1974" s="6">
        <v>0</v>
      </c>
      <c r="B1974" s="6">
        <v>0</v>
      </c>
      <c r="C1974" s="6">
        <v>0</v>
      </c>
      <c r="D1974" s="6">
        <v>0</v>
      </c>
      <c r="E1974" s="6">
        <v>0</v>
      </c>
      <c r="F1974" s="6">
        <v>0</v>
      </c>
      <c r="G1974" s="6">
        <v>0</v>
      </c>
      <c r="H1974" s="6">
        <v>0</v>
      </c>
      <c r="I1974" t="s">
        <v>504</v>
      </c>
    </row>
    <row r="1975" spans="1:11">
      <c r="A1975" s="6">
        <v>0</v>
      </c>
      <c r="B1975" s="6">
        <v>0</v>
      </c>
      <c r="C1975" s="6">
        <v>0</v>
      </c>
      <c r="D1975" s="6">
        <v>0</v>
      </c>
      <c r="E1975" s="6">
        <v>0</v>
      </c>
      <c r="F1975" s="6">
        <v>0</v>
      </c>
      <c r="G1975" s="6">
        <v>0</v>
      </c>
      <c r="H1975" s="6">
        <v>0</v>
      </c>
      <c r="I1975" t="s">
        <v>505</v>
      </c>
    </row>
    <row r="1976" spans="1:11">
      <c r="A1976" s="6">
        <v>0</v>
      </c>
      <c r="B1976" s="6">
        <v>0</v>
      </c>
      <c r="C1976" s="6">
        <v>0</v>
      </c>
      <c r="D1976" s="6">
        <v>0</v>
      </c>
      <c r="E1976" s="6">
        <v>0</v>
      </c>
      <c r="F1976" s="6">
        <v>0</v>
      </c>
      <c r="G1976" s="6">
        <v>0</v>
      </c>
      <c r="H1976" s="6">
        <v>0</v>
      </c>
      <c r="I1976" t="s">
        <v>506</v>
      </c>
    </row>
    <row r="1977" spans="1:11">
      <c r="A1977" s="6">
        <v>0</v>
      </c>
      <c r="B1977" s="6">
        <v>0</v>
      </c>
      <c r="C1977" s="6">
        <v>0</v>
      </c>
      <c r="D1977" s="6">
        <v>0</v>
      </c>
      <c r="E1977" s="6">
        <v>0</v>
      </c>
      <c r="F1977" s="6">
        <v>0</v>
      </c>
      <c r="G1977" s="6">
        <v>0</v>
      </c>
      <c r="H1977" s="6">
        <v>0</v>
      </c>
      <c r="I1977" t="s">
        <v>507</v>
      </c>
    </row>
    <row r="1978" spans="1:11">
      <c r="A1978" s="6">
        <v>0</v>
      </c>
      <c r="B1978" s="6">
        <v>0</v>
      </c>
      <c r="C1978" s="6">
        <v>0</v>
      </c>
      <c r="D1978" s="6">
        <v>0</v>
      </c>
      <c r="E1978" s="6">
        <v>0</v>
      </c>
      <c r="F1978" s="6">
        <v>0</v>
      </c>
      <c r="G1978" s="6">
        <v>0</v>
      </c>
      <c r="H1978" s="6">
        <v>0</v>
      </c>
      <c r="I1978" t="s">
        <v>508</v>
      </c>
    </row>
    <row r="1979" spans="1:11">
      <c r="A1979" s="6">
        <v>0</v>
      </c>
      <c r="B1979" s="6">
        <v>0</v>
      </c>
      <c r="C1979" s="6">
        <v>0</v>
      </c>
      <c r="D1979" s="6">
        <v>0</v>
      </c>
      <c r="E1979" s="6">
        <v>0</v>
      </c>
      <c r="F1979" s="6">
        <v>0</v>
      </c>
      <c r="G1979" s="6">
        <v>0</v>
      </c>
      <c r="H1979" s="6">
        <v>0</v>
      </c>
      <c r="I1979" t="s">
        <v>509</v>
      </c>
    </row>
    <row r="1980" spans="1:11">
      <c r="A1980" s="6">
        <v>0</v>
      </c>
      <c r="B1980" s="6">
        <v>0</v>
      </c>
      <c r="C1980" s="6">
        <v>0</v>
      </c>
      <c r="D1980" s="6">
        <v>0</v>
      </c>
      <c r="E1980" s="6">
        <v>0</v>
      </c>
      <c r="F1980" s="6">
        <v>0</v>
      </c>
      <c r="G1980" s="6">
        <v>0</v>
      </c>
      <c r="H1980" s="6">
        <v>0</v>
      </c>
      <c r="I1980" t="s">
        <v>510</v>
      </c>
    </row>
    <row r="1981" spans="1:11">
      <c r="A1981" s="2" t="s">
        <v>32</v>
      </c>
      <c r="B1981" s="81"/>
      <c r="F1981" s="38"/>
      <c r="G1981" s="38"/>
    </row>
    <row r="1982" spans="1:11">
      <c r="A1982" s="2" t="s">
        <v>32</v>
      </c>
      <c r="B1982"/>
      <c r="F1982" s="38"/>
      <c r="G1982" s="38"/>
      <c r="I1982" s="2" t="s">
        <v>499</v>
      </c>
      <c r="J1982" s="2">
        <f>J1968+1</f>
        <v>56</v>
      </c>
      <c r="K1982" s="2" t="s">
        <v>511</v>
      </c>
    </row>
    <row r="1983" spans="1:11">
      <c r="A1983" s="1" t="s">
        <v>26</v>
      </c>
      <c r="B1983" s="2" t="s">
        <v>1428</v>
      </c>
      <c r="F1983" s="38"/>
      <c r="G1983" s="38"/>
    </row>
    <row r="1984" spans="1:11">
      <c r="A1984" s="6">
        <v>0</v>
      </c>
      <c r="B1984" s="6">
        <v>0</v>
      </c>
      <c r="C1984" s="6">
        <v>0</v>
      </c>
      <c r="D1984" s="6">
        <v>0</v>
      </c>
      <c r="E1984" s="6">
        <v>0</v>
      </c>
      <c r="F1984" s="6">
        <v>0</v>
      </c>
      <c r="G1984" s="6">
        <v>0</v>
      </c>
      <c r="H1984" s="6">
        <v>0</v>
      </c>
      <c r="I1984" t="s">
        <v>500</v>
      </c>
    </row>
    <row r="1985" spans="1:11">
      <c r="A1985" s="6">
        <v>0</v>
      </c>
      <c r="B1985" s="6">
        <v>0</v>
      </c>
      <c r="C1985" s="6">
        <v>0</v>
      </c>
      <c r="D1985" s="6">
        <v>0</v>
      </c>
      <c r="E1985" s="6">
        <v>0</v>
      </c>
      <c r="F1985" s="6">
        <v>0</v>
      </c>
      <c r="G1985" s="6">
        <v>0</v>
      </c>
      <c r="H1985" s="6">
        <v>0</v>
      </c>
      <c r="I1985" t="s">
        <v>501</v>
      </c>
    </row>
    <row r="1986" spans="1:11">
      <c r="A1986" s="6">
        <v>0</v>
      </c>
      <c r="B1986" s="6">
        <v>0</v>
      </c>
      <c r="C1986" s="6">
        <v>0</v>
      </c>
      <c r="D1986" s="6">
        <v>0</v>
      </c>
      <c r="E1986" s="6">
        <v>0</v>
      </c>
      <c r="F1986" s="6">
        <v>0</v>
      </c>
      <c r="G1986" s="6">
        <v>0</v>
      </c>
      <c r="H1986" s="6">
        <v>0</v>
      </c>
      <c r="I1986" t="s">
        <v>502</v>
      </c>
    </row>
    <row r="1987" spans="1:11">
      <c r="A1987" s="6">
        <v>0</v>
      </c>
      <c r="B1987" s="6">
        <v>0</v>
      </c>
      <c r="C1987" s="6">
        <v>0</v>
      </c>
      <c r="D1987" s="6">
        <v>0</v>
      </c>
      <c r="E1987" s="6">
        <v>0</v>
      </c>
      <c r="F1987" s="6">
        <v>0</v>
      </c>
      <c r="G1987" s="6">
        <v>0</v>
      </c>
      <c r="H1987" s="6">
        <v>0</v>
      </c>
      <c r="I1987" t="s">
        <v>503</v>
      </c>
    </row>
    <row r="1988" spans="1:11">
      <c r="A1988" s="6">
        <v>0</v>
      </c>
      <c r="B1988" s="6">
        <v>0</v>
      </c>
      <c r="C1988" s="6">
        <v>0</v>
      </c>
      <c r="D1988" s="6">
        <v>0</v>
      </c>
      <c r="E1988" s="6">
        <v>0</v>
      </c>
      <c r="F1988" s="6">
        <v>0</v>
      </c>
      <c r="G1988" s="6">
        <v>0</v>
      </c>
      <c r="H1988" s="6">
        <v>0</v>
      </c>
      <c r="I1988" t="s">
        <v>504</v>
      </c>
    </row>
    <row r="1989" spans="1:11">
      <c r="A1989" s="6">
        <v>0</v>
      </c>
      <c r="B1989" s="6">
        <v>0</v>
      </c>
      <c r="C1989" s="6">
        <v>0</v>
      </c>
      <c r="D1989" s="6">
        <v>0</v>
      </c>
      <c r="E1989" s="6">
        <v>0</v>
      </c>
      <c r="F1989" s="6">
        <v>0</v>
      </c>
      <c r="G1989" s="6">
        <v>0</v>
      </c>
      <c r="H1989" s="6">
        <v>0</v>
      </c>
      <c r="I1989" t="s">
        <v>505</v>
      </c>
    </row>
    <row r="1990" spans="1:11">
      <c r="A1990" s="6">
        <v>0</v>
      </c>
      <c r="B1990" s="6">
        <v>0</v>
      </c>
      <c r="C1990" s="6">
        <v>0</v>
      </c>
      <c r="D1990" s="6">
        <v>0</v>
      </c>
      <c r="E1990" s="6">
        <v>0</v>
      </c>
      <c r="F1990" s="6">
        <v>0</v>
      </c>
      <c r="G1990" s="6">
        <v>0</v>
      </c>
      <c r="H1990" s="6">
        <v>0</v>
      </c>
      <c r="I1990" t="s">
        <v>506</v>
      </c>
    </row>
    <row r="1991" spans="1:11">
      <c r="A1991" s="6">
        <v>0</v>
      </c>
      <c r="B1991" s="6">
        <v>0</v>
      </c>
      <c r="C1991" s="6">
        <v>0</v>
      </c>
      <c r="D1991" s="6">
        <v>0</v>
      </c>
      <c r="E1991" s="6">
        <v>0</v>
      </c>
      <c r="F1991" s="6">
        <v>0</v>
      </c>
      <c r="G1991" s="6">
        <v>0</v>
      </c>
      <c r="H1991" s="6">
        <v>0</v>
      </c>
      <c r="I1991" t="s">
        <v>507</v>
      </c>
    </row>
    <row r="1992" spans="1:11">
      <c r="A1992" s="6">
        <v>0</v>
      </c>
      <c r="B1992" s="6">
        <v>0</v>
      </c>
      <c r="C1992" s="6">
        <v>0</v>
      </c>
      <c r="D1992" s="6">
        <v>0</v>
      </c>
      <c r="E1992" s="6">
        <v>0</v>
      </c>
      <c r="F1992" s="6">
        <v>0</v>
      </c>
      <c r="G1992" s="6">
        <v>0</v>
      </c>
      <c r="H1992" s="6">
        <v>0</v>
      </c>
      <c r="I1992" t="s">
        <v>508</v>
      </c>
    </row>
    <row r="1993" spans="1:11">
      <c r="A1993" s="6">
        <v>0</v>
      </c>
      <c r="B1993" s="6">
        <v>0</v>
      </c>
      <c r="C1993" s="6">
        <v>0</v>
      </c>
      <c r="D1993" s="6">
        <v>0</v>
      </c>
      <c r="E1993" s="6">
        <v>0</v>
      </c>
      <c r="F1993" s="6">
        <v>0</v>
      </c>
      <c r="G1993" s="6">
        <v>0</v>
      </c>
      <c r="H1993" s="6">
        <v>0</v>
      </c>
      <c r="I1993" t="s">
        <v>509</v>
      </c>
    </row>
    <row r="1994" spans="1:11">
      <c r="A1994" s="6">
        <v>0</v>
      </c>
      <c r="B1994" s="6">
        <v>0</v>
      </c>
      <c r="C1994" s="6">
        <v>0</v>
      </c>
      <c r="D1994" s="6">
        <v>0</v>
      </c>
      <c r="E1994" s="6">
        <v>0</v>
      </c>
      <c r="F1994" s="6">
        <v>0</v>
      </c>
      <c r="G1994" s="6">
        <v>0</v>
      </c>
      <c r="H1994" s="6">
        <v>0</v>
      </c>
      <c r="I1994" t="s">
        <v>510</v>
      </c>
    </row>
    <row r="1995" spans="1:11">
      <c r="A1995" s="2" t="s">
        <v>32</v>
      </c>
      <c r="B1995" s="81"/>
      <c r="F1995" s="38"/>
      <c r="G1995" s="38"/>
    </row>
    <row r="1996" spans="1:11">
      <c r="A1996" s="2" t="s">
        <v>32</v>
      </c>
      <c r="B1996"/>
      <c r="F1996" s="38"/>
      <c r="G1996" s="38"/>
      <c r="I1996" s="2" t="s">
        <v>499</v>
      </c>
      <c r="J1996" s="2">
        <f>J1982+1</f>
        <v>57</v>
      </c>
      <c r="K1996" s="2" t="s">
        <v>511</v>
      </c>
    </row>
    <row r="1997" spans="1:11">
      <c r="A1997" s="1" t="s">
        <v>26</v>
      </c>
      <c r="B1997" s="2" t="s">
        <v>1428</v>
      </c>
      <c r="F1997" s="38"/>
      <c r="G1997" s="38"/>
    </row>
    <row r="1998" spans="1:11">
      <c r="A1998" s="6">
        <v>0</v>
      </c>
      <c r="B1998" s="6">
        <v>0</v>
      </c>
      <c r="C1998" s="6">
        <v>0</v>
      </c>
      <c r="D1998" s="6">
        <v>0</v>
      </c>
      <c r="E1998" s="6">
        <v>0</v>
      </c>
      <c r="F1998" s="6">
        <v>0</v>
      </c>
      <c r="G1998" s="6">
        <v>0</v>
      </c>
      <c r="H1998" s="6">
        <v>0</v>
      </c>
      <c r="I1998" t="s">
        <v>500</v>
      </c>
    </row>
    <row r="1999" spans="1:11">
      <c r="A1999" s="6">
        <v>0</v>
      </c>
      <c r="B1999" s="6">
        <v>0</v>
      </c>
      <c r="C1999" s="6">
        <v>0</v>
      </c>
      <c r="D1999" s="6">
        <v>0</v>
      </c>
      <c r="E1999" s="6">
        <v>0</v>
      </c>
      <c r="F1999" s="6">
        <v>0</v>
      </c>
      <c r="G1999" s="6">
        <v>0</v>
      </c>
      <c r="H1999" s="6">
        <v>0</v>
      </c>
      <c r="I1999" t="s">
        <v>501</v>
      </c>
    </row>
    <row r="2000" spans="1:11">
      <c r="A2000" s="6">
        <v>0</v>
      </c>
      <c r="B2000" s="6">
        <v>0</v>
      </c>
      <c r="C2000" s="6">
        <v>0</v>
      </c>
      <c r="D2000" s="6">
        <v>0</v>
      </c>
      <c r="E2000" s="6">
        <v>0</v>
      </c>
      <c r="F2000" s="6">
        <v>0</v>
      </c>
      <c r="G2000" s="6">
        <v>0</v>
      </c>
      <c r="H2000" s="6">
        <v>0</v>
      </c>
      <c r="I2000" t="s">
        <v>502</v>
      </c>
    </row>
    <row r="2001" spans="1:11">
      <c r="A2001" s="6">
        <v>0</v>
      </c>
      <c r="B2001" s="6">
        <v>0</v>
      </c>
      <c r="C2001" s="6">
        <v>0</v>
      </c>
      <c r="D2001" s="6">
        <v>0</v>
      </c>
      <c r="E2001" s="6">
        <v>0</v>
      </c>
      <c r="F2001" s="6">
        <v>0</v>
      </c>
      <c r="G2001" s="6">
        <v>0</v>
      </c>
      <c r="H2001" s="6">
        <v>0</v>
      </c>
      <c r="I2001" t="s">
        <v>503</v>
      </c>
    </row>
    <row r="2002" spans="1:11">
      <c r="A2002" s="6">
        <v>0</v>
      </c>
      <c r="B2002" s="6">
        <v>0</v>
      </c>
      <c r="C2002" s="6">
        <v>0</v>
      </c>
      <c r="D2002" s="6">
        <v>0</v>
      </c>
      <c r="E2002" s="6">
        <v>0</v>
      </c>
      <c r="F2002" s="6">
        <v>0</v>
      </c>
      <c r="G2002" s="6">
        <v>0</v>
      </c>
      <c r="H2002" s="6">
        <v>0</v>
      </c>
      <c r="I2002" t="s">
        <v>504</v>
      </c>
    </row>
    <row r="2003" spans="1:11">
      <c r="A2003" s="6">
        <v>0</v>
      </c>
      <c r="B2003" s="6">
        <v>0</v>
      </c>
      <c r="C2003" s="6">
        <v>0</v>
      </c>
      <c r="D2003" s="6">
        <v>0</v>
      </c>
      <c r="E2003" s="6">
        <v>0</v>
      </c>
      <c r="F2003" s="6">
        <v>0</v>
      </c>
      <c r="G2003" s="6">
        <v>0</v>
      </c>
      <c r="H2003" s="6">
        <v>0</v>
      </c>
      <c r="I2003" t="s">
        <v>505</v>
      </c>
    </row>
    <row r="2004" spans="1:11">
      <c r="A2004" s="6">
        <v>0</v>
      </c>
      <c r="B2004" s="6">
        <v>0</v>
      </c>
      <c r="C2004" s="6">
        <v>0</v>
      </c>
      <c r="D2004" s="6">
        <v>0</v>
      </c>
      <c r="E2004" s="6">
        <v>0</v>
      </c>
      <c r="F2004" s="6">
        <v>0</v>
      </c>
      <c r="G2004" s="6">
        <v>0</v>
      </c>
      <c r="H2004" s="6">
        <v>0</v>
      </c>
      <c r="I2004" t="s">
        <v>506</v>
      </c>
    </row>
    <row r="2005" spans="1:11">
      <c r="A2005" s="6">
        <v>0</v>
      </c>
      <c r="B2005" s="6">
        <v>0</v>
      </c>
      <c r="C2005" s="6">
        <v>0</v>
      </c>
      <c r="D2005" s="6">
        <v>0</v>
      </c>
      <c r="E2005" s="6">
        <v>0</v>
      </c>
      <c r="F2005" s="6">
        <v>0</v>
      </c>
      <c r="G2005" s="6">
        <v>0</v>
      </c>
      <c r="H2005" s="6">
        <v>0</v>
      </c>
      <c r="I2005" t="s">
        <v>507</v>
      </c>
    </row>
    <row r="2006" spans="1:11">
      <c r="A2006" s="6">
        <v>0</v>
      </c>
      <c r="B2006" s="6">
        <v>0</v>
      </c>
      <c r="C2006" s="6">
        <v>0</v>
      </c>
      <c r="D2006" s="6">
        <v>0</v>
      </c>
      <c r="E2006" s="6">
        <v>0</v>
      </c>
      <c r="F2006" s="6">
        <v>0</v>
      </c>
      <c r="G2006" s="6">
        <v>0</v>
      </c>
      <c r="H2006" s="6">
        <v>0</v>
      </c>
      <c r="I2006" t="s">
        <v>508</v>
      </c>
    </row>
    <row r="2007" spans="1:11">
      <c r="A2007" s="6">
        <v>0</v>
      </c>
      <c r="B2007" s="6">
        <v>0</v>
      </c>
      <c r="C2007" s="6">
        <v>0</v>
      </c>
      <c r="D2007" s="6">
        <v>0</v>
      </c>
      <c r="E2007" s="6">
        <v>0</v>
      </c>
      <c r="F2007" s="6">
        <v>0</v>
      </c>
      <c r="G2007" s="6">
        <v>0</v>
      </c>
      <c r="H2007" s="6">
        <v>0</v>
      </c>
      <c r="I2007" t="s">
        <v>509</v>
      </c>
    </row>
    <row r="2008" spans="1:11">
      <c r="A2008" s="6">
        <v>0</v>
      </c>
      <c r="B2008" s="6">
        <v>0</v>
      </c>
      <c r="C2008" s="6">
        <v>0</v>
      </c>
      <c r="D2008" s="6">
        <v>0</v>
      </c>
      <c r="E2008" s="6">
        <v>0</v>
      </c>
      <c r="F2008" s="6">
        <v>0</v>
      </c>
      <c r="G2008" s="6">
        <v>0</v>
      </c>
      <c r="H2008" s="6">
        <v>0</v>
      </c>
      <c r="I2008" t="s">
        <v>510</v>
      </c>
    </row>
    <row r="2009" spans="1:11">
      <c r="A2009" s="2" t="s">
        <v>32</v>
      </c>
      <c r="B2009" s="81"/>
      <c r="F2009" s="38"/>
      <c r="G2009" s="38"/>
    </row>
    <row r="2010" spans="1:11">
      <c r="A2010" s="2" t="s">
        <v>32</v>
      </c>
      <c r="B2010"/>
      <c r="F2010" s="38"/>
      <c r="G2010" s="38"/>
      <c r="I2010" s="2" t="s">
        <v>499</v>
      </c>
      <c r="J2010" s="2">
        <f>J1996+1</f>
        <v>58</v>
      </c>
      <c r="K2010" s="2" t="s">
        <v>511</v>
      </c>
    </row>
    <row r="2011" spans="1:11">
      <c r="A2011" s="1" t="s">
        <v>26</v>
      </c>
      <c r="B2011" s="2" t="s">
        <v>1428</v>
      </c>
      <c r="F2011" s="38"/>
      <c r="G2011" s="38"/>
    </row>
    <row r="2012" spans="1:11">
      <c r="A2012" s="6">
        <v>0</v>
      </c>
      <c r="B2012" s="6">
        <v>0</v>
      </c>
      <c r="C2012" s="6">
        <v>0</v>
      </c>
      <c r="D2012" s="6">
        <v>0</v>
      </c>
      <c r="E2012" s="6">
        <v>0</v>
      </c>
      <c r="F2012" s="6">
        <v>0</v>
      </c>
      <c r="G2012" s="6">
        <v>0</v>
      </c>
      <c r="H2012" s="6">
        <v>0</v>
      </c>
      <c r="I2012" t="s">
        <v>500</v>
      </c>
    </row>
    <row r="2013" spans="1:11">
      <c r="A2013" s="6">
        <v>0</v>
      </c>
      <c r="B2013" s="6">
        <v>0</v>
      </c>
      <c r="C2013" s="6">
        <v>0</v>
      </c>
      <c r="D2013" s="6">
        <v>0</v>
      </c>
      <c r="E2013" s="6">
        <v>0</v>
      </c>
      <c r="F2013" s="6">
        <v>0</v>
      </c>
      <c r="G2013" s="6">
        <v>0</v>
      </c>
      <c r="H2013" s="6">
        <v>0</v>
      </c>
      <c r="I2013" t="s">
        <v>501</v>
      </c>
    </row>
    <row r="2014" spans="1:11">
      <c r="A2014" s="6">
        <v>0</v>
      </c>
      <c r="B2014" s="6">
        <v>0</v>
      </c>
      <c r="C2014" s="6">
        <v>0</v>
      </c>
      <c r="D2014" s="6">
        <v>0</v>
      </c>
      <c r="E2014" s="6">
        <v>0</v>
      </c>
      <c r="F2014" s="6">
        <v>0</v>
      </c>
      <c r="G2014" s="6">
        <v>0</v>
      </c>
      <c r="H2014" s="6">
        <v>0</v>
      </c>
      <c r="I2014" t="s">
        <v>502</v>
      </c>
    </row>
    <row r="2015" spans="1:11">
      <c r="A2015" s="6">
        <v>0</v>
      </c>
      <c r="B2015" s="6">
        <v>0</v>
      </c>
      <c r="C2015" s="6">
        <v>0</v>
      </c>
      <c r="D2015" s="6">
        <v>0</v>
      </c>
      <c r="E2015" s="6">
        <v>0</v>
      </c>
      <c r="F2015" s="6">
        <v>0</v>
      </c>
      <c r="G2015" s="6">
        <v>0</v>
      </c>
      <c r="H2015" s="6">
        <v>0</v>
      </c>
      <c r="I2015" t="s">
        <v>503</v>
      </c>
    </row>
    <row r="2016" spans="1:11">
      <c r="A2016" s="6">
        <v>0</v>
      </c>
      <c r="B2016" s="6">
        <v>0</v>
      </c>
      <c r="C2016" s="6">
        <v>0</v>
      </c>
      <c r="D2016" s="6">
        <v>0</v>
      </c>
      <c r="E2016" s="6">
        <v>0</v>
      </c>
      <c r="F2016" s="6">
        <v>0</v>
      </c>
      <c r="G2016" s="6">
        <v>0</v>
      </c>
      <c r="H2016" s="6">
        <v>0</v>
      </c>
      <c r="I2016" t="s">
        <v>504</v>
      </c>
    </row>
    <row r="2017" spans="1:11">
      <c r="A2017" s="6">
        <v>0</v>
      </c>
      <c r="B2017" s="6">
        <v>0</v>
      </c>
      <c r="C2017" s="6">
        <v>0</v>
      </c>
      <c r="D2017" s="6">
        <v>0</v>
      </c>
      <c r="E2017" s="6">
        <v>0</v>
      </c>
      <c r="F2017" s="6">
        <v>0</v>
      </c>
      <c r="G2017" s="6">
        <v>0</v>
      </c>
      <c r="H2017" s="6">
        <v>0</v>
      </c>
      <c r="I2017" t="s">
        <v>505</v>
      </c>
    </row>
    <row r="2018" spans="1:11">
      <c r="A2018" s="6">
        <v>0</v>
      </c>
      <c r="B2018" s="6">
        <v>0</v>
      </c>
      <c r="C2018" s="6">
        <v>0</v>
      </c>
      <c r="D2018" s="6">
        <v>0</v>
      </c>
      <c r="E2018" s="6">
        <v>0</v>
      </c>
      <c r="F2018" s="6">
        <v>0</v>
      </c>
      <c r="G2018" s="6">
        <v>0</v>
      </c>
      <c r="H2018" s="6">
        <v>0</v>
      </c>
      <c r="I2018" t="s">
        <v>506</v>
      </c>
    </row>
    <row r="2019" spans="1:11">
      <c r="A2019" s="6">
        <v>0</v>
      </c>
      <c r="B2019" s="6">
        <v>0</v>
      </c>
      <c r="C2019" s="6">
        <v>0</v>
      </c>
      <c r="D2019" s="6">
        <v>0</v>
      </c>
      <c r="E2019" s="6">
        <v>0</v>
      </c>
      <c r="F2019" s="6">
        <v>0</v>
      </c>
      <c r="G2019" s="6">
        <v>0</v>
      </c>
      <c r="H2019" s="6">
        <v>0</v>
      </c>
      <c r="I2019" t="s">
        <v>507</v>
      </c>
    </row>
    <row r="2020" spans="1:11">
      <c r="A2020" s="6">
        <v>0</v>
      </c>
      <c r="B2020" s="6">
        <v>0</v>
      </c>
      <c r="C2020" s="6">
        <v>0</v>
      </c>
      <c r="D2020" s="6">
        <v>0</v>
      </c>
      <c r="E2020" s="6">
        <v>0</v>
      </c>
      <c r="F2020" s="6">
        <v>0</v>
      </c>
      <c r="G2020" s="6">
        <v>0</v>
      </c>
      <c r="H2020" s="6">
        <v>0</v>
      </c>
      <c r="I2020" t="s">
        <v>508</v>
      </c>
    </row>
    <row r="2021" spans="1:11">
      <c r="A2021" s="6">
        <v>0</v>
      </c>
      <c r="B2021" s="6">
        <v>0</v>
      </c>
      <c r="C2021" s="6">
        <v>0</v>
      </c>
      <c r="D2021" s="6">
        <v>0</v>
      </c>
      <c r="E2021" s="6">
        <v>0</v>
      </c>
      <c r="F2021" s="6">
        <v>0</v>
      </c>
      <c r="G2021" s="6">
        <v>0</v>
      </c>
      <c r="H2021" s="6">
        <v>0</v>
      </c>
      <c r="I2021" t="s">
        <v>509</v>
      </c>
    </row>
    <row r="2022" spans="1:11">
      <c r="A2022" s="6">
        <v>0</v>
      </c>
      <c r="B2022" s="6">
        <v>0</v>
      </c>
      <c r="C2022" s="6">
        <v>0</v>
      </c>
      <c r="D2022" s="6">
        <v>0</v>
      </c>
      <c r="E2022" s="6">
        <v>0</v>
      </c>
      <c r="F2022" s="6">
        <v>0</v>
      </c>
      <c r="G2022" s="6">
        <v>0</v>
      </c>
      <c r="H2022" s="6">
        <v>0</v>
      </c>
      <c r="I2022" t="s">
        <v>510</v>
      </c>
    </row>
    <row r="2023" spans="1:11">
      <c r="A2023" s="2" t="s">
        <v>32</v>
      </c>
      <c r="B2023" s="81"/>
      <c r="F2023" s="38"/>
      <c r="G2023" s="38"/>
    </row>
    <row r="2024" spans="1:11">
      <c r="A2024" s="2" t="s">
        <v>32</v>
      </c>
      <c r="B2024"/>
      <c r="F2024" s="38"/>
      <c r="G2024" s="38"/>
      <c r="I2024" s="2" t="s">
        <v>499</v>
      </c>
      <c r="J2024" s="2">
        <f>J2010+1</f>
        <v>59</v>
      </c>
      <c r="K2024" s="2" t="s">
        <v>511</v>
      </c>
    </row>
    <row r="2025" spans="1:11">
      <c r="A2025" s="1" t="s">
        <v>26</v>
      </c>
      <c r="B2025" s="2" t="s">
        <v>1428</v>
      </c>
      <c r="F2025" s="38"/>
      <c r="G2025" s="38"/>
    </row>
    <row r="2026" spans="1:11">
      <c r="A2026" s="6">
        <v>0</v>
      </c>
      <c r="B2026" s="6">
        <v>0</v>
      </c>
      <c r="C2026" s="6">
        <v>0</v>
      </c>
      <c r="D2026" s="6">
        <v>0</v>
      </c>
      <c r="E2026" s="6">
        <v>0</v>
      </c>
      <c r="F2026" s="6">
        <v>0</v>
      </c>
      <c r="G2026" s="6">
        <v>0</v>
      </c>
      <c r="H2026" s="6">
        <v>0</v>
      </c>
      <c r="I2026" t="s">
        <v>500</v>
      </c>
    </row>
    <row r="2027" spans="1:11">
      <c r="A2027" s="6">
        <v>0</v>
      </c>
      <c r="B2027" s="6">
        <v>0</v>
      </c>
      <c r="C2027" s="6">
        <v>0</v>
      </c>
      <c r="D2027" s="6">
        <v>0</v>
      </c>
      <c r="E2027" s="6">
        <v>0</v>
      </c>
      <c r="F2027" s="6">
        <v>0</v>
      </c>
      <c r="G2027" s="6">
        <v>0</v>
      </c>
      <c r="H2027" s="6">
        <v>0</v>
      </c>
      <c r="I2027" t="s">
        <v>501</v>
      </c>
    </row>
    <row r="2028" spans="1:11">
      <c r="A2028" s="6">
        <v>0</v>
      </c>
      <c r="B2028" s="6">
        <v>0</v>
      </c>
      <c r="C2028" s="6">
        <v>0</v>
      </c>
      <c r="D2028" s="6">
        <v>0</v>
      </c>
      <c r="E2028" s="6">
        <v>0</v>
      </c>
      <c r="F2028" s="6">
        <v>0</v>
      </c>
      <c r="G2028" s="6">
        <v>0</v>
      </c>
      <c r="H2028" s="6">
        <v>0</v>
      </c>
      <c r="I2028" t="s">
        <v>502</v>
      </c>
    </row>
    <row r="2029" spans="1:11">
      <c r="A2029" s="6">
        <v>0</v>
      </c>
      <c r="B2029" s="6">
        <v>0</v>
      </c>
      <c r="C2029" s="6">
        <v>0</v>
      </c>
      <c r="D2029" s="6">
        <v>0</v>
      </c>
      <c r="E2029" s="6">
        <v>0</v>
      </c>
      <c r="F2029" s="6">
        <v>0</v>
      </c>
      <c r="G2029" s="6">
        <v>0</v>
      </c>
      <c r="H2029" s="6">
        <v>0</v>
      </c>
      <c r="I2029" t="s">
        <v>503</v>
      </c>
    </row>
    <row r="2030" spans="1:11">
      <c r="A2030" s="6">
        <v>0</v>
      </c>
      <c r="B2030" s="6">
        <v>0</v>
      </c>
      <c r="C2030" s="6">
        <v>0</v>
      </c>
      <c r="D2030" s="6">
        <v>0</v>
      </c>
      <c r="E2030" s="6">
        <v>0</v>
      </c>
      <c r="F2030" s="6">
        <v>0</v>
      </c>
      <c r="G2030" s="6">
        <v>0</v>
      </c>
      <c r="H2030" s="6">
        <v>0</v>
      </c>
      <c r="I2030" t="s">
        <v>504</v>
      </c>
    </row>
    <row r="2031" spans="1:11">
      <c r="A2031" s="6">
        <v>0</v>
      </c>
      <c r="B2031" s="6">
        <v>0</v>
      </c>
      <c r="C2031" s="6">
        <v>0</v>
      </c>
      <c r="D2031" s="6">
        <v>0</v>
      </c>
      <c r="E2031" s="6">
        <v>0</v>
      </c>
      <c r="F2031" s="6">
        <v>0</v>
      </c>
      <c r="G2031" s="6">
        <v>0</v>
      </c>
      <c r="H2031" s="6">
        <v>0</v>
      </c>
      <c r="I2031" t="s">
        <v>505</v>
      </c>
    </row>
    <row r="2032" spans="1:11">
      <c r="A2032" s="6">
        <v>0</v>
      </c>
      <c r="B2032" s="6">
        <v>0</v>
      </c>
      <c r="C2032" s="6">
        <v>0</v>
      </c>
      <c r="D2032" s="6">
        <v>0</v>
      </c>
      <c r="E2032" s="6">
        <v>0</v>
      </c>
      <c r="F2032" s="6">
        <v>0</v>
      </c>
      <c r="G2032" s="6">
        <v>0</v>
      </c>
      <c r="H2032" s="6">
        <v>0</v>
      </c>
      <c r="I2032" t="s">
        <v>506</v>
      </c>
    </row>
    <row r="2033" spans="1:11">
      <c r="A2033" s="6">
        <v>0</v>
      </c>
      <c r="B2033" s="6">
        <v>0</v>
      </c>
      <c r="C2033" s="6">
        <v>0</v>
      </c>
      <c r="D2033" s="6">
        <v>0</v>
      </c>
      <c r="E2033" s="6">
        <v>0</v>
      </c>
      <c r="F2033" s="6">
        <v>0</v>
      </c>
      <c r="G2033" s="6">
        <v>0</v>
      </c>
      <c r="H2033" s="6">
        <v>0</v>
      </c>
      <c r="I2033" t="s">
        <v>507</v>
      </c>
    </row>
    <row r="2034" spans="1:11">
      <c r="A2034" s="6">
        <v>0</v>
      </c>
      <c r="B2034" s="6">
        <v>0</v>
      </c>
      <c r="C2034" s="6">
        <v>0</v>
      </c>
      <c r="D2034" s="6">
        <v>0</v>
      </c>
      <c r="E2034" s="6">
        <v>0</v>
      </c>
      <c r="F2034" s="6">
        <v>0</v>
      </c>
      <c r="G2034" s="6">
        <v>0</v>
      </c>
      <c r="H2034" s="6">
        <v>0</v>
      </c>
      <c r="I2034" t="s">
        <v>508</v>
      </c>
    </row>
    <row r="2035" spans="1:11">
      <c r="A2035" s="6">
        <v>0</v>
      </c>
      <c r="B2035" s="6">
        <v>0</v>
      </c>
      <c r="C2035" s="6">
        <v>0</v>
      </c>
      <c r="D2035" s="6">
        <v>0</v>
      </c>
      <c r="E2035" s="6">
        <v>0</v>
      </c>
      <c r="F2035" s="6">
        <v>0</v>
      </c>
      <c r="G2035" s="6">
        <v>0</v>
      </c>
      <c r="H2035" s="6">
        <v>0</v>
      </c>
      <c r="I2035" t="s">
        <v>509</v>
      </c>
    </row>
    <row r="2036" spans="1:11">
      <c r="A2036" s="6">
        <v>0</v>
      </c>
      <c r="B2036" s="6">
        <v>0</v>
      </c>
      <c r="C2036" s="6">
        <v>0</v>
      </c>
      <c r="D2036" s="6">
        <v>0</v>
      </c>
      <c r="E2036" s="6">
        <v>0</v>
      </c>
      <c r="F2036" s="6">
        <v>0</v>
      </c>
      <c r="G2036" s="6">
        <v>0</v>
      </c>
      <c r="H2036" s="6">
        <v>0</v>
      </c>
      <c r="I2036" t="s">
        <v>510</v>
      </c>
    </row>
    <row r="2037" spans="1:11">
      <c r="A2037" s="2" t="s">
        <v>32</v>
      </c>
      <c r="B2037" s="81"/>
      <c r="F2037" s="38"/>
      <c r="G2037" s="38"/>
    </row>
    <row r="2038" spans="1:11">
      <c r="A2038" s="2" t="s">
        <v>32</v>
      </c>
      <c r="B2038"/>
      <c r="F2038" s="38"/>
      <c r="G2038" s="38"/>
      <c r="I2038" s="2" t="s">
        <v>499</v>
      </c>
      <c r="J2038" s="2">
        <f>J2024+1</f>
        <v>60</v>
      </c>
      <c r="K2038" s="2" t="s">
        <v>511</v>
      </c>
    </row>
    <row r="2039" spans="1:11">
      <c r="A2039" s="1" t="s">
        <v>26</v>
      </c>
      <c r="B2039" s="2" t="s">
        <v>1428</v>
      </c>
      <c r="F2039" s="38"/>
      <c r="G2039" s="38"/>
    </row>
    <row r="2040" spans="1:11">
      <c r="A2040" s="6">
        <v>0</v>
      </c>
      <c r="B2040" s="6">
        <v>0</v>
      </c>
      <c r="C2040" s="6">
        <v>0</v>
      </c>
      <c r="D2040" s="6">
        <v>0</v>
      </c>
      <c r="E2040" s="6">
        <v>0</v>
      </c>
      <c r="F2040" s="6">
        <v>0</v>
      </c>
      <c r="G2040" s="6">
        <v>0</v>
      </c>
      <c r="H2040" s="6">
        <v>0</v>
      </c>
      <c r="I2040" t="s">
        <v>500</v>
      </c>
    </row>
    <row r="2041" spans="1:11">
      <c r="A2041" s="6">
        <v>0</v>
      </c>
      <c r="B2041" s="6">
        <v>0</v>
      </c>
      <c r="C2041" s="6">
        <v>0</v>
      </c>
      <c r="D2041" s="6">
        <v>0</v>
      </c>
      <c r="E2041" s="6">
        <v>0</v>
      </c>
      <c r="F2041" s="6">
        <v>0</v>
      </c>
      <c r="G2041" s="6">
        <v>0</v>
      </c>
      <c r="H2041" s="6">
        <v>0</v>
      </c>
      <c r="I2041" t="s">
        <v>501</v>
      </c>
    </row>
    <row r="2042" spans="1:11">
      <c r="A2042" s="6">
        <v>0</v>
      </c>
      <c r="B2042" s="6">
        <v>0</v>
      </c>
      <c r="C2042" s="6">
        <v>0</v>
      </c>
      <c r="D2042" s="6">
        <v>0</v>
      </c>
      <c r="E2042" s="6">
        <v>0</v>
      </c>
      <c r="F2042" s="6">
        <v>0</v>
      </c>
      <c r="G2042" s="6">
        <v>0</v>
      </c>
      <c r="H2042" s="6">
        <v>0</v>
      </c>
      <c r="I2042" t="s">
        <v>502</v>
      </c>
    </row>
    <row r="2043" spans="1:11">
      <c r="A2043" s="6">
        <v>0</v>
      </c>
      <c r="B2043" s="6">
        <v>0</v>
      </c>
      <c r="C2043" s="6">
        <v>0</v>
      </c>
      <c r="D2043" s="6">
        <v>0</v>
      </c>
      <c r="E2043" s="6">
        <v>0</v>
      </c>
      <c r="F2043" s="6">
        <v>0</v>
      </c>
      <c r="G2043" s="6">
        <v>0</v>
      </c>
      <c r="H2043" s="6">
        <v>0</v>
      </c>
      <c r="I2043" t="s">
        <v>503</v>
      </c>
    </row>
    <row r="2044" spans="1:11">
      <c r="A2044" s="6">
        <v>0</v>
      </c>
      <c r="B2044" s="6">
        <v>0</v>
      </c>
      <c r="C2044" s="6">
        <v>0</v>
      </c>
      <c r="D2044" s="6">
        <v>0</v>
      </c>
      <c r="E2044" s="6">
        <v>0</v>
      </c>
      <c r="F2044" s="6">
        <v>0</v>
      </c>
      <c r="G2044" s="6">
        <v>0</v>
      </c>
      <c r="H2044" s="6">
        <v>0</v>
      </c>
      <c r="I2044" t="s">
        <v>504</v>
      </c>
    </row>
    <row r="2045" spans="1:11">
      <c r="A2045" s="6">
        <v>0</v>
      </c>
      <c r="B2045" s="6">
        <v>0</v>
      </c>
      <c r="C2045" s="6">
        <v>0</v>
      </c>
      <c r="D2045" s="6">
        <v>0</v>
      </c>
      <c r="E2045" s="6">
        <v>0</v>
      </c>
      <c r="F2045" s="6">
        <v>0</v>
      </c>
      <c r="G2045" s="6">
        <v>0</v>
      </c>
      <c r="H2045" s="6">
        <v>0</v>
      </c>
      <c r="I2045" t="s">
        <v>505</v>
      </c>
    </row>
    <row r="2046" spans="1:11">
      <c r="A2046" s="6">
        <v>0</v>
      </c>
      <c r="B2046" s="6">
        <v>0</v>
      </c>
      <c r="C2046" s="6">
        <v>0</v>
      </c>
      <c r="D2046" s="6">
        <v>0</v>
      </c>
      <c r="E2046" s="6">
        <v>0</v>
      </c>
      <c r="F2046" s="6">
        <v>0</v>
      </c>
      <c r="G2046" s="6">
        <v>0</v>
      </c>
      <c r="H2046" s="6">
        <v>0</v>
      </c>
      <c r="I2046" t="s">
        <v>506</v>
      </c>
    </row>
    <row r="2047" spans="1:11">
      <c r="A2047" s="6">
        <v>0</v>
      </c>
      <c r="B2047" s="6">
        <v>0</v>
      </c>
      <c r="C2047" s="6">
        <v>0</v>
      </c>
      <c r="D2047" s="6">
        <v>0</v>
      </c>
      <c r="E2047" s="6">
        <v>0</v>
      </c>
      <c r="F2047" s="6">
        <v>0</v>
      </c>
      <c r="G2047" s="6">
        <v>0</v>
      </c>
      <c r="H2047" s="6">
        <v>0</v>
      </c>
      <c r="I2047" t="s">
        <v>507</v>
      </c>
    </row>
    <row r="2048" spans="1:11">
      <c r="A2048" s="6">
        <v>0</v>
      </c>
      <c r="B2048" s="6">
        <v>0</v>
      </c>
      <c r="C2048" s="6">
        <v>0</v>
      </c>
      <c r="D2048" s="6">
        <v>0</v>
      </c>
      <c r="E2048" s="6">
        <v>0</v>
      </c>
      <c r="F2048" s="6">
        <v>0</v>
      </c>
      <c r="G2048" s="6">
        <v>0</v>
      </c>
      <c r="H2048" s="6">
        <v>0</v>
      </c>
      <c r="I2048" t="s">
        <v>508</v>
      </c>
    </row>
    <row r="2049" spans="1:11">
      <c r="A2049" s="6">
        <v>0</v>
      </c>
      <c r="B2049" s="6">
        <v>0</v>
      </c>
      <c r="C2049" s="6">
        <v>0</v>
      </c>
      <c r="D2049" s="6">
        <v>0</v>
      </c>
      <c r="E2049" s="6">
        <v>0</v>
      </c>
      <c r="F2049" s="6">
        <v>0</v>
      </c>
      <c r="G2049" s="6">
        <v>0</v>
      </c>
      <c r="H2049" s="6">
        <v>0</v>
      </c>
      <c r="I2049" t="s">
        <v>509</v>
      </c>
    </row>
    <row r="2050" spans="1:11">
      <c r="A2050" s="6">
        <v>0</v>
      </c>
      <c r="B2050" s="6">
        <v>0</v>
      </c>
      <c r="C2050" s="6">
        <v>0</v>
      </c>
      <c r="D2050" s="6">
        <v>0</v>
      </c>
      <c r="E2050" s="6">
        <v>0</v>
      </c>
      <c r="F2050" s="6">
        <v>0</v>
      </c>
      <c r="G2050" s="6">
        <v>0</v>
      </c>
      <c r="H2050" s="6">
        <v>0</v>
      </c>
      <c r="I2050" t="s">
        <v>510</v>
      </c>
    </row>
    <row r="2051" spans="1:11">
      <c r="A2051" s="2" t="s">
        <v>32</v>
      </c>
      <c r="B2051" s="81"/>
      <c r="F2051" s="38"/>
      <c r="G2051" s="38"/>
    </row>
    <row r="2052" spans="1:11">
      <c r="A2052" s="2" t="s">
        <v>32</v>
      </c>
      <c r="B2052"/>
      <c r="F2052" s="38"/>
      <c r="G2052" s="38"/>
      <c r="I2052" s="2" t="s">
        <v>499</v>
      </c>
      <c r="J2052" s="2">
        <f>J2038+1</f>
        <v>61</v>
      </c>
      <c r="K2052" s="2" t="s">
        <v>511</v>
      </c>
    </row>
    <row r="2053" spans="1:11">
      <c r="A2053" s="1" t="s">
        <v>26</v>
      </c>
      <c r="B2053" s="2" t="s">
        <v>1428</v>
      </c>
      <c r="F2053" s="38"/>
      <c r="G2053" s="38"/>
    </row>
    <row r="2054" spans="1:11">
      <c r="A2054" s="6">
        <v>0</v>
      </c>
      <c r="B2054" s="6">
        <v>0</v>
      </c>
      <c r="C2054" s="6">
        <v>0</v>
      </c>
      <c r="D2054" s="6">
        <v>0</v>
      </c>
      <c r="E2054" s="6">
        <v>0</v>
      </c>
      <c r="F2054" s="6">
        <v>0</v>
      </c>
      <c r="G2054" s="6">
        <v>0</v>
      </c>
      <c r="H2054" s="6">
        <v>0</v>
      </c>
      <c r="I2054" t="s">
        <v>500</v>
      </c>
    </row>
    <row r="2055" spans="1:11">
      <c r="A2055" s="6">
        <v>0</v>
      </c>
      <c r="B2055" s="6">
        <v>0</v>
      </c>
      <c r="C2055" s="6">
        <v>0</v>
      </c>
      <c r="D2055" s="6">
        <v>0</v>
      </c>
      <c r="E2055" s="6">
        <v>0</v>
      </c>
      <c r="F2055" s="6">
        <v>0</v>
      </c>
      <c r="G2055" s="6">
        <v>0</v>
      </c>
      <c r="H2055" s="6">
        <v>0</v>
      </c>
      <c r="I2055" t="s">
        <v>501</v>
      </c>
    </row>
    <row r="2056" spans="1:11">
      <c r="A2056" s="6">
        <v>0</v>
      </c>
      <c r="B2056" s="6">
        <v>0</v>
      </c>
      <c r="C2056" s="6">
        <v>0</v>
      </c>
      <c r="D2056" s="6">
        <v>0</v>
      </c>
      <c r="E2056" s="6">
        <v>0</v>
      </c>
      <c r="F2056" s="6">
        <v>0</v>
      </c>
      <c r="G2056" s="6">
        <v>0</v>
      </c>
      <c r="H2056" s="6">
        <v>0</v>
      </c>
      <c r="I2056" t="s">
        <v>502</v>
      </c>
    </row>
    <row r="2057" spans="1:11">
      <c r="A2057" s="6">
        <v>0</v>
      </c>
      <c r="B2057" s="6">
        <v>0</v>
      </c>
      <c r="C2057" s="6">
        <v>0</v>
      </c>
      <c r="D2057" s="6">
        <v>0</v>
      </c>
      <c r="E2057" s="6">
        <v>0</v>
      </c>
      <c r="F2057" s="6">
        <v>0</v>
      </c>
      <c r="G2057" s="6">
        <v>0</v>
      </c>
      <c r="H2057" s="6">
        <v>0</v>
      </c>
      <c r="I2057" t="s">
        <v>503</v>
      </c>
    </row>
    <row r="2058" spans="1:11">
      <c r="A2058" s="6">
        <v>0</v>
      </c>
      <c r="B2058" s="6">
        <v>0</v>
      </c>
      <c r="C2058" s="6">
        <v>0</v>
      </c>
      <c r="D2058" s="6">
        <v>0</v>
      </c>
      <c r="E2058" s="6">
        <v>0</v>
      </c>
      <c r="F2058" s="6">
        <v>0</v>
      </c>
      <c r="G2058" s="6">
        <v>0</v>
      </c>
      <c r="H2058" s="6">
        <v>0</v>
      </c>
      <c r="I2058" t="s">
        <v>504</v>
      </c>
    </row>
    <row r="2059" spans="1:11">
      <c r="A2059" s="6">
        <v>0</v>
      </c>
      <c r="B2059" s="6">
        <v>0</v>
      </c>
      <c r="C2059" s="6">
        <v>0</v>
      </c>
      <c r="D2059" s="6">
        <v>0</v>
      </c>
      <c r="E2059" s="6">
        <v>0</v>
      </c>
      <c r="F2059" s="6">
        <v>0</v>
      </c>
      <c r="G2059" s="6">
        <v>0</v>
      </c>
      <c r="H2059" s="6">
        <v>0</v>
      </c>
      <c r="I2059" t="s">
        <v>505</v>
      </c>
    </row>
    <row r="2060" spans="1:11">
      <c r="A2060" s="6">
        <v>0</v>
      </c>
      <c r="B2060" s="6">
        <v>0</v>
      </c>
      <c r="C2060" s="6">
        <v>0</v>
      </c>
      <c r="D2060" s="6">
        <v>0</v>
      </c>
      <c r="E2060" s="6">
        <v>0</v>
      </c>
      <c r="F2060" s="6">
        <v>0</v>
      </c>
      <c r="G2060" s="6">
        <v>0</v>
      </c>
      <c r="H2060" s="6">
        <v>0</v>
      </c>
      <c r="I2060" t="s">
        <v>506</v>
      </c>
    </row>
    <row r="2061" spans="1:11">
      <c r="A2061" s="6">
        <v>0</v>
      </c>
      <c r="B2061" s="6">
        <v>0</v>
      </c>
      <c r="C2061" s="6">
        <v>0</v>
      </c>
      <c r="D2061" s="6">
        <v>0</v>
      </c>
      <c r="E2061" s="6">
        <v>0</v>
      </c>
      <c r="F2061" s="6">
        <v>0</v>
      </c>
      <c r="G2061" s="6">
        <v>0</v>
      </c>
      <c r="H2061" s="6">
        <v>0</v>
      </c>
      <c r="I2061" t="s">
        <v>507</v>
      </c>
    </row>
    <row r="2062" spans="1:11">
      <c r="A2062" s="6">
        <v>0</v>
      </c>
      <c r="B2062" s="6">
        <v>0</v>
      </c>
      <c r="C2062" s="6">
        <v>0</v>
      </c>
      <c r="D2062" s="6">
        <v>0</v>
      </c>
      <c r="E2062" s="6">
        <v>0</v>
      </c>
      <c r="F2062" s="6">
        <v>0</v>
      </c>
      <c r="G2062" s="6">
        <v>0</v>
      </c>
      <c r="H2062" s="6">
        <v>0</v>
      </c>
      <c r="I2062" t="s">
        <v>508</v>
      </c>
    </row>
    <row r="2063" spans="1:11">
      <c r="A2063" s="6">
        <v>0</v>
      </c>
      <c r="B2063" s="6">
        <v>0</v>
      </c>
      <c r="C2063" s="6">
        <v>0</v>
      </c>
      <c r="D2063" s="6">
        <v>0</v>
      </c>
      <c r="E2063" s="6">
        <v>0</v>
      </c>
      <c r="F2063" s="6">
        <v>0</v>
      </c>
      <c r="G2063" s="6">
        <v>0</v>
      </c>
      <c r="H2063" s="6">
        <v>0</v>
      </c>
      <c r="I2063" t="s">
        <v>509</v>
      </c>
    </row>
    <row r="2064" spans="1:11">
      <c r="A2064" s="6">
        <v>0</v>
      </c>
      <c r="B2064" s="6">
        <v>0</v>
      </c>
      <c r="C2064" s="6">
        <v>0</v>
      </c>
      <c r="D2064" s="6">
        <v>0</v>
      </c>
      <c r="E2064" s="6">
        <v>0</v>
      </c>
      <c r="F2064" s="6">
        <v>0</v>
      </c>
      <c r="G2064" s="6">
        <v>0</v>
      </c>
      <c r="H2064" s="6">
        <v>0</v>
      </c>
      <c r="I2064" t="s">
        <v>510</v>
      </c>
    </row>
    <row r="2065" spans="1:11">
      <c r="A2065" s="2" t="s">
        <v>32</v>
      </c>
      <c r="B2065" s="81"/>
      <c r="F2065" s="38"/>
      <c r="G2065" s="38"/>
    </row>
    <row r="2066" spans="1:11">
      <c r="A2066" s="2" t="s">
        <v>32</v>
      </c>
      <c r="B2066"/>
      <c r="F2066" s="38"/>
      <c r="G2066" s="38"/>
      <c r="I2066" s="2" t="s">
        <v>499</v>
      </c>
      <c r="J2066" s="2">
        <f>J2052+1</f>
        <v>62</v>
      </c>
      <c r="K2066" s="2" t="s">
        <v>511</v>
      </c>
    </row>
    <row r="2067" spans="1:11">
      <c r="A2067" s="1" t="s">
        <v>26</v>
      </c>
      <c r="B2067" s="2" t="s">
        <v>1428</v>
      </c>
      <c r="F2067" s="38"/>
      <c r="G2067" s="38"/>
    </row>
    <row r="2068" spans="1:11">
      <c r="A2068" s="6">
        <v>0</v>
      </c>
      <c r="B2068" s="6">
        <v>0</v>
      </c>
      <c r="C2068" s="6">
        <v>0</v>
      </c>
      <c r="D2068" s="6">
        <v>0</v>
      </c>
      <c r="E2068" s="6">
        <v>0</v>
      </c>
      <c r="F2068" s="6">
        <v>0</v>
      </c>
      <c r="G2068" s="6">
        <v>0</v>
      </c>
      <c r="H2068" s="6">
        <v>0</v>
      </c>
      <c r="I2068" t="s">
        <v>500</v>
      </c>
    </row>
    <row r="2069" spans="1:11">
      <c r="A2069" s="6">
        <v>0</v>
      </c>
      <c r="B2069" s="6">
        <v>0</v>
      </c>
      <c r="C2069" s="6">
        <v>0</v>
      </c>
      <c r="D2069" s="6">
        <v>0</v>
      </c>
      <c r="E2069" s="6">
        <v>0</v>
      </c>
      <c r="F2069" s="6">
        <v>0</v>
      </c>
      <c r="G2069" s="6">
        <v>0</v>
      </c>
      <c r="H2069" s="6">
        <v>0</v>
      </c>
      <c r="I2069" t="s">
        <v>501</v>
      </c>
    </row>
    <row r="2070" spans="1:11">
      <c r="A2070" s="6">
        <v>0</v>
      </c>
      <c r="B2070" s="6">
        <v>0</v>
      </c>
      <c r="C2070" s="6">
        <v>0</v>
      </c>
      <c r="D2070" s="6">
        <v>0</v>
      </c>
      <c r="E2070" s="6">
        <v>0</v>
      </c>
      <c r="F2070" s="6">
        <v>0</v>
      </c>
      <c r="G2070" s="6">
        <v>0</v>
      </c>
      <c r="H2070" s="6">
        <v>0</v>
      </c>
      <c r="I2070" t="s">
        <v>502</v>
      </c>
    </row>
    <row r="2071" spans="1:11">
      <c r="A2071" s="6">
        <v>0</v>
      </c>
      <c r="B2071" s="6">
        <v>0</v>
      </c>
      <c r="C2071" s="6">
        <v>0</v>
      </c>
      <c r="D2071" s="6">
        <v>0</v>
      </c>
      <c r="E2071" s="6">
        <v>0</v>
      </c>
      <c r="F2071" s="6">
        <v>0</v>
      </c>
      <c r="G2071" s="6">
        <v>0</v>
      </c>
      <c r="H2071" s="6">
        <v>0</v>
      </c>
      <c r="I2071" t="s">
        <v>503</v>
      </c>
    </row>
    <row r="2072" spans="1:11">
      <c r="A2072" s="6">
        <v>0</v>
      </c>
      <c r="B2072" s="6">
        <v>0</v>
      </c>
      <c r="C2072" s="6">
        <v>0</v>
      </c>
      <c r="D2072" s="6">
        <v>0</v>
      </c>
      <c r="E2072" s="6">
        <v>0</v>
      </c>
      <c r="F2072" s="6">
        <v>0</v>
      </c>
      <c r="G2072" s="6">
        <v>0</v>
      </c>
      <c r="H2072" s="6">
        <v>0</v>
      </c>
      <c r="I2072" t="s">
        <v>504</v>
      </c>
    </row>
    <row r="2073" spans="1:11">
      <c r="A2073" s="6">
        <v>0</v>
      </c>
      <c r="B2073" s="6">
        <v>0</v>
      </c>
      <c r="C2073" s="6">
        <v>0</v>
      </c>
      <c r="D2073" s="6">
        <v>0</v>
      </c>
      <c r="E2073" s="6">
        <v>0</v>
      </c>
      <c r="F2073" s="6">
        <v>0</v>
      </c>
      <c r="G2073" s="6">
        <v>0</v>
      </c>
      <c r="H2073" s="6">
        <v>0</v>
      </c>
      <c r="I2073" t="s">
        <v>505</v>
      </c>
    </row>
    <row r="2074" spans="1:11">
      <c r="A2074" s="6">
        <v>0</v>
      </c>
      <c r="B2074" s="6">
        <v>0</v>
      </c>
      <c r="C2074" s="6">
        <v>0</v>
      </c>
      <c r="D2074" s="6">
        <v>0</v>
      </c>
      <c r="E2074" s="6">
        <v>0</v>
      </c>
      <c r="F2074" s="6">
        <v>0</v>
      </c>
      <c r="G2074" s="6">
        <v>0</v>
      </c>
      <c r="H2074" s="6">
        <v>0</v>
      </c>
      <c r="I2074" t="s">
        <v>506</v>
      </c>
    </row>
    <row r="2075" spans="1:11">
      <c r="A2075" s="6">
        <v>0</v>
      </c>
      <c r="B2075" s="6">
        <v>0</v>
      </c>
      <c r="C2075" s="6">
        <v>0</v>
      </c>
      <c r="D2075" s="6">
        <v>0</v>
      </c>
      <c r="E2075" s="6">
        <v>0</v>
      </c>
      <c r="F2075" s="6">
        <v>0</v>
      </c>
      <c r="G2075" s="6">
        <v>0</v>
      </c>
      <c r="H2075" s="6">
        <v>0</v>
      </c>
      <c r="I2075" t="s">
        <v>507</v>
      </c>
    </row>
    <row r="2076" spans="1:11">
      <c r="A2076" s="6">
        <v>0</v>
      </c>
      <c r="B2076" s="6">
        <v>0</v>
      </c>
      <c r="C2076" s="6">
        <v>0</v>
      </c>
      <c r="D2076" s="6">
        <v>0</v>
      </c>
      <c r="E2076" s="6">
        <v>0</v>
      </c>
      <c r="F2076" s="6">
        <v>0</v>
      </c>
      <c r="G2076" s="6">
        <v>0</v>
      </c>
      <c r="H2076" s="6">
        <v>0</v>
      </c>
      <c r="I2076" t="s">
        <v>508</v>
      </c>
    </row>
    <row r="2077" spans="1:11">
      <c r="A2077" s="6">
        <v>0</v>
      </c>
      <c r="B2077" s="6">
        <v>0</v>
      </c>
      <c r="C2077" s="6">
        <v>0</v>
      </c>
      <c r="D2077" s="6">
        <v>0</v>
      </c>
      <c r="E2077" s="6">
        <v>0</v>
      </c>
      <c r="F2077" s="6">
        <v>0</v>
      </c>
      <c r="G2077" s="6">
        <v>0</v>
      </c>
      <c r="H2077" s="6">
        <v>0</v>
      </c>
      <c r="I2077" t="s">
        <v>509</v>
      </c>
    </row>
    <row r="2078" spans="1:11">
      <c r="A2078" s="6">
        <v>0</v>
      </c>
      <c r="B2078" s="6">
        <v>0</v>
      </c>
      <c r="C2078" s="6">
        <v>0</v>
      </c>
      <c r="D2078" s="6">
        <v>0</v>
      </c>
      <c r="E2078" s="6">
        <v>0</v>
      </c>
      <c r="F2078" s="6">
        <v>0</v>
      </c>
      <c r="G2078" s="6">
        <v>0</v>
      </c>
      <c r="H2078" s="6">
        <v>0</v>
      </c>
      <c r="I2078" t="s">
        <v>510</v>
      </c>
    </row>
    <row r="2079" spans="1:11">
      <c r="A2079" s="2" t="s">
        <v>32</v>
      </c>
      <c r="B2079" s="81"/>
      <c r="F2079" s="38"/>
      <c r="G2079" s="38"/>
    </row>
    <row r="2080" spans="1:11">
      <c r="A2080" s="2" t="s">
        <v>32</v>
      </c>
      <c r="B2080"/>
      <c r="F2080" s="38"/>
      <c r="G2080" s="38"/>
      <c r="I2080" s="2" t="s">
        <v>499</v>
      </c>
      <c r="J2080" s="2">
        <f>J2066+1</f>
        <v>63</v>
      </c>
      <c r="K2080" s="2" t="s">
        <v>511</v>
      </c>
    </row>
    <row r="2081" spans="1:11">
      <c r="A2081" s="1" t="s">
        <v>26</v>
      </c>
      <c r="B2081" s="2" t="s">
        <v>1428</v>
      </c>
      <c r="F2081" s="38"/>
      <c r="G2081" s="38"/>
    </row>
    <row r="2082" spans="1:11">
      <c r="A2082" s="8">
        <v>0</v>
      </c>
      <c r="B2082" s="8">
        <v>0</v>
      </c>
      <c r="C2082" s="8">
        <v>0</v>
      </c>
      <c r="D2082" s="8">
        <v>0</v>
      </c>
      <c r="E2082" s="8">
        <v>0</v>
      </c>
      <c r="F2082" s="8">
        <v>0</v>
      </c>
      <c r="G2082" s="8">
        <v>0</v>
      </c>
      <c r="H2082" s="8">
        <v>0</v>
      </c>
      <c r="I2082" t="s">
        <v>500</v>
      </c>
    </row>
    <row r="2083" spans="1:11">
      <c r="A2083" s="8">
        <v>0</v>
      </c>
      <c r="B2083" s="8">
        <v>0</v>
      </c>
      <c r="C2083" s="8">
        <v>0</v>
      </c>
      <c r="D2083" s="8">
        <v>0</v>
      </c>
      <c r="E2083" s="8">
        <v>0</v>
      </c>
      <c r="F2083" s="8">
        <v>0</v>
      </c>
      <c r="G2083" s="8">
        <v>0</v>
      </c>
      <c r="H2083" s="8">
        <v>0</v>
      </c>
      <c r="I2083" t="s">
        <v>501</v>
      </c>
    </row>
    <row r="2084" spans="1:11">
      <c r="A2084" s="8">
        <v>0</v>
      </c>
      <c r="B2084" s="8">
        <v>0</v>
      </c>
      <c r="C2084" s="8">
        <v>0</v>
      </c>
      <c r="D2084" s="8">
        <v>0</v>
      </c>
      <c r="E2084" s="8">
        <v>0</v>
      </c>
      <c r="F2084" s="8">
        <v>0</v>
      </c>
      <c r="G2084" s="8">
        <v>0</v>
      </c>
      <c r="H2084" s="8">
        <v>0</v>
      </c>
      <c r="I2084" t="s">
        <v>502</v>
      </c>
    </row>
    <row r="2085" spans="1:11">
      <c r="A2085" s="8">
        <v>0</v>
      </c>
      <c r="B2085" s="8">
        <v>0</v>
      </c>
      <c r="C2085" s="8">
        <v>0</v>
      </c>
      <c r="D2085" s="8">
        <v>0</v>
      </c>
      <c r="E2085" s="8">
        <v>0</v>
      </c>
      <c r="F2085" s="8">
        <v>0</v>
      </c>
      <c r="G2085" s="8">
        <v>0</v>
      </c>
      <c r="H2085" s="8">
        <v>0</v>
      </c>
      <c r="I2085" t="s">
        <v>503</v>
      </c>
    </row>
    <row r="2086" spans="1:11">
      <c r="A2086" s="8">
        <v>0</v>
      </c>
      <c r="B2086" s="8">
        <v>0</v>
      </c>
      <c r="C2086" s="8">
        <v>0</v>
      </c>
      <c r="D2086" s="8">
        <v>0</v>
      </c>
      <c r="E2086" s="8">
        <v>0</v>
      </c>
      <c r="F2086" s="8">
        <v>0</v>
      </c>
      <c r="G2086" s="8">
        <v>0</v>
      </c>
      <c r="H2086" s="8">
        <v>0</v>
      </c>
      <c r="I2086" t="s">
        <v>504</v>
      </c>
    </row>
    <row r="2087" spans="1:11">
      <c r="A2087" s="8">
        <v>0</v>
      </c>
      <c r="B2087" s="8">
        <v>0</v>
      </c>
      <c r="C2087" s="8">
        <v>0</v>
      </c>
      <c r="D2087" s="8">
        <v>0</v>
      </c>
      <c r="E2087" s="8">
        <v>0</v>
      </c>
      <c r="F2087" s="8">
        <v>0</v>
      </c>
      <c r="G2087" s="8">
        <v>0</v>
      </c>
      <c r="H2087" s="8">
        <v>0</v>
      </c>
      <c r="I2087" t="s">
        <v>505</v>
      </c>
    </row>
    <row r="2088" spans="1:11">
      <c r="A2088" s="8">
        <v>0</v>
      </c>
      <c r="B2088" s="8">
        <v>0</v>
      </c>
      <c r="C2088" s="8">
        <v>0</v>
      </c>
      <c r="D2088" s="8">
        <v>0</v>
      </c>
      <c r="E2088" s="8">
        <v>0</v>
      </c>
      <c r="F2088" s="8">
        <v>0</v>
      </c>
      <c r="G2088" s="8">
        <v>0</v>
      </c>
      <c r="H2088" s="8">
        <v>0</v>
      </c>
      <c r="I2088" t="s">
        <v>506</v>
      </c>
    </row>
    <row r="2089" spans="1:11">
      <c r="A2089" s="8">
        <v>0</v>
      </c>
      <c r="B2089" s="8">
        <v>0</v>
      </c>
      <c r="C2089" s="8">
        <v>0</v>
      </c>
      <c r="D2089" s="8">
        <v>0</v>
      </c>
      <c r="E2089" s="8">
        <v>0</v>
      </c>
      <c r="F2089" s="8">
        <v>0</v>
      </c>
      <c r="G2089" s="8">
        <v>0</v>
      </c>
      <c r="H2089" s="8">
        <v>0</v>
      </c>
      <c r="I2089" t="s">
        <v>507</v>
      </c>
    </row>
    <row r="2090" spans="1:11">
      <c r="A2090" s="8">
        <v>0</v>
      </c>
      <c r="B2090" s="8">
        <v>0</v>
      </c>
      <c r="C2090" s="8">
        <v>0</v>
      </c>
      <c r="D2090" s="8">
        <v>0</v>
      </c>
      <c r="E2090" s="8">
        <v>0</v>
      </c>
      <c r="F2090" s="8">
        <v>0</v>
      </c>
      <c r="G2090" s="8">
        <v>0</v>
      </c>
      <c r="H2090" s="8">
        <v>0</v>
      </c>
      <c r="I2090" t="s">
        <v>508</v>
      </c>
    </row>
    <row r="2091" spans="1:11">
      <c r="A2091" s="8">
        <v>0</v>
      </c>
      <c r="B2091" s="8">
        <v>0</v>
      </c>
      <c r="C2091" s="8">
        <v>0</v>
      </c>
      <c r="D2091" s="8">
        <v>0</v>
      </c>
      <c r="E2091" s="8">
        <v>0</v>
      </c>
      <c r="F2091" s="8">
        <v>0</v>
      </c>
      <c r="G2091" s="8">
        <v>0</v>
      </c>
      <c r="H2091" s="8">
        <v>0</v>
      </c>
      <c r="I2091" t="s">
        <v>509</v>
      </c>
    </row>
    <row r="2092" spans="1:11">
      <c r="A2092" s="8">
        <v>0</v>
      </c>
      <c r="B2092" s="8">
        <v>0</v>
      </c>
      <c r="C2092" s="8">
        <v>0</v>
      </c>
      <c r="D2092" s="8">
        <v>0</v>
      </c>
      <c r="E2092" s="8">
        <v>0</v>
      </c>
      <c r="F2092" s="8">
        <v>0</v>
      </c>
      <c r="G2092" s="8">
        <v>0</v>
      </c>
      <c r="H2092" s="8">
        <v>0</v>
      </c>
      <c r="I2092" t="s">
        <v>510</v>
      </c>
    </row>
    <row r="2093" spans="1:11">
      <c r="A2093" s="2" t="s">
        <v>32</v>
      </c>
      <c r="B2093" s="81"/>
      <c r="F2093" s="38"/>
      <c r="G2093" s="38"/>
    </row>
    <row r="2094" spans="1:11">
      <c r="A2094" s="2" t="s">
        <v>32</v>
      </c>
      <c r="B2094"/>
      <c r="F2094" s="38"/>
      <c r="G2094" s="38"/>
      <c r="I2094" s="2" t="s">
        <v>499</v>
      </c>
      <c r="J2094" s="2">
        <f>J2080+1</f>
        <v>64</v>
      </c>
      <c r="K2094" s="2" t="s">
        <v>511</v>
      </c>
    </row>
    <row r="2095" spans="1:11">
      <c r="A2095" s="1" t="s">
        <v>1654</v>
      </c>
      <c r="B2095" s="2" t="s">
        <v>1655</v>
      </c>
      <c r="F2095" s="38"/>
      <c r="G2095" s="38"/>
    </row>
    <row r="2096" spans="1:11">
      <c r="A2096" s="6">
        <v>0</v>
      </c>
      <c r="B2096" s="6">
        <v>0</v>
      </c>
      <c r="C2096" s="6">
        <v>0</v>
      </c>
      <c r="D2096" s="6">
        <v>0</v>
      </c>
      <c r="E2096" s="6">
        <v>0</v>
      </c>
      <c r="F2096" s="6">
        <v>0</v>
      </c>
      <c r="G2096" s="6">
        <v>0</v>
      </c>
      <c r="H2096" s="6">
        <v>0</v>
      </c>
      <c r="I2096" t="s">
        <v>500</v>
      </c>
    </row>
    <row r="2097" spans="1:19">
      <c r="A2097" s="6">
        <v>0</v>
      </c>
      <c r="B2097" s="6">
        <v>0</v>
      </c>
      <c r="C2097" s="6">
        <v>0</v>
      </c>
      <c r="D2097" s="6">
        <v>0</v>
      </c>
      <c r="E2097" s="6">
        <v>0</v>
      </c>
      <c r="F2097" s="6">
        <v>0</v>
      </c>
      <c r="G2097" s="6">
        <v>0</v>
      </c>
      <c r="H2097" s="6">
        <v>0</v>
      </c>
      <c r="I2097" t="s">
        <v>501</v>
      </c>
    </row>
    <row r="2098" spans="1:19">
      <c r="A2098" s="6">
        <v>0</v>
      </c>
      <c r="B2098" s="6">
        <v>0</v>
      </c>
      <c r="C2098" s="6">
        <v>0</v>
      </c>
      <c r="D2098" s="6">
        <v>0</v>
      </c>
      <c r="E2098" s="6">
        <v>0</v>
      </c>
      <c r="F2098" s="6">
        <v>0</v>
      </c>
      <c r="G2098" s="6">
        <v>0</v>
      </c>
      <c r="H2098" s="6">
        <v>0</v>
      </c>
      <c r="I2098" t="s">
        <v>502</v>
      </c>
    </row>
    <row r="2099" spans="1:19">
      <c r="A2099" s="6">
        <v>0</v>
      </c>
      <c r="B2099" s="6">
        <v>0</v>
      </c>
      <c r="C2099" s="6">
        <v>0</v>
      </c>
      <c r="D2099" s="6">
        <v>0</v>
      </c>
      <c r="E2099" s="6">
        <v>0</v>
      </c>
      <c r="F2099" s="6">
        <v>0</v>
      </c>
      <c r="G2099" s="6">
        <v>0</v>
      </c>
      <c r="H2099" s="6">
        <v>0</v>
      </c>
      <c r="I2099" t="s">
        <v>503</v>
      </c>
    </row>
    <row r="2100" spans="1:19">
      <c r="A2100" s="6">
        <v>0</v>
      </c>
      <c r="B2100" s="6">
        <v>0</v>
      </c>
      <c r="C2100" s="6">
        <v>0</v>
      </c>
      <c r="D2100" s="6">
        <v>0</v>
      </c>
      <c r="E2100" s="6">
        <v>0</v>
      </c>
      <c r="F2100" s="6">
        <v>0</v>
      </c>
      <c r="G2100" s="6">
        <v>0</v>
      </c>
      <c r="H2100" s="6">
        <v>0</v>
      </c>
      <c r="I2100" t="s">
        <v>504</v>
      </c>
    </row>
    <row r="2101" spans="1:19">
      <c r="A2101" s="6">
        <v>0</v>
      </c>
      <c r="B2101" s="6">
        <v>0</v>
      </c>
      <c r="C2101" s="6">
        <v>0</v>
      </c>
      <c r="D2101" s="6">
        <v>0</v>
      </c>
      <c r="E2101" s="6">
        <v>0</v>
      </c>
      <c r="F2101" s="6">
        <v>0</v>
      </c>
      <c r="G2101" s="6">
        <v>0</v>
      </c>
      <c r="H2101" s="6">
        <v>0</v>
      </c>
      <c r="I2101" t="s">
        <v>505</v>
      </c>
    </row>
    <row r="2102" spans="1:19">
      <c r="A2102" s="6">
        <v>0</v>
      </c>
      <c r="B2102" s="6">
        <v>0</v>
      </c>
      <c r="C2102" s="6">
        <v>0</v>
      </c>
      <c r="D2102" s="6">
        <v>0</v>
      </c>
      <c r="E2102" s="6">
        <v>0</v>
      </c>
      <c r="F2102" s="6">
        <v>0</v>
      </c>
      <c r="G2102" s="6">
        <v>0</v>
      </c>
      <c r="H2102" s="6">
        <v>0</v>
      </c>
      <c r="I2102" t="s">
        <v>506</v>
      </c>
    </row>
    <row r="2103" spans="1:19">
      <c r="A2103" s="6">
        <v>0</v>
      </c>
      <c r="B2103" s="6">
        <v>0</v>
      </c>
      <c r="C2103" s="6">
        <v>0</v>
      </c>
      <c r="D2103" s="6">
        <v>0</v>
      </c>
      <c r="E2103" s="6">
        <v>0</v>
      </c>
      <c r="F2103" s="6">
        <v>0</v>
      </c>
      <c r="G2103" s="6">
        <v>0</v>
      </c>
      <c r="H2103" s="6">
        <v>0</v>
      </c>
      <c r="I2103" t="s">
        <v>507</v>
      </c>
    </row>
    <row r="2104" spans="1:19">
      <c r="A2104" s="6">
        <v>0</v>
      </c>
      <c r="B2104" s="6">
        <v>0</v>
      </c>
      <c r="C2104" s="6">
        <v>0</v>
      </c>
      <c r="D2104" s="6">
        <v>0</v>
      </c>
      <c r="E2104" s="6">
        <v>0</v>
      </c>
      <c r="F2104" s="6">
        <v>0</v>
      </c>
      <c r="G2104" s="6">
        <v>0</v>
      </c>
      <c r="H2104" s="6">
        <v>0</v>
      </c>
      <c r="I2104" t="s">
        <v>508</v>
      </c>
    </row>
    <row r="2105" spans="1:19">
      <c r="A2105" s="6">
        <v>0</v>
      </c>
      <c r="B2105" s="6">
        <v>0</v>
      </c>
      <c r="C2105" s="6">
        <v>0</v>
      </c>
      <c r="D2105" s="6">
        <v>0</v>
      </c>
      <c r="E2105" s="6">
        <v>0</v>
      </c>
      <c r="F2105" s="6">
        <v>0</v>
      </c>
      <c r="G2105" s="6">
        <v>0</v>
      </c>
      <c r="H2105" s="6">
        <v>0</v>
      </c>
      <c r="I2105" t="s">
        <v>509</v>
      </c>
    </row>
    <row r="2106" spans="1:19">
      <c r="A2106" s="6">
        <v>0</v>
      </c>
      <c r="B2106" s="6">
        <v>0</v>
      </c>
      <c r="C2106" s="6">
        <v>0</v>
      </c>
      <c r="D2106" s="6">
        <v>0</v>
      </c>
      <c r="E2106" s="6">
        <v>0</v>
      </c>
      <c r="F2106" s="6">
        <v>0</v>
      </c>
      <c r="G2106" s="6">
        <v>0</v>
      </c>
      <c r="H2106" s="6">
        <v>0</v>
      </c>
      <c r="I2106" t="s">
        <v>510</v>
      </c>
    </row>
    <row r="2107" spans="1:19" s="3" customFormat="1">
      <c r="A2107" s="36" t="s">
        <v>277</v>
      </c>
      <c r="B2107" s="54">
        <f>B988+1</f>
        <v>12</v>
      </c>
      <c r="C2107" s="36" t="s">
        <v>512</v>
      </c>
      <c r="D2107" s="36"/>
      <c r="E2107" s="36"/>
      <c r="F2107" s="36"/>
      <c r="G2107" s="36"/>
      <c r="H2107" s="36"/>
      <c r="I2107" s="36"/>
      <c r="J2107" s="36"/>
      <c r="K2107" s="36"/>
      <c r="L2107" s="36"/>
      <c r="M2107" s="36"/>
      <c r="N2107" s="36"/>
      <c r="O2107" s="36"/>
      <c r="P2107" s="36"/>
      <c r="Q2107"/>
      <c r="R2107"/>
      <c r="S2107"/>
    </row>
    <row r="2108" spans="1:19" s="3" customFormat="1">
      <c r="A2108" s="1" t="s">
        <v>2</v>
      </c>
      <c r="B2108" s="55" t="s">
        <v>3</v>
      </c>
      <c r="F2108" s="3" t="s">
        <v>513</v>
      </c>
      <c r="I2108" s="40"/>
      <c r="J2108" s="40"/>
      <c r="K2108" s="40"/>
      <c r="L2108" s="40"/>
      <c r="M2108" s="40"/>
      <c r="N2108" s="40"/>
      <c r="O2108" s="40"/>
      <c r="P2108" s="40"/>
    </row>
    <row r="2109" spans="1:19" s="3" customFormat="1">
      <c r="A2109" s="6">
        <v>0</v>
      </c>
      <c r="B2109" s="56">
        <v>0</v>
      </c>
      <c r="C2109" s="6">
        <v>0</v>
      </c>
      <c r="D2109" s="2" t="s">
        <v>3</v>
      </c>
      <c r="F2109" s="2" t="s">
        <v>514</v>
      </c>
      <c r="I2109" s="40"/>
      <c r="J2109" s="40"/>
      <c r="K2109" s="40"/>
      <c r="L2109" s="40"/>
      <c r="M2109" s="40"/>
      <c r="N2109" s="40"/>
      <c r="O2109" s="40"/>
      <c r="P2109" s="40"/>
    </row>
    <row r="2110" spans="1:19" s="3" customFormat="1">
      <c r="A2110" s="6">
        <v>0</v>
      </c>
      <c r="B2110" s="56">
        <v>0</v>
      </c>
      <c r="C2110" s="6">
        <v>0</v>
      </c>
      <c r="D2110" s="2" t="s">
        <v>3</v>
      </c>
      <c r="F2110" s="2" t="s">
        <v>515</v>
      </c>
      <c r="I2110" s="40"/>
      <c r="J2110" s="40"/>
      <c r="K2110" s="40"/>
      <c r="L2110" s="40"/>
      <c r="M2110" s="40"/>
      <c r="N2110" s="40"/>
      <c r="O2110" s="40"/>
      <c r="P2110" s="40"/>
    </row>
    <row r="2111" spans="1:19" s="3" customFormat="1">
      <c r="A2111" s="6">
        <v>0</v>
      </c>
      <c r="B2111" s="56">
        <v>0</v>
      </c>
      <c r="C2111" s="6">
        <v>0</v>
      </c>
      <c r="D2111" s="2" t="s">
        <v>3</v>
      </c>
      <c r="F2111" s="2" t="s">
        <v>516</v>
      </c>
      <c r="I2111" s="40"/>
      <c r="J2111" s="40"/>
      <c r="K2111" s="40"/>
      <c r="L2111" s="40"/>
      <c r="M2111" s="40"/>
      <c r="N2111" s="40"/>
      <c r="O2111" s="40"/>
      <c r="P2111" s="40"/>
    </row>
    <row r="2112" spans="1:19" s="3" customFormat="1">
      <c r="A2112" s="6">
        <v>0</v>
      </c>
      <c r="B2112" s="56">
        <v>0</v>
      </c>
      <c r="C2112" s="6">
        <v>0</v>
      </c>
      <c r="D2112" s="2" t="s">
        <v>3</v>
      </c>
      <c r="F2112" s="2" t="s">
        <v>517</v>
      </c>
      <c r="I2112" s="40"/>
      <c r="J2112" s="40"/>
      <c r="K2112" s="40"/>
      <c r="L2112" s="40"/>
      <c r="M2112" s="40"/>
      <c r="N2112" s="40"/>
      <c r="O2112" s="40"/>
      <c r="P2112" s="40"/>
    </row>
    <row r="2113" spans="1:16" s="3" customFormat="1">
      <c r="A2113" s="6">
        <v>0</v>
      </c>
      <c r="B2113" s="56">
        <v>0</v>
      </c>
      <c r="C2113" s="6">
        <v>0</v>
      </c>
      <c r="D2113" s="2" t="s">
        <v>3</v>
      </c>
      <c r="F2113" s="2" t="s">
        <v>518</v>
      </c>
      <c r="I2113" s="40"/>
      <c r="J2113" s="40"/>
      <c r="K2113" s="40"/>
      <c r="L2113" s="40"/>
      <c r="M2113" s="40"/>
      <c r="N2113" s="40"/>
      <c r="O2113" s="40"/>
      <c r="P2113" s="40"/>
    </row>
    <row r="2114" spans="1:16" s="3" customFormat="1">
      <c r="A2114" s="6">
        <v>0</v>
      </c>
      <c r="B2114" s="56">
        <v>0</v>
      </c>
      <c r="C2114" s="6">
        <v>0</v>
      </c>
      <c r="D2114" s="2" t="s">
        <v>3</v>
      </c>
      <c r="E2114" s="40"/>
      <c r="F2114" s="2" t="s">
        <v>519</v>
      </c>
      <c r="G2114" s="40"/>
      <c r="H2114" s="40"/>
      <c r="I2114" s="40"/>
      <c r="J2114" s="40"/>
      <c r="K2114" s="40"/>
      <c r="L2114" s="40"/>
      <c r="M2114" s="40"/>
      <c r="N2114" s="40"/>
      <c r="O2114" s="40"/>
      <c r="P2114" s="40"/>
    </row>
    <row r="2115" spans="1:16" s="3" customFormat="1">
      <c r="A2115" s="6">
        <v>0</v>
      </c>
      <c r="B2115" s="56">
        <v>0</v>
      </c>
      <c r="C2115" s="6">
        <v>0</v>
      </c>
      <c r="D2115" s="2" t="s">
        <v>3</v>
      </c>
      <c r="E2115" s="40"/>
      <c r="F2115" s="2" t="s">
        <v>520</v>
      </c>
      <c r="G2115" s="40"/>
      <c r="H2115" s="40"/>
      <c r="I2115" s="40"/>
      <c r="J2115" s="40"/>
      <c r="K2115" s="40"/>
      <c r="L2115" s="40"/>
      <c r="M2115" s="40"/>
      <c r="N2115" s="40"/>
      <c r="O2115" s="40"/>
      <c r="P2115" s="40"/>
    </row>
    <row r="2116" spans="1:16" s="3" customFormat="1">
      <c r="A2116" s="6">
        <v>0</v>
      </c>
      <c r="B2116" s="56">
        <v>0</v>
      </c>
      <c r="C2116" s="6">
        <v>0</v>
      </c>
      <c r="D2116" s="2" t="s">
        <v>3</v>
      </c>
      <c r="E2116" s="40"/>
      <c r="F2116" s="2" t="s">
        <v>521</v>
      </c>
      <c r="G2116" s="40"/>
      <c r="H2116" s="40"/>
      <c r="I2116" s="40"/>
      <c r="J2116" s="40"/>
      <c r="K2116" s="40"/>
      <c r="L2116" s="40"/>
      <c r="M2116" s="40"/>
      <c r="N2116" s="40"/>
      <c r="O2116" s="40"/>
      <c r="P2116" s="40"/>
    </row>
    <row r="2117" spans="1:16" s="3" customFormat="1">
      <c r="A2117" s="6">
        <v>0</v>
      </c>
      <c r="B2117" s="56">
        <v>0</v>
      </c>
      <c r="C2117" s="6">
        <v>0</v>
      </c>
      <c r="D2117" s="2" t="s">
        <v>3</v>
      </c>
      <c r="E2117" s="40"/>
      <c r="F2117" s="2" t="s">
        <v>522</v>
      </c>
      <c r="G2117" s="40"/>
      <c r="H2117" s="40"/>
      <c r="I2117" s="40"/>
      <c r="J2117" s="40"/>
      <c r="K2117" s="40"/>
      <c r="L2117" s="40"/>
      <c r="M2117" s="40"/>
      <c r="N2117" s="40"/>
      <c r="O2117" s="40"/>
      <c r="P2117" s="40"/>
    </row>
    <row r="2118" spans="1:16" s="3" customFormat="1">
      <c r="A2118" s="6">
        <v>0</v>
      </c>
      <c r="B2118" s="56">
        <v>0</v>
      </c>
      <c r="C2118" s="6">
        <v>0</v>
      </c>
      <c r="D2118" s="2" t="s">
        <v>3</v>
      </c>
      <c r="E2118" s="40"/>
      <c r="F2118" s="2" t="s">
        <v>523</v>
      </c>
      <c r="G2118" s="40"/>
      <c r="H2118" s="40"/>
      <c r="I2118" s="40"/>
      <c r="J2118" s="40"/>
      <c r="K2118" s="40"/>
      <c r="L2118" s="40"/>
      <c r="M2118" s="40"/>
      <c r="N2118" s="40"/>
      <c r="O2118" s="40"/>
      <c r="P2118" s="40"/>
    </row>
    <row r="2119" spans="1:16" s="3" customFormat="1">
      <c r="A2119" s="6">
        <v>0</v>
      </c>
      <c r="B2119" s="55" t="s">
        <v>3</v>
      </c>
      <c r="C2119" s="40"/>
      <c r="D2119" s="40"/>
      <c r="E2119" s="40"/>
      <c r="F2119" s="2" t="s">
        <v>11</v>
      </c>
      <c r="G2119" s="40"/>
      <c r="H2119" s="40"/>
      <c r="I2119" s="40"/>
      <c r="J2119" s="40"/>
      <c r="K2119" s="40"/>
      <c r="L2119" s="40"/>
      <c r="M2119" s="40"/>
      <c r="N2119" s="40"/>
      <c r="O2119" s="40"/>
      <c r="P2119" s="40"/>
    </row>
    <row r="2120" spans="1:16" s="3" customFormat="1">
      <c r="A2120" s="6">
        <v>0</v>
      </c>
      <c r="B2120" s="55" t="s">
        <v>3</v>
      </c>
      <c r="C2120" s="40"/>
      <c r="D2120" s="40"/>
      <c r="E2120" s="40"/>
      <c r="F2120" s="2" t="s">
        <v>11</v>
      </c>
      <c r="G2120" s="40"/>
      <c r="H2120" s="40"/>
      <c r="I2120" s="40"/>
      <c r="J2120" s="40"/>
      <c r="K2120" s="40"/>
      <c r="L2120" s="40"/>
      <c r="M2120" s="40"/>
      <c r="N2120" s="40"/>
      <c r="O2120" s="40"/>
      <c r="P2120" s="40"/>
    </row>
    <row r="2121" spans="1:16" s="3" customFormat="1">
      <c r="A2121" t="s">
        <v>176</v>
      </c>
      <c r="B2121" s="55" t="s">
        <v>3</v>
      </c>
      <c r="C2121" s="15"/>
      <c r="G2121" s="40"/>
      <c r="H2121" s="40"/>
      <c r="I2121" s="40"/>
      <c r="J2121" s="40"/>
      <c r="K2121" s="40"/>
      <c r="L2121" s="40"/>
      <c r="M2121" s="40"/>
      <c r="N2121" s="40"/>
      <c r="O2121" s="40"/>
      <c r="P2121" s="40"/>
    </row>
    <row r="2122" spans="1:16" s="3" customFormat="1">
      <c r="A2122" s="49" t="s">
        <v>524</v>
      </c>
      <c r="B2122" s="68"/>
      <c r="C2122" s="26"/>
      <c r="D2122" s="48"/>
      <c r="G2122" s="40"/>
      <c r="H2122" s="40"/>
      <c r="I2122" s="40"/>
      <c r="J2122" s="40"/>
      <c r="K2122" s="40"/>
      <c r="L2122" s="40"/>
      <c r="M2122" s="40"/>
      <c r="N2122" s="40"/>
      <c r="O2122" s="40"/>
      <c r="P2122" s="40"/>
    </row>
    <row r="2123" spans="1:16" s="3" customFormat="1">
      <c r="A2123" s="6">
        <f>HEX2DEC(42)</f>
        <v>66</v>
      </c>
      <c r="B2123" s="6">
        <f>HEX2DEC(42)</f>
        <v>66</v>
      </c>
      <c r="C2123" s="6">
        <f>HEX2DEC(530)</f>
        <v>1328</v>
      </c>
      <c r="D2123" s="6">
        <f>HEX2DEC(30)</f>
        <v>48</v>
      </c>
      <c r="E2123" s="6">
        <f>HEX2DEC(30)</f>
        <v>48</v>
      </c>
      <c r="F2123" s="6">
        <f>HEX2DEC(32)</f>
        <v>50</v>
      </c>
      <c r="G2123" s="6">
        <v>1</v>
      </c>
      <c r="H2123" s="6">
        <f>HEX2DEC(0)</f>
        <v>0</v>
      </c>
      <c r="I2123" t="s">
        <v>311</v>
      </c>
      <c r="J2123" s="40"/>
      <c r="K2123" s="40"/>
      <c r="L2123" s="40"/>
      <c r="M2123" s="40"/>
      <c r="N2123" s="40"/>
      <c r="O2123" s="40"/>
      <c r="P2123" s="40"/>
    </row>
    <row r="2124" spans="1:16" s="3" customFormat="1">
      <c r="A2124" s="6">
        <f t="shared" ref="A2124:B2130" si="28">HEX2DEC(42)</f>
        <v>66</v>
      </c>
      <c r="B2124" s="6">
        <f t="shared" si="28"/>
        <v>66</v>
      </c>
      <c r="C2124" s="6">
        <f t="shared" ref="C2124:C2130" si="29">HEX2DEC(530)</f>
        <v>1328</v>
      </c>
      <c r="D2124" s="6">
        <f t="shared" ref="D2124:E2130" si="30">HEX2DEC(30)</f>
        <v>48</v>
      </c>
      <c r="E2124" s="6">
        <f t="shared" si="30"/>
        <v>48</v>
      </c>
      <c r="F2124" s="6">
        <f t="shared" ref="F2124:F2130" si="31">HEX2DEC(32)</f>
        <v>50</v>
      </c>
      <c r="G2124" s="6">
        <v>2</v>
      </c>
      <c r="H2124" s="6">
        <f t="shared" ref="H2124:H2130" si="32">HEX2DEC(0)</f>
        <v>0</v>
      </c>
      <c r="I2124" t="s">
        <v>312</v>
      </c>
      <c r="J2124" s="40"/>
      <c r="K2124" s="40"/>
      <c r="L2124" s="40"/>
      <c r="M2124" s="40"/>
      <c r="N2124" s="40"/>
      <c r="O2124" s="40"/>
      <c r="P2124" s="40"/>
    </row>
    <row r="2125" spans="1:16" s="3" customFormat="1">
      <c r="A2125" s="6">
        <f t="shared" si="28"/>
        <v>66</v>
      </c>
      <c r="B2125" s="6">
        <f t="shared" si="28"/>
        <v>66</v>
      </c>
      <c r="C2125" s="6">
        <f t="shared" si="29"/>
        <v>1328</v>
      </c>
      <c r="D2125" s="6">
        <f t="shared" si="30"/>
        <v>48</v>
      </c>
      <c r="E2125" s="6">
        <f t="shared" si="30"/>
        <v>48</v>
      </c>
      <c r="F2125" s="6">
        <f t="shared" si="31"/>
        <v>50</v>
      </c>
      <c r="G2125" s="6">
        <v>3</v>
      </c>
      <c r="H2125" s="6">
        <f t="shared" si="32"/>
        <v>0</v>
      </c>
      <c r="I2125" t="s">
        <v>313</v>
      </c>
      <c r="J2125" s="40"/>
      <c r="K2125" s="40"/>
      <c r="L2125" s="40"/>
      <c r="M2125" s="40"/>
      <c r="N2125" s="40"/>
      <c r="P2125" s="40"/>
    </row>
    <row r="2126" spans="1:16" s="3" customFormat="1">
      <c r="A2126" s="6">
        <f t="shared" si="28"/>
        <v>66</v>
      </c>
      <c r="B2126" s="6">
        <f t="shared" si="28"/>
        <v>66</v>
      </c>
      <c r="C2126" s="6">
        <f t="shared" si="29"/>
        <v>1328</v>
      </c>
      <c r="D2126" s="6">
        <f t="shared" si="30"/>
        <v>48</v>
      </c>
      <c r="E2126" s="6">
        <f t="shared" si="30"/>
        <v>48</v>
      </c>
      <c r="F2126" s="6">
        <f t="shared" si="31"/>
        <v>50</v>
      </c>
      <c r="G2126" s="6">
        <v>4</v>
      </c>
      <c r="H2126" s="6">
        <f t="shared" si="32"/>
        <v>0</v>
      </c>
      <c r="I2126"/>
      <c r="J2126" s="40"/>
      <c r="K2126" s="40"/>
      <c r="L2126" s="40"/>
      <c r="M2126" s="40"/>
      <c r="N2126" s="40"/>
      <c r="P2126" s="40"/>
    </row>
    <row r="2127" spans="1:16" s="3" customFormat="1">
      <c r="A2127" s="6">
        <f t="shared" si="28"/>
        <v>66</v>
      </c>
      <c r="B2127" s="6">
        <f t="shared" si="28"/>
        <v>66</v>
      </c>
      <c r="C2127" s="6">
        <f t="shared" si="29"/>
        <v>1328</v>
      </c>
      <c r="D2127" s="6">
        <f t="shared" si="30"/>
        <v>48</v>
      </c>
      <c r="E2127" s="6">
        <f t="shared" si="30"/>
        <v>48</v>
      </c>
      <c r="F2127" s="6">
        <f t="shared" si="31"/>
        <v>50</v>
      </c>
      <c r="G2127" s="6">
        <v>5</v>
      </c>
      <c r="H2127" s="6">
        <f t="shared" si="32"/>
        <v>0</v>
      </c>
      <c r="I2127"/>
      <c r="J2127" s="40"/>
      <c r="K2127" s="40"/>
      <c r="L2127" s="40"/>
      <c r="M2127" s="40"/>
      <c r="N2127" s="40"/>
      <c r="P2127" s="40"/>
    </row>
    <row r="2128" spans="1:16" s="3" customFormat="1">
      <c r="A2128" s="6">
        <f t="shared" si="28"/>
        <v>66</v>
      </c>
      <c r="B2128" s="6">
        <f t="shared" si="28"/>
        <v>66</v>
      </c>
      <c r="C2128" s="6">
        <f t="shared" si="29"/>
        <v>1328</v>
      </c>
      <c r="D2128" s="6">
        <f t="shared" si="30"/>
        <v>48</v>
      </c>
      <c r="E2128" s="6">
        <f t="shared" si="30"/>
        <v>48</v>
      </c>
      <c r="F2128" s="6">
        <f t="shared" si="31"/>
        <v>50</v>
      </c>
      <c r="G2128" s="6">
        <v>6</v>
      </c>
      <c r="H2128" s="6">
        <f t="shared" si="32"/>
        <v>0</v>
      </c>
      <c r="I2128"/>
      <c r="J2128" s="40"/>
      <c r="K2128" s="40"/>
      <c r="L2128" s="40"/>
      <c r="M2128" s="40"/>
      <c r="N2128" s="40"/>
      <c r="P2128" s="40"/>
    </row>
    <row r="2129" spans="1:16" s="3" customFormat="1">
      <c r="A2129" s="6">
        <f t="shared" si="28"/>
        <v>66</v>
      </c>
      <c r="B2129" s="6">
        <f t="shared" si="28"/>
        <v>66</v>
      </c>
      <c r="C2129" s="6">
        <f t="shared" si="29"/>
        <v>1328</v>
      </c>
      <c r="D2129" s="6">
        <f t="shared" si="30"/>
        <v>48</v>
      </c>
      <c r="E2129" s="6">
        <f t="shared" si="30"/>
        <v>48</v>
      </c>
      <c r="F2129" s="6">
        <f t="shared" si="31"/>
        <v>50</v>
      </c>
      <c r="G2129" s="6">
        <v>7</v>
      </c>
      <c r="H2129" s="6">
        <f t="shared" si="32"/>
        <v>0</v>
      </c>
      <c r="I2129"/>
      <c r="J2129" s="40"/>
      <c r="K2129" s="40"/>
      <c r="L2129" s="40"/>
      <c r="M2129" s="40"/>
      <c r="N2129" s="40"/>
      <c r="P2129" s="40"/>
    </row>
    <row r="2130" spans="1:16" s="3" customFormat="1">
      <c r="A2130" s="6">
        <f t="shared" si="28"/>
        <v>66</v>
      </c>
      <c r="B2130" s="6">
        <f t="shared" si="28"/>
        <v>66</v>
      </c>
      <c r="C2130" s="6">
        <f t="shared" si="29"/>
        <v>1328</v>
      </c>
      <c r="D2130" s="6">
        <f t="shared" si="30"/>
        <v>48</v>
      </c>
      <c r="E2130" s="6">
        <f t="shared" si="30"/>
        <v>48</v>
      </c>
      <c r="F2130" s="6">
        <f t="shared" si="31"/>
        <v>50</v>
      </c>
      <c r="G2130" s="6">
        <v>8</v>
      </c>
      <c r="H2130" s="6">
        <f t="shared" si="32"/>
        <v>0</v>
      </c>
      <c r="I2130"/>
      <c r="J2130" s="40"/>
      <c r="K2130" s="40"/>
      <c r="L2130" s="40"/>
      <c r="M2130" s="40"/>
      <c r="N2130" s="40"/>
      <c r="P2130" s="40"/>
    </row>
    <row r="2131" spans="1:16" s="3" customFormat="1">
      <c r="A2131" s="22" t="s">
        <v>1222</v>
      </c>
      <c r="B2131" s="63"/>
      <c r="C2131" s="7"/>
      <c r="D2131" s="7"/>
      <c r="E2131" s="7"/>
      <c r="F2131" s="7"/>
      <c r="G2131" s="7"/>
      <c r="H2131" s="7"/>
      <c r="I2131"/>
      <c r="J2131" s="40"/>
      <c r="K2131" s="40"/>
      <c r="L2131" s="40"/>
      <c r="M2131" s="40"/>
      <c r="N2131" s="40"/>
      <c r="P2131" s="40"/>
    </row>
    <row r="2132" spans="1:16" s="3" customFormat="1">
      <c r="A2132" s="142">
        <v>1</v>
      </c>
      <c r="B2132" s="143">
        <v>2</v>
      </c>
      <c r="C2132" s="142">
        <v>4</v>
      </c>
      <c r="D2132" s="22" t="s">
        <v>1013</v>
      </c>
      <c r="E2132" s="7"/>
      <c r="F2132" s="22" t="s">
        <v>1315</v>
      </c>
      <c r="G2132" s="7"/>
      <c r="H2132" s="7"/>
      <c r="I2132"/>
      <c r="J2132" s="40"/>
      <c r="K2132" s="40"/>
      <c r="L2132" s="40"/>
      <c r="M2132" s="40"/>
      <c r="N2132" s="40"/>
      <c r="P2132" s="40"/>
    </row>
    <row r="2133" spans="1:16" s="3" customFormat="1">
      <c r="A2133" s="142">
        <v>1</v>
      </c>
      <c r="B2133" s="143">
        <v>2</v>
      </c>
      <c r="C2133" s="142">
        <v>4</v>
      </c>
      <c r="D2133" s="22" t="s">
        <v>1013</v>
      </c>
      <c r="E2133" s="7"/>
      <c r="F2133" s="22" t="s">
        <v>1316</v>
      </c>
      <c r="G2133" s="7"/>
      <c r="H2133" s="7"/>
      <c r="I2133"/>
      <c r="J2133" s="40"/>
      <c r="K2133" s="40"/>
      <c r="L2133" s="40"/>
      <c r="M2133" s="40"/>
      <c r="N2133" s="40"/>
    </row>
    <row r="2134" spans="1:16" s="3" customFormat="1">
      <c r="A2134" s="142">
        <v>1</v>
      </c>
      <c r="B2134" s="143">
        <v>2</v>
      </c>
      <c r="C2134" s="142">
        <v>4</v>
      </c>
      <c r="D2134" s="22" t="s">
        <v>1013</v>
      </c>
      <c r="E2134" s="7"/>
      <c r="F2134" s="22" t="s">
        <v>1317</v>
      </c>
      <c r="G2134" s="7"/>
      <c r="H2134" s="7"/>
      <c r="I2134"/>
      <c r="J2134" s="40"/>
      <c r="K2134" s="40"/>
      <c r="L2134" s="40"/>
      <c r="M2134" s="40"/>
      <c r="N2134" s="40"/>
    </row>
    <row r="2135" spans="1:16" s="3" customFormat="1">
      <c r="A2135" s="142">
        <v>1</v>
      </c>
      <c r="B2135" s="143">
        <v>2</v>
      </c>
      <c r="C2135" s="142">
        <v>4</v>
      </c>
      <c r="D2135" s="22" t="s">
        <v>1013</v>
      </c>
      <c r="E2135" s="7"/>
      <c r="F2135" s="22" t="s">
        <v>1318</v>
      </c>
      <c r="G2135" s="7"/>
      <c r="H2135" s="7"/>
      <c r="I2135"/>
      <c r="J2135" s="40"/>
      <c r="K2135" s="40"/>
      <c r="L2135" s="40"/>
      <c r="M2135" s="40"/>
      <c r="N2135" s="40"/>
    </row>
    <row r="2136" spans="1:16" s="3" customFormat="1">
      <c r="A2136" s="142">
        <v>1</v>
      </c>
      <c r="B2136" s="143">
        <v>2</v>
      </c>
      <c r="C2136" s="142">
        <v>4</v>
      </c>
      <c r="D2136" s="22" t="s">
        <v>1013</v>
      </c>
      <c r="E2136" s="7"/>
      <c r="F2136" s="22" t="s">
        <v>1319</v>
      </c>
      <c r="G2136" s="7"/>
      <c r="H2136" s="7"/>
      <c r="I2136"/>
      <c r="J2136" s="40"/>
      <c r="K2136" s="40"/>
      <c r="L2136" s="40"/>
      <c r="M2136" s="40"/>
      <c r="N2136" s="40"/>
    </row>
    <row r="2137" spans="1:16" s="3" customFormat="1">
      <c r="A2137" s="142">
        <v>1</v>
      </c>
      <c r="B2137" s="143">
        <v>3</v>
      </c>
      <c r="C2137" s="142">
        <v>5</v>
      </c>
      <c r="D2137" s="22" t="s">
        <v>1013</v>
      </c>
      <c r="E2137" s="7"/>
      <c r="F2137" s="22" t="s">
        <v>1320</v>
      </c>
      <c r="G2137" s="7"/>
      <c r="H2137" s="7"/>
      <c r="I2137"/>
      <c r="J2137" s="40"/>
      <c r="K2137" s="40"/>
      <c r="L2137" s="40"/>
      <c r="M2137" s="40"/>
      <c r="N2137" s="40"/>
    </row>
    <row r="2138" spans="1:16" s="3" customFormat="1">
      <c r="A2138" s="142">
        <v>1</v>
      </c>
      <c r="B2138" s="143">
        <v>3</v>
      </c>
      <c r="C2138" s="142">
        <v>5</v>
      </c>
      <c r="D2138" s="22" t="s">
        <v>1013</v>
      </c>
      <c r="E2138" s="7"/>
      <c r="F2138" s="22" t="s">
        <v>1321</v>
      </c>
      <c r="G2138" s="7"/>
      <c r="H2138" s="7"/>
      <c r="I2138"/>
      <c r="J2138" s="40"/>
      <c r="K2138" s="40"/>
      <c r="L2138" s="40"/>
      <c r="M2138" s="40"/>
      <c r="N2138" s="40"/>
    </row>
    <row r="2139" spans="1:16" s="3" customFormat="1">
      <c r="A2139" s="142">
        <v>1</v>
      </c>
      <c r="B2139" s="143">
        <v>3</v>
      </c>
      <c r="C2139" s="142">
        <v>5</v>
      </c>
      <c r="D2139" s="22" t="s">
        <v>1013</v>
      </c>
      <c r="E2139" s="7"/>
      <c r="F2139" s="22" t="s">
        <v>1322</v>
      </c>
      <c r="G2139" s="7"/>
      <c r="H2139" s="7"/>
      <c r="I2139"/>
      <c r="J2139" s="40"/>
      <c r="K2139" s="40"/>
      <c r="L2139" s="40"/>
      <c r="M2139" s="40"/>
      <c r="N2139" s="40"/>
    </row>
    <row r="2140" spans="1:16" s="3" customFormat="1">
      <c r="A2140" t="s">
        <v>525</v>
      </c>
      <c r="B2140" s="64"/>
      <c r="C2140" s="40"/>
      <c r="D2140" s="40"/>
      <c r="E2140" s="40"/>
      <c r="F2140" s="40"/>
      <c r="G2140" s="40"/>
      <c r="H2140" s="40"/>
      <c r="I2140" s="40"/>
      <c r="J2140" s="40"/>
      <c r="K2140" s="40"/>
      <c r="L2140" s="40"/>
      <c r="M2140" s="40"/>
      <c r="N2140" s="40"/>
    </row>
    <row r="2141" spans="1:16" s="3" customFormat="1">
      <c r="A2141" s="6">
        <f>HEX2DEC(42)</f>
        <v>66</v>
      </c>
      <c r="B2141" s="56">
        <f>HEX2DEC(530)</f>
        <v>1328</v>
      </c>
      <c r="C2141" s="6">
        <f>HEX2DEC(42)</f>
        <v>66</v>
      </c>
      <c r="D2141" s="6">
        <f>HEX2DEC(530)</f>
        <v>1328</v>
      </c>
      <c r="E2141" s="6">
        <f>HEX2DEC(0)</f>
        <v>0</v>
      </c>
      <c r="F2141" s="6">
        <f>HEX2DEC(0)</f>
        <v>0</v>
      </c>
      <c r="G2141" s="6">
        <f>HEX2DEC(0)</f>
        <v>0</v>
      </c>
      <c r="H2141" s="6">
        <f>HEX2DEC(0)</f>
        <v>0</v>
      </c>
      <c r="I2141" t="s">
        <v>3</v>
      </c>
      <c r="J2141" s="40"/>
      <c r="K2141" s="40"/>
      <c r="L2141" s="40"/>
      <c r="M2141" s="40"/>
      <c r="N2141" s="40"/>
    </row>
    <row r="2142" spans="1:16" s="3" customFormat="1">
      <c r="A2142" s="83" t="s">
        <v>2</v>
      </c>
      <c r="B2142" s="84" t="s">
        <v>3</v>
      </c>
      <c r="F2142" s="3" t="s">
        <v>526</v>
      </c>
      <c r="J2142" s="40"/>
      <c r="K2142" s="40"/>
      <c r="L2142" s="40"/>
      <c r="M2142" s="40"/>
      <c r="N2142" s="40"/>
    </row>
    <row r="2143" spans="1:16" s="3" customFormat="1">
      <c r="A2143" s="8">
        <v>0</v>
      </c>
      <c r="B2143" s="8">
        <v>0</v>
      </c>
      <c r="C2143" s="8">
        <v>0</v>
      </c>
      <c r="D2143" s="84" t="s">
        <v>3</v>
      </c>
      <c r="F2143" s="84" t="s">
        <v>521</v>
      </c>
      <c r="J2143" s="40"/>
      <c r="K2143" s="40"/>
      <c r="L2143" s="40"/>
      <c r="M2143" s="40"/>
      <c r="N2143" s="40"/>
    </row>
    <row r="2144" spans="1:16" s="3" customFormat="1">
      <c r="A2144" s="8">
        <v>0</v>
      </c>
      <c r="B2144" s="8">
        <v>0</v>
      </c>
      <c r="C2144" s="8">
        <v>0</v>
      </c>
      <c r="D2144" s="84" t="s">
        <v>3</v>
      </c>
      <c r="F2144" s="84" t="s">
        <v>522</v>
      </c>
      <c r="J2144" s="40"/>
      <c r="K2144" s="40"/>
      <c r="L2144" s="40"/>
      <c r="M2144" s="40"/>
      <c r="N2144" s="40"/>
    </row>
    <row r="2145" spans="1:16" s="3" customFormat="1">
      <c r="A2145" s="8">
        <v>0</v>
      </c>
      <c r="B2145" s="8">
        <v>0</v>
      </c>
      <c r="C2145" s="8">
        <v>0</v>
      </c>
      <c r="D2145" s="84" t="s">
        <v>3</v>
      </c>
      <c r="F2145" s="84" t="s">
        <v>518</v>
      </c>
      <c r="J2145" s="40"/>
      <c r="K2145" s="40"/>
      <c r="L2145" s="40"/>
      <c r="M2145" s="40"/>
      <c r="N2145" s="40"/>
    </row>
    <row r="2146" spans="1:16" s="3" customFormat="1">
      <c r="A2146" s="8">
        <v>0</v>
      </c>
      <c r="B2146" s="8">
        <v>0</v>
      </c>
      <c r="C2146" s="8">
        <v>0</v>
      </c>
      <c r="D2146" s="84" t="s">
        <v>3</v>
      </c>
      <c r="F2146" s="84" t="s">
        <v>527</v>
      </c>
      <c r="J2146" s="40"/>
      <c r="K2146" s="40"/>
      <c r="L2146" s="40"/>
      <c r="M2146" s="40"/>
      <c r="N2146" s="40"/>
    </row>
    <row r="2147" spans="1:16" s="3" customFormat="1">
      <c r="A2147" s="8">
        <v>0</v>
      </c>
      <c r="B2147" s="8">
        <v>0</v>
      </c>
      <c r="C2147" s="8">
        <v>0</v>
      </c>
      <c r="D2147" s="84" t="s">
        <v>3</v>
      </c>
      <c r="E2147" s="83"/>
      <c r="F2147" s="84" t="s">
        <v>528</v>
      </c>
      <c r="G2147" s="83"/>
      <c r="H2147" s="83"/>
      <c r="J2147" s="40"/>
      <c r="K2147" s="40"/>
      <c r="L2147" s="40"/>
      <c r="M2147" s="40"/>
      <c r="N2147" s="40"/>
    </row>
    <row r="2148" spans="1:16" s="3" customFormat="1">
      <c r="A2148" s="8">
        <v>0</v>
      </c>
      <c r="B2148" s="8">
        <v>0</v>
      </c>
      <c r="C2148" s="8">
        <v>0</v>
      </c>
      <c r="D2148" s="84" t="s">
        <v>3</v>
      </c>
      <c r="E2148" s="83"/>
      <c r="F2148" s="84" t="s">
        <v>529</v>
      </c>
      <c r="G2148" s="83"/>
      <c r="H2148" s="83"/>
      <c r="J2148" s="40"/>
      <c r="K2148" s="40"/>
      <c r="L2148" s="40"/>
      <c r="M2148" s="40"/>
      <c r="N2148" s="40"/>
      <c r="O2148" s="40"/>
      <c r="P2148" s="40"/>
    </row>
    <row r="2149" spans="1:16" s="3" customFormat="1">
      <c r="A2149" s="8">
        <v>0</v>
      </c>
      <c r="B2149" s="8">
        <v>0</v>
      </c>
      <c r="C2149" s="8">
        <v>0</v>
      </c>
      <c r="D2149" s="84" t="s">
        <v>3</v>
      </c>
      <c r="E2149" s="83"/>
      <c r="F2149" s="84" t="s">
        <v>530</v>
      </c>
      <c r="G2149" s="83"/>
      <c r="H2149" s="83"/>
      <c r="J2149" s="40"/>
      <c r="K2149" s="40"/>
      <c r="L2149" s="40"/>
      <c r="M2149" s="40"/>
      <c r="N2149" s="40"/>
      <c r="O2149" s="40"/>
      <c r="P2149" s="40"/>
    </row>
    <row r="2150" spans="1:16" s="3" customFormat="1">
      <c r="A2150" s="8">
        <v>0</v>
      </c>
      <c r="B2150" s="84" t="s">
        <v>3</v>
      </c>
      <c r="C2150" s="83"/>
      <c r="D2150" s="83"/>
      <c r="E2150" s="83"/>
      <c r="F2150" s="84" t="s">
        <v>11</v>
      </c>
      <c r="G2150" s="83"/>
      <c r="H2150" s="83"/>
      <c r="J2150" s="40"/>
      <c r="K2150" s="40"/>
      <c r="L2150" s="40"/>
      <c r="M2150" s="40"/>
      <c r="N2150" s="40"/>
      <c r="O2150" s="40"/>
      <c r="P2150" s="40"/>
    </row>
    <row r="2151" spans="1:16" s="3" customFormat="1">
      <c r="A2151" s="8">
        <v>0</v>
      </c>
      <c r="B2151" s="84" t="s">
        <v>3</v>
      </c>
      <c r="C2151" s="83"/>
      <c r="D2151" s="83"/>
      <c r="E2151" s="83"/>
      <c r="F2151" s="84" t="s">
        <v>11</v>
      </c>
      <c r="G2151" s="83"/>
      <c r="H2151" s="83"/>
      <c r="J2151" s="40"/>
      <c r="K2151" s="40"/>
      <c r="L2151" s="40"/>
      <c r="M2151" s="40"/>
      <c r="N2151" s="40"/>
      <c r="O2151" s="40"/>
      <c r="P2151" s="40"/>
    </row>
    <row r="2152" spans="1:16" s="3" customFormat="1">
      <c r="A2152" s="8">
        <v>0</v>
      </c>
      <c r="B2152" s="84" t="s">
        <v>3</v>
      </c>
      <c r="C2152" s="83"/>
      <c r="D2152" s="83"/>
      <c r="E2152" s="83"/>
      <c r="F2152" s="84" t="s">
        <v>11</v>
      </c>
      <c r="G2152" s="83"/>
      <c r="H2152" s="83"/>
      <c r="J2152" s="40"/>
      <c r="K2152" s="40"/>
      <c r="L2152" s="40"/>
      <c r="M2152" s="40"/>
      <c r="N2152" s="40"/>
      <c r="O2152" s="40"/>
      <c r="P2152" s="40"/>
    </row>
    <row r="2153" spans="1:16" s="3" customFormat="1">
      <c r="A2153" s="3" t="s">
        <v>176</v>
      </c>
      <c r="B2153" s="3" t="s">
        <v>3</v>
      </c>
      <c r="C2153" s="15"/>
      <c r="G2153" s="40"/>
      <c r="H2153" s="40"/>
      <c r="I2153" s="40"/>
      <c r="J2153" s="40"/>
      <c r="K2153" s="40"/>
      <c r="L2153" s="40"/>
      <c r="M2153" s="40"/>
      <c r="N2153" s="40"/>
      <c r="O2153" s="40"/>
      <c r="P2153" s="40"/>
    </row>
    <row r="2154" spans="1:16" s="3" customFormat="1">
      <c r="A2154" s="3" t="s">
        <v>1209</v>
      </c>
      <c r="C2154" s="15"/>
      <c r="F2154" s="136"/>
      <c r="G2154" s="40"/>
      <c r="H2154" s="40"/>
      <c r="I2154" s="40"/>
      <c r="J2154" s="40"/>
      <c r="K2154" s="40"/>
      <c r="L2154" s="40"/>
      <c r="M2154" s="40"/>
      <c r="N2154" s="40"/>
      <c r="O2154" s="40"/>
      <c r="P2154" s="40"/>
    </row>
    <row r="2155" spans="1:16" s="3" customFormat="1">
      <c r="A2155" s="135">
        <v>200</v>
      </c>
      <c r="C2155" s="15"/>
      <c r="F2155" s="136" t="s">
        <v>1210</v>
      </c>
      <c r="G2155" s="40"/>
      <c r="H2155" s="40"/>
      <c r="I2155" s="40"/>
      <c r="J2155" s="40"/>
      <c r="K2155" s="40"/>
      <c r="L2155" s="40"/>
      <c r="M2155" s="40"/>
      <c r="N2155" s="40"/>
      <c r="O2155" s="40"/>
      <c r="P2155" s="40"/>
    </row>
    <row r="2156" spans="1:16" s="3" customFormat="1">
      <c r="A2156" s="135">
        <v>200</v>
      </c>
      <c r="C2156" s="15"/>
      <c r="F2156" s="136" t="s">
        <v>1211</v>
      </c>
      <c r="G2156" s="40"/>
      <c r="H2156" s="40"/>
      <c r="I2156" s="40"/>
      <c r="J2156" s="40"/>
      <c r="K2156" s="40"/>
      <c r="L2156" s="40"/>
      <c r="M2156" s="40"/>
      <c r="N2156" s="40"/>
      <c r="O2156" s="40"/>
      <c r="P2156" s="40"/>
    </row>
    <row r="2157" spans="1:16" s="3" customFormat="1">
      <c r="A2157" s="135">
        <v>200</v>
      </c>
      <c r="C2157" s="15"/>
      <c r="F2157" s="136" t="s">
        <v>1212</v>
      </c>
      <c r="G2157" s="40"/>
      <c r="H2157" s="40"/>
      <c r="I2157" s="40"/>
      <c r="J2157" s="40"/>
      <c r="K2157" s="40"/>
      <c r="L2157" s="40"/>
      <c r="M2157" s="40"/>
      <c r="N2157" s="40"/>
      <c r="O2157" s="40"/>
      <c r="P2157" s="40"/>
    </row>
    <row r="2158" spans="1:16" s="3" customFormat="1">
      <c r="A2158" s="135">
        <v>200</v>
      </c>
      <c r="C2158" s="15"/>
      <c r="F2158" s="136" t="s">
        <v>1213</v>
      </c>
      <c r="G2158" s="40"/>
      <c r="H2158" s="40"/>
      <c r="I2158" s="40"/>
      <c r="J2158" s="40"/>
      <c r="K2158" s="40"/>
      <c r="L2158" s="40"/>
      <c r="M2158" s="40"/>
      <c r="N2158" s="40"/>
      <c r="O2158" s="40"/>
      <c r="P2158" s="40"/>
    </row>
    <row r="2159" spans="1:16" s="3" customFormat="1">
      <c r="A2159" s="135">
        <v>20</v>
      </c>
      <c r="C2159" s="15"/>
      <c r="F2159" s="136" t="s">
        <v>1214</v>
      </c>
      <c r="G2159" s="40"/>
      <c r="H2159" s="40"/>
      <c r="I2159" s="40"/>
      <c r="J2159" s="40"/>
      <c r="K2159" s="40"/>
      <c r="L2159" s="40"/>
      <c r="M2159" s="40"/>
      <c r="N2159" s="40"/>
      <c r="O2159" s="40"/>
      <c r="P2159" s="40"/>
    </row>
    <row r="2160" spans="1:16" s="3" customFormat="1">
      <c r="A2160" s="135">
        <v>20</v>
      </c>
      <c r="C2160" s="15"/>
      <c r="F2160" s="136" t="s">
        <v>1215</v>
      </c>
      <c r="G2160" s="40"/>
      <c r="H2160" s="40"/>
      <c r="I2160" s="40"/>
      <c r="J2160" s="40"/>
      <c r="K2160" s="40"/>
      <c r="L2160" s="40"/>
      <c r="M2160" s="40"/>
      <c r="N2160" s="40"/>
      <c r="O2160" s="40"/>
      <c r="P2160" s="40"/>
    </row>
    <row r="2161" spans="1:19" s="3" customFormat="1">
      <c r="A2161" s="135">
        <v>20</v>
      </c>
      <c r="C2161" s="15"/>
      <c r="F2161" s="136" t="s">
        <v>1216</v>
      </c>
      <c r="G2161" s="40"/>
      <c r="H2161" s="40"/>
      <c r="I2161" s="40"/>
      <c r="J2161" s="40"/>
      <c r="K2161" s="40"/>
      <c r="L2161" s="40"/>
      <c r="M2161" s="40"/>
      <c r="N2161" s="40"/>
      <c r="O2161" s="40"/>
      <c r="P2161" s="40"/>
    </row>
    <row r="2162" spans="1:19" s="3" customFormat="1">
      <c r="A2162" s="135">
        <v>164</v>
      </c>
      <c r="C2162" s="15"/>
      <c r="F2162" s="136" t="s">
        <v>1217</v>
      </c>
      <c r="G2162" s="40"/>
      <c r="H2162" s="40"/>
      <c r="I2162" s="40"/>
      <c r="J2162" s="40"/>
      <c r="K2162" s="40"/>
      <c r="L2162" s="40"/>
      <c r="M2162" s="40"/>
      <c r="N2162" s="40"/>
      <c r="O2162" s="40"/>
      <c r="P2162" s="40"/>
    </row>
    <row r="2163" spans="1:19" s="3" customFormat="1" ht="15">
      <c r="A2163" s="48" t="s">
        <v>531</v>
      </c>
      <c r="B2163" s="26"/>
      <c r="C2163" s="26"/>
      <c r="D2163" s="48"/>
      <c r="G2163" s="40"/>
      <c r="H2163" s="40"/>
      <c r="I2163" s="40"/>
      <c r="J2163" s="40"/>
      <c r="K2163" s="40"/>
      <c r="L2163" s="40"/>
      <c r="M2163" s="40"/>
      <c r="N2163" s="40"/>
      <c r="O2163" s="40"/>
      <c r="P2163" s="40"/>
    </row>
    <row r="2164" spans="1:19" s="3" customFormat="1">
      <c r="A2164" s="8">
        <f>HEX2DEC(30)</f>
        <v>48</v>
      </c>
      <c r="B2164" s="8">
        <f>HEX2DEC(30)</f>
        <v>48</v>
      </c>
      <c r="C2164" s="8">
        <f>HEX2DEC(42)</f>
        <v>66</v>
      </c>
      <c r="D2164" s="8">
        <f>HEX2DEC(42)</f>
        <v>66</v>
      </c>
      <c r="E2164" s="8">
        <f>HEX2DEC(530)</f>
        <v>1328</v>
      </c>
      <c r="F2164" s="8">
        <f>HEX2DEC(30)</f>
        <v>48</v>
      </c>
      <c r="G2164" s="8">
        <v>0</v>
      </c>
      <c r="H2164" s="8">
        <v>0</v>
      </c>
      <c r="I2164" s="3" t="s">
        <v>311</v>
      </c>
      <c r="J2164" s="40"/>
      <c r="K2164" s="40"/>
      <c r="L2164" s="40"/>
      <c r="M2164" s="40"/>
      <c r="N2164" s="40"/>
      <c r="O2164" s="40"/>
      <c r="P2164" s="40"/>
    </row>
    <row r="2165" spans="1:19" s="3" customFormat="1">
      <c r="A2165" s="8">
        <f t="shared" ref="A2165:B2166" si="33">HEX2DEC(30)</f>
        <v>48</v>
      </c>
      <c r="B2165" s="8">
        <f t="shared" si="33"/>
        <v>48</v>
      </c>
      <c r="C2165" s="8">
        <f t="shared" ref="C2165:D2166" si="34">HEX2DEC(42)</f>
        <v>66</v>
      </c>
      <c r="D2165" s="8">
        <f t="shared" si="34"/>
        <v>66</v>
      </c>
      <c r="E2165" s="8">
        <f t="shared" ref="E2165:E2166" si="35">HEX2DEC(530)</f>
        <v>1328</v>
      </c>
      <c r="F2165" s="8">
        <f t="shared" ref="F2165:F2166" si="36">HEX2DEC(30)</f>
        <v>48</v>
      </c>
      <c r="G2165" s="8">
        <v>0</v>
      </c>
      <c r="H2165" s="8">
        <v>0</v>
      </c>
      <c r="I2165" s="3" t="s">
        <v>312</v>
      </c>
      <c r="J2165" s="40"/>
      <c r="K2165" s="40"/>
      <c r="L2165" s="40"/>
      <c r="M2165" s="40"/>
      <c r="N2165" s="40"/>
      <c r="O2165" s="40"/>
      <c r="P2165" s="40"/>
    </row>
    <row r="2166" spans="1:19" s="3" customFormat="1">
      <c r="A2166" s="8">
        <f t="shared" si="33"/>
        <v>48</v>
      </c>
      <c r="B2166" s="8">
        <f t="shared" si="33"/>
        <v>48</v>
      </c>
      <c r="C2166" s="8">
        <f t="shared" si="34"/>
        <v>66</v>
      </c>
      <c r="D2166" s="8">
        <f t="shared" si="34"/>
        <v>66</v>
      </c>
      <c r="E2166" s="8">
        <f t="shared" si="35"/>
        <v>1328</v>
      </c>
      <c r="F2166" s="8">
        <f t="shared" si="36"/>
        <v>48</v>
      </c>
      <c r="G2166" s="8">
        <v>0</v>
      </c>
      <c r="H2166" s="8">
        <v>0</v>
      </c>
      <c r="I2166" s="3" t="s">
        <v>313</v>
      </c>
      <c r="J2166" s="40"/>
      <c r="K2166" s="40"/>
      <c r="L2166" s="40"/>
      <c r="M2166" s="40"/>
      <c r="N2166" s="40"/>
      <c r="O2166" s="40"/>
      <c r="P2166" s="40"/>
    </row>
    <row r="2167" spans="1:19" s="3" customFormat="1">
      <c r="A2167" s="36" t="s">
        <v>277</v>
      </c>
      <c r="B2167" s="54">
        <f>B2107+1</f>
        <v>13</v>
      </c>
      <c r="C2167" s="36" t="s">
        <v>532</v>
      </c>
      <c r="D2167" s="36"/>
      <c r="E2167" s="36"/>
      <c r="F2167" s="36"/>
      <c r="G2167" s="36"/>
      <c r="H2167" s="36"/>
      <c r="I2167" s="36"/>
      <c r="J2167" s="36"/>
      <c r="K2167" s="36"/>
      <c r="L2167" s="36"/>
      <c r="M2167" s="36"/>
      <c r="N2167" s="36"/>
      <c r="O2167" s="36"/>
      <c r="P2167" s="36"/>
      <c r="Q2167"/>
      <c r="R2167"/>
      <c r="S2167"/>
    </row>
    <row r="2168" spans="1:19" s="3" customFormat="1">
      <c r="A2168" s="1" t="s">
        <v>2</v>
      </c>
      <c r="B2168" s="2" t="s">
        <v>342</v>
      </c>
      <c r="C2168"/>
      <c r="D2168"/>
      <c r="E2168"/>
      <c r="F2168"/>
      <c r="G2168"/>
      <c r="H2168"/>
      <c r="I2168"/>
      <c r="J2168" s="34"/>
      <c r="K2168" s="34"/>
      <c r="L2168" s="34"/>
      <c r="M2168" s="34"/>
      <c r="N2168" s="34"/>
      <c r="O2168" s="34"/>
      <c r="P2168" s="34"/>
      <c r="Q2168"/>
    </row>
    <row r="2169" spans="1:19" s="3" customFormat="1" ht="15">
      <c r="A2169" s="6">
        <v>237</v>
      </c>
      <c r="B2169" s="6">
        <v>28</v>
      </c>
      <c r="C2169" s="6">
        <v>36</v>
      </c>
      <c r="D2169" s="2" t="s">
        <v>3</v>
      </c>
      <c r="E2169"/>
      <c r="F2169" s="2" t="s">
        <v>533</v>
      </c>
      <c r="G2169"/>
      <c r="H2169"/>
      <c r="I2169"/>
      <c r="J2169" s="34"/>
      <c r="K2169" s="34"/>
      <c r="L2169" s="34"/>
      <c r="M2169" s="34"/>
      <c r="N2169" s="34"/>
      <c r="O2169" s="34"/>
      <c r="P2169" s="34"/>
      <c r="Q2169"/>
    </row>
    <row r="2170" spans="1:19" s="3" customFormat="1" ht="15">
      <c r="A2170" s="6">
        <v>237</v>
      </c>
      <c r="B2170" s="6">
        <v>28</v>
      </c>
      <c r="C2170" s="6">
        <v>36</v>
      </c>
      <c r="D2170" s="2" t="s">
        <v>3</v>
      </c>
      <c r="E2170"/>
      <c r="F2170" s="2" t="s">
        <v>534</v>
      </c>
      <c r="G2170"/>
      <c r="H2170"/>
      <c r="I2170"/>
      <c r="J2170" s="34"/>
      <c r="K2170" s="34"/>
      <c r="L2170" s="34"/>
      <c r="M2170" s="34"/>
      <c r="N2170" s="34"/>
      <c r="O2170" s="34"/>
      <c r="P2170" s="34"/>
      <c r="Q2170"/>
    </row>
    <row r="2171" spans="1:19" s="3" customFormat="1">
      <c r="A2171" s="6">
        <v>0</v>
      </c>
      <c r="B2171" s="6">
        <v>0</v>
      </c>
      <c r="C2171" s="6">
        <v>0</v>
      </c>
      <c r="D2171" s="2" t="s">
        <v>3</v>
      </c>
      <c r="E2171"/>
      <c r="F2171" s="2" t="s">
        <v>535</v>
      </c>
      <c r="G2171"/>
      <c r="H2171"/>
      <c r="I2171"/>
      <c r="J2171" s="34"/>
      <c r="K2171" s="34"/>
      <c r="L2171" s="34"/>
      <c r="M2171" s="34"/>
      <c r="N2171" s="34"/>
      <c r="O2171" s="34"/>
      <c r="P2171" s="34"/>
      <c r="Q2171"/>
    </row>
    <row r="2172" spans="1:19" s="3" customFormat="1">
      <c r="A2172" s="6">
        <v>0</v>
      </c>
      <c r="B2172" s="6">
        <v>0</v>
      </c>
      <c r="C2172" s="6">
        <v>0</v>
      </c>
      <c r="D2172" s="2" t="s">
        <v>3</v>
      </c>
      <c r="E2172"/>
      <c r="F2172" s="2" t="s">
        <v>536</v>
      </c>
      <c r="G2172"/>
      <c r="H2172"/>
      <c r="I2172"/>
      <c r="J2172" s="34"/>
      <c r="K2172" s="34"/>
      <c r="L2172" s="34"/>
      <c r="M2172" s="34"/>
      <c r="N2172" s="34"/>
      <c r="O2172" s="34"/>
      <c r="P2172" s="34"/>
      <c r="Q2172"/>
    </row>
    <row r="2173" spans="1:19" s="3" customFormat="1">
      <c r="A2173" s="6">
        <v>0</v>
      </c>
      <c r="B2173" s="2" t="s">
        <v>3</v>
      </c>
      <c r="C2173" s="1"/>
      <c r="D2173" s="2"/>
      <c r="E2173"/>
      <c r="F2173" s="2" t="s">
        <v>11</v>
      </c>
      <c r="G2173"/>
      <c r="H2173"/>
      <c r="I2173"/>
      <c r="J2173" s="34"/>
      <c r="K2173" s="34"/>
      <c r="L2173" s="34"/>
      <c r="M2173" s="34"/>
      <c r="N2173" s="34"/>
      <c r="O2173" s="34"/>
      <c r="P2173" s="34"/>
      <c r="Q2173"/>
    </row>
    <row r="2174" spans="1:19" s="3" customFormat="1">
      <c r="A2174" s="6">
        <v>0</v>
      </c>
      <c r="B2174" s="2" t="s">
        <v>3</v>
      </c>
      <c r="C2174" s="1"/>
      <c r="D2174" s="2"/>
      <c r="E2174"/>
      <c r="F2174" s="2" t="s">
        <v>11</v>
      </c>
      <c r="G2174"/>
      <c r="H2174"/>
      <c r="I2174"/>
      <c r="J2174" s="34"/>
      <c r="K2174" s="34"/>
      <c r="L2174" s="34"/>
      <c r="M2174" s="34"/>
      <c r="N2174" s="34"/>
      <c r="O2174" s="34"/>
      <c r="P2174" s="34"/>
      <c r="Q2174"/>
    </row>
    <row r="2175" spans="1:19" s="3" customFormat="1">
      <c r="A2175" s="6">
        <v>0</v>
      </c>
      <c r="B2175" s="2" t="s">
        <v>3</v>
      </c>
      <c r="C2175" s="1"/>
      <c r="D2175" s="2"/>
      <c r="E2175"/>
      <c r="F2175" s="2" t="s">
        <v>11</v>
      </c>
      <c r="G2175"/>
      <c r="H2175"/>
      <c r="I2175"/>
      <c r="J2175" s="34"/>
      <c r="K2175" s="34"/>
      <c r="L2175" s="34"/>
      <c r="M2175" s="34"/>
      <c r="N2175" s="34"/>
      <c r="O2175" s="34"/>
      <c r="P2175" s="34"/>
      <c r="Q2175"/>
    </row>
    <row r="2176" spans="1:19" s="3" customFormat="1">
      <c r="A2176" s="6">
        <v>0</v>
      </c>
      <c r="B2176" s="2" t="s">
        <v>3</v>
      </c>
      <c r="C2176" s="1"/>
      <c r="D2176" s="2"/>
      <c r="E2176"/>
      <c r="F2176" s="2" t="s">
        <v>11</v>
      </c>
      <c r="G2176"/>
      <c r="H2176"/>
      <c r="I2176"/>
      <c r="J2176" s="34"/>
      <c r="K2176" s="34"/>
      <c r="L2176" s="34"/>
      <c r="M2176" s="34"/>
      <c r="N2176" s="34"/>
      <c r="O2176" s="34"/>
      <c r="P2176" s="34"/>
      <c r="Q2176"/>
    </row>
    <row r="2177" spans="1:17" s="3" customFormat="1">
      <c r="A2177" s="1" t="s">
        <v>176</v>
      </c>
      <c r="B2177" s="2" t="s">
        <v>537</v>
      </c>
      <c r="C2177"/>
      <c r="D2177" s="2" t="s">
        <v>342</v>
      </c>
      <c r="E2177" t="s">
        <v>538</v>
      </c>
      <c r="F2177"/>
      <c r="G2177"/>
      <c r="H2177"/>
      <c r="I2177"/>
      <c r="J2177" s="34"/>
      <c r="K2177" s="34"/>
      <c r="L2177" s="34"/>
      <c r="M2177" s="34"/>
      <c r="N2177" s="34"/>
      <c r="O2177" s="34"/>
      <c r="P2177" s="34"/>
      <c r="Q2177"/>
    </row>
    <row r="2178" spans="1:17" s="3" customFormat="1">
      <c r="A2178" s="1" t="s">
        <v>539</v>
      </c>
      <c r="B2178" s="2" t="s">
        <v>540</v>
      </c>
      <c r="C2178" s="1" t="s">
        <v>541</v>
      </c>
      <c r="D2178" s="2" t="s">
        <v>540</v>
      </c>
      <c r="E2178" t="s">
        <v>542</v>
      </c>
      <c r="F2178"/>
      <c r="G2178"/>
      <c r="H2178"/>
      <c r="I2178"/>
      <c r="J2178" s="34"/>
      <c r="K2178" s="34"/>
      <c r="L2178" s="34"/>
      <c r="M2178" s="34"/>
      <c r="N2178" s="34"/>
      <c r="O2178" s="34"/>
      <c r="P2178" s="34"/>
      <c r="Q2178"/>
    </row>
    <row r="2179" spans="1:17" s="3" customFormat="1">
      <c r="A2179" s="6">
        <v>1</v>
      </c>
      <c r="B2179" s="6">
        <f>HEX2DEC(932)</f>
        <v>2354</v>
      </c>
      <c r="C2179" s="6">
        <v>2</v>
      </c>
      <c r="D2179" s="6">
        <f t="shared" ref="D2179:D2228" si="37">HEX2DEC(932)</f>
        <v>2354</v>
      </c>
      <c r="E2179" s="2" t="s">
        <v>543</v>
      </c>
      <c r="F2179"/>
      <c r="G2179"/>
      <c r="H2179"/>
      <c r="I2179"/>
      <c r="J2179" s="34"/>
      <c r="K2179" s="34"/>
      <c r="L2179" s="34"/>
      <c r="M2179" s="34"/>
      <c r="N2179" s="34"/>
      <c r="O2179" s="34"/>
      <c r="P2179" s="34"/>
      <c r="Q2179"/>
    </row>
    <row r="2180" spans="1:17" s="3" customFormat="1">
      <c r="A2180" s="6">
        <v>3</v>
      </c>
      <c r="B2180" s="6">
        <f t="shared" ref="B2180:B2228" si="38">HEX2DEC(932)</f>
        <v>2354</v>
      </c>
      <c r="C2180" s="6">
        <v>4</v>
      </c>
      <c r="D2180" s="6">
        <f t="shared" si="37"/>
        <v>2354</v>
      </c>
      <c r="E2180" s="2" t="s">
        <v>3</v>
      </c>
      <c r="F2180"/>
      <c r="G2180"/>
      <c r="H2180"/>
      <c r="I2180"/>
      <c r="J2180" s="34"/>
      <c r="K2180" s="34"/>
      <c r="L2180" s="34"/>
      <c r="M2180" s="34"/>
      <c r="N2180" s="34"/>
      <c r="O2180" s="34"/>
      <c r="P2180" s="34"/>
      <c r="Q2180"/>
    </row>
    <row r="2181" spans="1:17" s="3" customFormat="1">
      <c r="A2181" s="6">
        <v>5</v>
      </c>
      <c r="B2181" s="6">
        <f t="shared" si="38"/>
        <v>2354</v>
      </c>
      <c r="C2181" s="6">
        <v>6</v>
      </c>
      <c r="D2181" s="6">
        <f t="shared" si="37"/>
        <v>2354</v>
      </c>
      <c r="E2181" s="2" t="s">
        <v>3</v>
      </c>
      <c r="F2181"/>
      <c r="G2181"/>
      <c r="H2181"/>
      <c r="I2181"/>
      <c r="J2181" s="34"/>
      <c r="K2181" s="34"/>
      <c r="L2181" s="34"/>
      <c r="M2181" s="34"/>
      <c r="N2181" s="34"/>
      <c r="O2181" s="34"/>
      <c r="P2181" s="34"/>
      <c r="Q2181"/>
    </row>
    <row r="2182" spans="1:17" s="3" customFormat="1">
      <c r="A2182" s="6">
        <v>7</v>
      </c>
      <c r="B2182" s="6">
        <f t="shared" si="38"/>
        <v>2354</v>
      </c>
      <c r="C2182" s="6">
        <v>8</v>
      </c>
      <c r="D2182" s="6">
        <f t="shared" si="37"/>
        <v>2354</v>
      </c>
      <c r="E2182" s="2" t="s">
        <v>3</v>
      </c>
      <c r="F2182"/>
      <c r="G2182"/>
      <c r="H2182"/>
      <c r="I2182"/>
      <c r="J2182" s="34"/>
      <c r="K2182" s="34"/>
      <c r="L2182" s="34"/>
      <c r="M2182" s="34"/>
      <c r="N2182" s="34"/>
      <c r="O2182" s="34"/>
      <c r="P2182" s="34"/>
      <c r="Q2182"/>
    </row>
    <row r="2183" spans="1:17" s="3" customFormat="1">
      <c r="A2183" s="6">
        <v>9</v>
      </c>
      <c r="B2183" s="6">
        <f t="shared" si="38"/>
        <v>2354</v>
      </c>
      <c r="C2183" s="6">
        <v>10</v>
      </c>
      <c r="D2183" s="6">
        <f t="shared" si="37"/>
        <v>2354</v>
      </c>
      <c r="E2183" s="2" t="s">
        <v>3</v>
      </c>
      <c r="F2183"/>
      <c r="G2183"/>
      <c r="H2183"/>
      <c r="I2183"/>
      <c r="J2183" s="34"/>
      <c r="K2183" s="34"/>
      <c r="L2183" s="34"/>
      <c r="M2183" s="34"/>
      <c r="N2183" s="34"/>
      <c r="O2183" s="34"/>
      <c r="P2183" s="34"/>
      <c r="Q2183"/>
    </row>
    <row r="2184" spans="1:17" s="3" customFormat="1">
      <c r="A2184" s="6">
        <v>11</v>
      </c>
      <c r="B2184" s="6">
        <f t="shared" si="38"/>
        <v>2354</v>
      </c>
      <c r="C2184" s="6">
        <v>12</v>
      </c>
      <c r="D2184" s="6">
        <f t="shared" si="37"/>
        <v>2354</v>
      </c>
      <c r="E2184" s="2" t="s">
        <v>544</v>
      </c>
      <c r="F2184"/>
      <c r="G2184"/>
      <c r="H2184"/>
      <c r="I2184"/>
      <c r="J2184" s="34"/>
      <c r="K2184" s="34"/>
      <c r="L2184" s="34"/>
      <c r="M2184" s="34"/>
      <c r="N2184" s="34"/>
      <c r="O2184" s="34"/>
      <c r="P2184" s="34"/>
      <c r="Q2184"/>
    </row>
    <row r="2185" spans="1:17" s="3" customFormat="1">
      <c r="A2185" s="6">
        <v>13</v>
      </c>
      <c r="B2185" s="6">
        <f t="shared" si="38"/>
        <v>2354</v>
      </c>
      <c r="C2185" s="6">
        <v>14</v>
      </c>
      <c r="D2185" s="6">
        <f t="shared" si="37"/>
        <v>2354</v>
      </c>
      <c r="E2185" s="2" t="s">
        <v>3</v>
      </c>
      <c r="F2185"/>
      <c r="G2185"/>
      <c r="H2185"/>
      <c r="I2185"/>
      <c r="J2185" s="34"/>
      <c r="K2185" s="34"/>
      <c r="L2185" s="34"/>
      <c r="M2185" s="34"/>
      <c r="N2185" s="34"/>
      <c r="O2185" s="34"/>
      <c r="P2185" s="34"/>
      <c r="Q2185"/>
    </row>
    <row r="2186" spans="1:17" s="3" customFormat="1">
      <c r="A2186" s="6">
        <v>15</v>
      </c>
      <c r="B2186" s="6">
        <f t="shared" si="38"/>
        <v>2354</v>
      </c>
      <c r="C2186" s="6">
        <v>16</v>
      </c>
      <c r="D2186" s="6">
        <f t="shared" si="37"/>
        <v>2354</v>
      </c>
      <c r="E2186" s="2" t="s">
        <v>3</v>
      </c>
      <c r="F2186"/>
      <c r="G2186"/>
      <c r="H2186"/>
      <c r="I2186"/>
      <c r="J2186" s="34"/>
      <c r="K2186" s="34"/>
      <c r="L2186" s="34"/>
      <c r="M2186" s="34"/>
      <c r="N2186" s="34"/>
      <c r="O2186" s="34"/>
      <c r="P2186" s="34"/>
      <c r="Q2186"/>
    </row>
    <row r="2187" spans="1:17" s="3" customFormat="1">
      <c r="A2187" s="6">
        <v>17</v>
      </c>
      <c r="B2187" s="6">
        <f t="shared" si="38"/>
        <v>2354</v>
      </c>
      <c r="C2187" s="6">
        <v>18</v>
      </c>
      <c r="D2187" s="6">
        <f t="shared" si="37"/>
        <v>2354</v>
      </c>
      <c r="E2187" s="2" t="s">
        <v>3</v>
      </c>
      <c r="F2187"/>
      <c r="G2187"/>
      <c r="H2187"/>
      <c r="I2187"/>
      <c r="J2187" s="34"/>
      <c r="K2187" s="34"/>
      <c r="L2187" s="34"/>
      <c r="M2187" s="34"/>
      <c r="N2187" s="34"/>
      <c r="O2187" s="34"/>
      <c r="P2187" s="34"/>
      <c r="Q2187"/>
    </row>
    <row r="2188" spans="1:17" s="3" customFormat="1">
      <c r="A2188" s="6">
        <v>19</v>
      </c>
      <c r="B2188" s="6">
        <f t="shared" si="38"/>
        <v>2354</v>
      </c>
      <c r="C2188" s="6">
        <v>20</v>
      </c>
      <c r="D2188" s="6">
        <f t="shared" si="37"/>
        <v>2354</v>
      </c>
      <c r="E2188" s="2" t="s">
        <v>3</v>
      </c>
      <c r="F2188"/>
      <c r="G2188"/>
      <c r="H2188"/>
      <c r="I2188"/>
      <c r="J2188" s="34"/>
      <c r="K2188" s="34"/>
      <c r="L2188" s="34"/>
      <c r="M2188" s="34"/>
      <c r="N2188" s="34"/>
      <c r="O2188" s="34"/>
      <c r="P2188" s="34"/>
      <c r="Q2188"/>
    </row>
    <row r="2189" spans="1:17" s="3" customFormat="1">
      <c r="A2189" s="6">
        <v>21</v>
      </c>
      <c r="B2189" s="6">
        <f t="shared" si="38"/>
        <v>2354</v>
      </c>
      <c r="C2189" s="6">
        <v>22</v>
      </c>
      <c r="D2189" s="6">
        <f t="shared" si="37"/>
        <v>2354</v>
      </c>
      <c r="E2189" s="2" t="s">
        <v>545</v>
      </c>
      <c r="F2189"/>
      <c r="G2189"/>
      <c r="H2189"/>
      <c r="I2189"/>
      <c r="J2189" s="34"/>
      <c r="K2189" s="34"/>
      <c r="L2189" s="34"/>
      <c r="M2189" s="34"/>
      <c r="N2189" s="34"/>
      <c r="O2189" s="34"/>
      <c r="P2189" s="34"/>
      <c r="Q2189"/>
    </row>
    <row r="2190" spans="1:17" s="3" customFormat="1">
      <c r="A2190" s="6">
        <v>23</v>
      </c>
      <c r="B2190" s="6">
        <f t="shared" si="38"/>
        <v>2354</v>
      </c>
      <c r="C2190" s="6">
        <v>24</v>
      </c>
      <c r="D2190" s="6">
        <f t="shared" si="37"/>
        <v>2354</v>
      </c>
      <c r="E2190" s="2" t="s">
        <v>3</v>
      </c>
      <c r="F2190"/>
      <c r="G2190"/>
      <c r="H2190"/>
      <c r="I2190"/>
      <c r="J2190" s="34"/>
      <c r="K2190" s="34"/>
      <c r="L2190" s="34"/>
      <c r="M2190" s="34"/>
      <c r="N2190" s="34"/>
      <c r="O2190" s="34"/>
      <c r="P2190" s="34"/>
      <c r="Q2190"/>
    </row>
    <row r="2191" spans="1:17" s="3" customFormat="1">
      <c r="A2191" s="6">
        <v>25</v>
      </c>
      <c r="B2191" s="6">
        <f t="shared" si="38"/>
        <v>2354</v>
      </c>
      <c r="C2191" s="6">
        <v>26</v>
      </c>
      <c r="D2191" s="6">
        <f t="shared" si="37"/>
        <v>2354</v>
      </c>
      <c r="E2191" s="2" t="s">
        <v>3</v>
      </c>
      <c r="F2191"/>
      <c r="G2191"/>
      <c r="H2191"/>
      <c r="I2191"/>
      <c r="J2191" s="34"/>
      <c r="K2191" s="34"/>
      <c r="L2191" s="34"/>
      <c r="M2191" s="34"/>
      <c r="N2191" s="34"/>
      <c r="O2191" s="34"/>
      <c r="P2191" s="34"/>
      <c r="Q2191"/>
    </row>
    <row r="2192" spans="1:17" s="3" customFormat="1">
      <c r="A2192" s="6">
        <v>27</v>
      </c>
      <c r="B2192" s="6">
        <f t="shared" si="38"/>
        <v>2354</v>
      </c>
      <c r="C2192" s="6">
        <v>28</v>
      </c>
      <c r="D2192" s="6">
        <f t="shared" si="37"/>
        <v>2354</v>
      </c>
      <c r="E2192" s="2" t="s">
        <v>3</v>
      </c>
      <c r="F2192"/>
      <c r="G2192"/>
      <c r="H2192"/>
      <c r="I2192"/>
      <c r="J2192" s="34"/>
      <c r="K2192" s="34"/>
      <c r="L2192" s="34"/>
      <c r="M2192" s="34"/>
      <c r="N2192" s="34"/>
      <c r="O2192" s="34"/>
      <c r="P2192" s="34"/>
      <c r="Q2192"/>
    </row>
    <row r="2193" spans="1:17" s="3" customFormat="1">
      <c r="A2193" s="6">
        <v>29</v>
      </c>
      <c r="B2193" s="6">
        <f t="shared" si="38"/>
        <v>2354</v>
      </c>
      <c r="C2193" s="6">
        <v>30</v>
      </c>
      <c r="D2193" s="6">
        <f t="shared" si="37"/>
        <v>2354</v>
      </c>
      <c r="E2193" s="2" t="s">
        <v>3</v>
      </c>
      <c r="F2193"/>
      <c r="G2193"/>
      <c r="H2193"/>
      <c r="I2193"/>
      <c r="J2193" s="34"/>
      <c r="K2193" s="34"/>
      <c r="L2193" s="34"/>
      <c r="M2193" s="34"/>
      <c r="N2193" s="34"/>
      <c r="O2193" s="34"/>
      <c r="P2193" s="34"/>
      <c r="Q2193"/>
    </row>
    <row r="2194" spans="1:17" s="3" customFormat="1">
      <c r="A2194" s="6">
        <v>31</v>
      </c>
      <c r="B2194" s="6">
        <f t="shared" si="38"/>
        <v>2354</v>
      </c>
      <c r="C2194" s="6">
        <v>32</v>
      </c>
      <c r="D2194" s="6">
        <f t="shared" si="37"/>
        <v>2354</v>
      </c>
      <c r="E2194" s="2" t="s">
        <v>546</v>
      </c>
      <c r="F2194"/>
      <c r="G2194"/>
      <c r="H2194"/>
      <c r="I2194"/>
      <c r="J2194" s="34"/>
      <c r="K2194" s="34"/>
      <c r="L2194" s="34"/>
      <c r="M2194" s="34"/>
      <c r="N2194" s="34"/>
      <c r="O2194" s="34"/>
      <c r="P2194" s="34"/>
      <c r="Q2194"/>
    </row>
    <row r="2195" spans="1:17" s="3" customFormat="1">
      <c r="A2195" s="6">
        <v>33</v>
      </c>
      <c r="B2195" s="6">
        <f t="shared" si="38"/>
        <v>2354</v>
      </c>
      <c r="C2195" s="6">
        <v>34</v>
      </c>
      <c r="D2195" s="6">
        <f t="shared" si="37"/>
        <v>2354</v>
      </c>
      <c r="E2195" s="2" t="s">
        <v>3</v>
      </c>
      <c r="F2195"/>
      <c r="G2195"/>
      <c r="H2195"/>
      <c r="I2195"/>
      <c r="J2195" s="34"/>
      <c r="K2195" s="34"/>
      <c r="L2195" s="34"/>
      <c r="M2195" s="34"/>
      <c r="N2195" s="34"/>
      <c r="O2195" s="34"/>
      <c r="P2195" s="34"/>
      <c r="Q2195"/>
    </row>
    <row r="2196" spans="1:17" s="3" customFormat="1">
      <c r="A2196" s="6">
        <v>35</v>
      </c>
      <c r="B2196" s="6">
        <f t="shared" si="38"/>
        <v>2354</v>
      </c>
      <c r="C2196" s="6">
        <v>36</v>
      </c>
      <c r="D2196" s="6">
        <f t="shared" si="37"/>
        <v>2354</v>
      </c>
      <c r="E2196" s="2" t="s">
        <v>3</v>
      </c>
      <c r="F2196"/>
      <c r="G2196"/>
      <c r="H2196"/>
      <c r="I2196"/>
      <c r="J2196" s="34"/>
      <c r="K2196" s="34"/>
      <c r="L2196" s="34"/>
      <c r="M2196" s="34"/>
      <c r="N2196" s="34"/>
      <c r="O2196" s="34"/>
      <c r="P2196" s="34"/>
      <c r="Q2196"/>
    </row>
    <row r="2197" spans="1:17" s="3" customFormat="1">
      <c r="A2197" s="6">
        <v>37</v>
      </c>
      <c r="B2197" s="6">
        <f t="shared" si="38"/>
        <v>2354</v>
      </c>
      <c r="C2197" s="6">
        <v>38</v>
      </c>
      <c r="D2197" s="6">
        <f t="shared" si="37"/>
        <v>2354</v>
      </c>
      <c r="E2197" s="2" t="s">
        <v>3</v>
      </c>
      <c r="F2197"/>
      <c r="G2197"/>
      <c r="H2197"/>
      <c r="I2197"/>
      <c r="J2197" s="34"/>
      <c r="K2197" s="34"/>
      <c r="L2197" s="34"/>
      <c r="M2197" s="34"/>
      <c r="N2197" s="34"/>
      <c r="O2197" s="34"/>
      <c r="P2197" s="34"/>
      <c r="Q2197"/>
    </row>
    <row r="2198" spans="1:17" s="3" customFormat="1">
      <c r="A2198" s="6">
        <v>39</v>
      </c>
      <c r="B2198" s="6">
        <f t="shared" si="38"/>
        <v>2354</v>
      </c>
      <c r="C2198" s="6">
        <v>40</v>
      </c>
      <c r="D2198" s="6">
        <f t="shared" si="37"/>
        <v>2354</v>
      </c>
      <c r="E2198" s="2" t="s">
        <v>3</v>
      </c>
      <c r="F2198"/>
      <c r="G2198"/>
      <c r="H2198"/>
      <c r="I2198"/>
      <c r="J2198" s="34"/>
      <c r="K2198" s="34"/>
      <c r="L2198" s="34"/>
      <c r="M2198" s="34"/>
      <c r="N2198" s="34"/>
      <c r="O2198" s="34"/>
      <c r="P2198" s="34"/>
      <c r="Q2198"/>
    </row>
    <row r="2199" spans="1:17" s="3" customFormat="1">
      <c r="A2199" s="6">
        <v>41</v>
      </c>
      <c r="B2199" s="6">
        <f t="shared" si="38"/>
        <v>2354</v>
      </c>
      <c r="C2199" s="6">
        <v>42</v>
      </c>
      <c r="D2199" s="6">
        <f t="shared" si="37"/>
        <v>2354</v>
      </c>
      <c r="E2199" s="2" t="s">
        <v>547</v>
      </c>
      <c r="F2199"/>
      <c r="G2199"/>
      <c r="H2199"/>
      <c r="I2199"/>
      <c r="J2199" s="34"/>
      <c r="K2199" s="34"/>
      <c r="L2199" s="34"/>
      <c r="M2199" s="34"/>
      <c r="N2199" s="34"/>
      <c r="O2199" s="34"/>
      <c r="P2199" s="34"/>
      <c r="Q2199"/>
    </row>
    <row r="2200" spans="1:17" s="3" customFormat="1">
      <c r="A2200" s="6">
        <v>43</v>
      </c>
      <c r="B2200" s="6">
        <f t="shared" si="38"/>
        <v>2354</v>
      </c>
      <c r="C2200" s="6">
        <v>44</v>
      </c>
      <c r="D2200" s="6">
        <f t="shared" si="37"/>
        <v>2354</v>
      </c>
      <c r="E2200" s="2" t="s">
        <v>3</v>
      </c>
      <c r="F2200"/>
      <c r="G2200"/>
      <c r="H2200"/>
      <c r="I2200"/>
      <c r="J2200" s="34"/>
      <c r="K2200" s="34"/>
      <c r="L2200" s="34"/>
      <c r="M2200" s="34"/>
      <c r="N2200" s="34"/>
      <c r="O2200" s="34"/>
      <c r="P2200" s="34"/>
      <c r="Q2200"/>
    </row>
    <row r="2201" spans="1:17" s="3" customFormat="1">
      <c r="A2201" s="6">
        <v>45</v>
      </c>
      <c r="B2201" s="6">
        <f t="shared" si="38"/>
        <v>2354</v>
      </c>
      <c r="C2201" s="6">
        <v>46</v>
      </c>
      <c r="D2201" s="6">
        <f t="shared" si="37"/>
        <v>2354</v>
      </c>
      <c r="E2201" s="2" t="s">
        <v>3</v>
      </c>
      <c r="F2201"/>
      <c r="G2201"/>
      <c r="H2201"/>
      <c r="I2201"/>
      <c r="J2201" s="34"/>
      <c r="K2201" s="34"/>
      <c r="L2201" s="34"/>
      <c r="M2201" s="34"/>
      <c r="N2201" s="34"/>
      <c r="O2201" s="34"/>
      <c r="P2201" s="34"/>
      <c r="Q2201"/>
    </row>
    <row r="2202" spans="1:17" s="3" customFormat="1">
      <c r="A2202" s="6">
        <v>47</v>
      </c>
      <c r="B2202" s="6">
        <f t="shared" si="38"/>
        <v>2354</v>
      </c>
      <c r="C2202" s="6">
        <v>48</v>
      </c>
      <c r="D2202" s="6">
        <f t="shared" si="37"/>
        <v>2354</v>
      </c>
      <c r="E2202" s="2" t="s">
        <v>3</v>
      </c>
      <c r="F2202"/>
      <c r="G2202"/>
      <c r="H2202"/>
      <c r="I2202"/>
      <c r="J2202" s="34"/>
      <c r="K2202" s="34"/>
      <c r="L2202" s="34"/>
      <c r="M2202" s="34"/>
      <c r="N2202" s="34"/>
      <c r="O2202" s="34"/>
      <c r="P2202" s="34"/>
      <c r="Q2202"/>
    </row>
    <row r="2203" spans="1:17" s="3" customFormat="1">
      <c r="A2203" s="6">
        <v>49</v>
      </c>
      <c r="B2203" s="6">
        <f t="shared" si="38"/>
        <v>2354</v>
      </c>
      <c r="C2203" s="6">
        <v>50</v>
      </c>
      <c r="D2203" s="6">
        <f t="shared" si="37"/>
        <v>2354</v>
      </c>
      <c r="E2203" s="2" t="s">
        <v>3</v>
      </c>
      <c r="F2203"/>
      <c r="G2203"/>
      <c r="H2203"/>
      <c r="I2203"/>
      <c r="J2203" s="34"/>
      <c r="K2203" s="34"/>
      <c r="L2203" s="34"/>
      <c r="M2203" s="34"/>
      <c r="N2203" s="34"/>
      <c r="O2203" s="34"/>
      <c r="P2203" s="34"/>
      <c r="Q2203"/>
    </row>
    <row r="2204" spans="1:17" s="3" customFormat="1">
      <c r="A2204" s="6">
        <v>51</v>
      </c>
      <c r="B2204" s="6">
        <f t="shared" si="38"/>
        <v>2354</v>
      </c>
      <c r="C2204" s="6">
        <v>52</v>
      </c>
      <c r="D2204" s="6">
        <f t="shared" si="37"/>
        <v>2354</v>
      </c>
      <c r="E2204" s="2" t="s">
        <v>548</v>
      </c>
      <c r="F2204"/>
      <c r="G2204"/>
      <c r="H2204"/>
      <c r="I2204"/>
      <c r="J2204" s="34"/>
      <c r="K2204" s="34"/>
      <c r="L2204" s="34"/>
      <c r="M2204" s="34"/>
      <c r="N2204" s="34"/>
      <c r="O2204" s="34"/>
      <c r="P2204" s="34"/>
      <c r="Q2204"/>
    </row>
    <row r="2205" spans="1:17" s="3" customFormat="1">
      <c r="A2205" s="6">
        <v>53</v>
      </c>
      <c r="B2205" s="6">
        <f t="shared" si="38"/>
        <v>2354</v>
      </c>
      <c r="C2205" s="6">
        <v>54</v>
      </c>
      <c r="D2205" s="6">
        <f t="shared" si="37"/>
        <v>2354</v>
      </c>
      <c r="E2205" s="2" t="s">
        <v>3</v>
      </c>
      <c r="F2205"/>
      <c r="G2205"/>
      <c r="H2205"/>
      <c r="I2205"/>
      <c r="J2205" s="34"/>
      <c r="K2205" s="34"/>
      <c r="L2205" s="34"/>
      <c r="M2205" s="34"/>
      <c r="N2205" s="34"/>
      <c r="O2205" s="34"/>
      <c r="P2205" s="34"/>
      <c r="Q2205"/>
    </row>
    <row r="2206" spans="1:17" s="3" customFormat="1">
      <c r="A2206" s="6">
        <v>55</v>
      </c>
      <c r="B2206" s="6">
        <f t="shared" si="38"/>
        <v>2354</v>
      </c>
      <c r="C2206" s="6">
        <v>56</v>
      </c>
      <c r="D2206" s="6">
        <f t="shared" si="37"/>
        <v>2354</v>
      </c>
      <c r="E2206" s="2" t="s">
        <v>3</v>
      </c>
      <c r="F2206"/>
      <c r="G2206"/>
      <c r="H2206"/>
      <c r="I2206"/>
      <c r="J2206" s="34"/>
      <c r="K2206" s="34"/>
      <c r="L2206" s="34"/>
      <c r="M2206" s="34"/>
      <c r="N2206" s="34"/>
      <c r="O2206" s="34"/>
      <c r="P2206" s="34"/>
      <c r="Q2206"/>
    </row>
    <row r="2207" spans="1:17" s="3" customFormat="1">
      <c r="A2207" s="6">
        <v>57</v>
      </c>
      <c r="B2207" s="6">
        <f t="shared" si="38"/>
        <v>2354</v>
      </c>
      <c r="C2207" s="6">
        <v>58</v>
      </c>
      <c r="D2207" s="6">
        <f t="shared" si="37"/>
        <v>2354</v>
      </c>
      <c r="E2207" s="2" t="s">
        <v>3</v>
      </c>
      <c r="F2207"/>
      <c r="G2207"/>
      <c r="H2207"/>
      <c r="I2207"/>
      <c r="J2207" s="34"/>
      <c r="K2207" s="34"/>
      <c r="L2207" s="34"/>
      <c r="M2207" s="34"/>
      <c r="N2207" s="34"/>
      <c r="O2207" s="34"/>
      <c r="P2207" s="34"/>
      <c r="Q2207"/>
    </row>
    <row r="2208" spans="1:17" s="3" customFormat="1">
      <c r="A2208" s="6">
        <v>59</v>
      </c>
      <c r="B2208" s="6">
        <f t="shared" si="38"/>
        <v>2354</v>
      </c>
      <c r="C2208" s="6">
        <v>60</v>
      </c>
      <c r="D2208" s="6">
        <f t="shared" si="37"/>
        <v>2354</v>
      </c>
      <c r="E2208" s="2" t="s">
        <v>3</v>
      </c>
      <c r="F2208"/>
      <c r="G2208"/>
      <c r="H2208"/>
      <c r="I2208"/>
      <c r="J2208" s="34"/>
      <c r="K2208" s="34"/>
      <c r="L2208" s="34"/>
      <c r="M2208" s="34"/>
      <c r="N2208" s="34"/>
      <c r="O2208" s="34"/>
      <c r="P2208" s="34"/>
      <c r="Q2208"/>
    </row>
    <row r="2209" spans="1:17" s="3" customFormat="1">
      <c r="A2209" s="6">
        <v>61</v>
      </c>
      <c r="B2209" s="6">
        <f t="shared" si="38"/>
        <v>2354</v>
      </c>
      <c r="C2209" s="6">
        <v>62</v>
      </c>
      <c r="D2209" s="6">
        <f t="shared" si="37"/>
        <v>2354</v>
      </c>
      <c r="E2209" s="2" t="s">
        <v>549</v>
      </c>
      <c r="F2209"/>
      <c r="G2209"/>
      <c r="H2209"/>
      <c r="I2209"/>
      <c r="J2209" s="34"/>
      <c r="K2209" s="34"/>
      <c r="L2209" s="34"/>
      <c r="M2209" s="34"/>
      <c r="N2209" s="34"/>
      <c r="O2209" s="34"/>
      <c r="P2209" s="34"/>
      <c r="Q2209"/>
    </row>
    <row r="2210" spans="1:17" s="3" customFormat="1">
      <c r="A2210" s="6">
        <v>63</v>
      </c>
      <c r="B2210" s="6">
        <f t="shared" si="38"/>
        <v>2354</v>
      </c>
      <c r="C2210" s="6">
        <v>64</v>
      </c>
      <c r="D2210" s="6">
        <f t="shared" si="37"/>
        <v>2354</v>
      </c>
      <c r="E2210" s="2" t="s">
        <v>3</v>
      </c>
      <c r="F2210"/>
      <c r="G2210"/>
      <c r="H2210"/>
      <c r="I2210"/>
      <c r="J2210" s="34"/>
      <c r="K2210" s="34"/>
      <c r="L2210" s="34"/>
      <c r="M2210" s="34"/>
      <c r="N2210" s="34"/>
      <c r="O2210" s="34"/>
      <c r="P2210" s="34"/>
      <c r="Q2210"/>
    </row>
    <row r="2211" spans="1:17" s="3" customFormat="1">
      <c r="A2211" s="6">
        <v>65</v>
      </c>
      <c r="B2211" s="6">
        <f t="shared" si="38"/>
        <v>2354</v>
      </c>
      <c r="C2211" s="6">
        <v>66</v>
      </c>
      <c r="D2211" s="6">
        <f t="shared" si="37"/>
        <v>2354</v>
      </c>
      <c r="E2211" s="2" t="s">
        <v>3</v>
      </c>
      <c r="F2211"/>
      <c r="G2211"/>
      <c r="H2211"/>
      <c r="I2211"/>
      <c r="J2211" s="34"/>
      <c r="K2211" s="34"/>
      <c r="L2211" s="34"/>
      <c r="M2211" s="34"/>
      <c r="N2211" s="34"/>
      <c r="O2211" s="34"/>
      <c r="P2211" s="34"/>
      <c r="Q2211"/>
    </row>
    <row r="2212" spans="1:17" s="3" customFormat="1">
      <c r="A2212" s="6">
        <v>67</v>
      </c>
      <c r="B2212" s="6">
        <f t="shared" si="38"/>
        <v>2354</v>
      </c>
      <c r="C2212" s="6">
        <v>68</v>
      </c>
      <c r="D2212" s="6">
        <f t="shared" si="37"/>
        <v>2354</v>
      </c>
      <c r="E2212" s="2" t="s">
        <v>3</v>
      </c>
      <c r="F2212"/>
      <c r="G2212"/>
      <c r="H2212"/>
      <c r="I2212"/>
      <c r="J2212" s="34"/>
      <c r="K2212" s="34"/>
      <c r="L2212" s="34"/>
      <c r="M2212" s="34"/>
      <c r="N2212" s="34"/>
      <c r="O2212" s="34"/>
      <c r="P2212" s="34"/>
      <c r="Q2212"/>
    </row>
    <row r="2213" spans="1:17" s="3" customFormat="1">
      <c r="A2213" s="6">
        <v>69</v>
      </c>
      <c r="B2213" s="6">
        <f t="shared" si="38"/>
        <v>2354</v>
      </c>
      <c r="C2213" s="6">
        <v>70</v>
      </c>
      <c r="D2213" s="6">
        <f t="shared" si="37"/>
        <v>2354</v>
      </c>
      <c r="E2213" s="2" t="s">
        <v>3</v>
      </c>
      <c r="F2213"/>
      <c r="G2213"/>
      <c r="H2213"/>
      <c r="I2213"/>
      <c r="J2213" s="34"/>
      <c r="K2213" s="34"/>
      <c r="L2213" s="34"/>
      <c r="M2213" s="34"/>
      <c r="N2213" s="34"/>
      <c r="O2213" s="34"/>
      <c r="P2213" s="34"/>
      <c r="Q2213"/>
    </row>
    <row r="2214" spans="1:17" s="3" customFormat="1">
      <c r="A2214" s="6">
        <v>71</v>
      </c>
      <c r="B2214" s="6">
        <f t="shared" si="38"/>
        <v>2354</v>
      </c>
      <c r="C2214" s="6">
        <v>72</v>
      </c>
      <c r="D2214" s="6">
        <f t="shared" si="37"/>
        <v>2354</v>
      </c>
      <c r="E2214" s="2" t="s">
        <v>550</v>
      </c>
      <c r="F2214"/>
      <c r="G2214"/>
      <c r="H2214"/>
      <c r="I2214"/>
      <c r="J2214" s="34"/>
      <c r="K2214" s="34"/>
      <c r="L2214" s="34"/>
      <c r="M2214" s="34"/>
      <c r="N2214" s="34"/>
      <c r="O2214" s="34"/>
      <c r="P2214" s="34"/>
      <c r="Q2214"/>
    </row>
    <row r="2215" spans="1:17" s="3" customFormat="1">
      <c r="A2215" s="6">
        <v>73</v>
      </c>
      <c r="B2215" s="6">
        <f t="shared" si="38"/>
        <v>2354</v>
      </c>
      <c r="C2215" s="6">
        <v>74</v>
      </c>
      <c r="D2215" s="6">
        <f t="shared" si="37"/>
        <v>2354</v>
      </c>
      <c r="E2215" s="2" t="s">
        <v>3</v>
      </c>
      <c r="F2215"/>
      <c r="G2215"/>
      <c r="H2215"/>
      <c r="I2215"/>
      <c r="J2215" s="34"/>
      <c r="K2215" s="34"/>
      <c r="L2215" s="34"/>
      <c r="M2215" s="34"/>
      <c r="N2215" s="34"/>
      <c r="O2215" s="34"/>
      <c r="P2215" s="34"/>
      <c r="Q2215"/>
    </row>
    <row r="2216" spans="1:17" s="3" customFormat="1">
      <c r="A2216" s="6">
        <v>75</v>
      </c>
      <c r="B2216" s="6">
        <f>HEX2DEC(932)</f>
        <v>2354</v>
      </c>
      <c r="C2216" s="6">
        <v>76</v>
      </c>
      <c r="D2216" s="6">
        <f t="shared" si="37"/>
        <v>2354</v>
      </c>
      <c r="E2216" s="2" t="s">
        <v>3</v>
      </c>
      <c r="F2216"/>
      <c r="G2216"/>
      <c r="H2216"/>
      <c r="I2216"/>
      <c r="J2216" s="34"/>
      <c r="K2216" s="34"/>
      <c r="L2216" s="34"/>
      <c r="M2216" s="34"/>
      <c r="N2216" s="34"/>
      <c r="O2216" s="34"/>
      <c r="P2216" s="34"/>
      <c r="Q2216"/>
    </row>
    <row r="2217" spans="1:17" s="3" customFormat="1">
      <c r="A2217" s="6">
        <v>77</v>
      </c>
      <c r="B2217" s="6">
        <f t="shared" si="38"/>
        <v>2354</v>
      </c>
      <c r="C2217" s="6">
        <v>78</v>
      </c>
      <c r="D2217" s="6">
        <f t="shared" si="37"/>
        <v>2354</v>
      </c>
      <c r="E2217" s="2" t="s">
        <v>3</v>
      </c>
      <c r="F2217"/>
      <c r="G2217"/>
      <c r="H2217"/>
      <c r="I2217"/>
      <c r="J2217" s="34"/>
      <c r="K2217" s="34"/>
      <c r="L2217" s="34"/>
      <c r="M2217" s="34"/>
      <c r="N2217" s="34"/>
      <c r="O2217" s="34"/>
      <c r="P2217" s="34"/>
      <c r="Q2217"/>
    </row>
    <row r="2218" spans="1:17" s="3" customFormat="1">
      <c r="A2218" s="6">
        <v>79</v>
      </c>
      <c r="B2218" s="6">
        <f t="shared" si="38"/>
        <v>2354</v>
      </c>
      <c r="C2218" s="6">
        <v>80</v>
      </c>
      <c r="D2218" s="6">
        <f t="shared" si="37"/>
        <v>2354</v>
      </c>
      <c r="E2218" s="2" t="s">
        <v>3</v>
      </c>
      <c r="F2218"/>
      <c r="G2218"/>
      <c r="H2218"/>
      <c r="I2218"/>
      <c r="J2218" s="34"/>
      <c r="K2218" s="34"/>
      <c r="L2218" s="34"/>
      <c r="M2218" s="34"/>
      <c r="N2218" s="34"/>
      <c r="O2218" s="34"/>
      <c r="P2218" s="34"/>
      <c r="Q2218"/>
    </row>
    <row r="2219" spans="1:17" s="3" customFormat="1">
      <c r="A2219" s="6">
        <v>81</v>
      </c>
      <c r="B2219" s="6">
        <f t="shared" si="38"/>
        <v>2354</v>
      </c>
      <c r="C2219" s="6">
        <v>82</v>
      </c>
      <c r="D2219" s="6">
        <f t="shared" si="37"/>
        <v>2354</v>
      </c>
      <c r="E2219" s="2" t="s">
        <v>551</v>
      </c>
      <c r="F2219"/>
      <c r="G2219"/>
      <c r="H2219"/>
      <c r="I2219"/>
      <c r="J2219" s="34"/>
      <c r="K2219" s="34"/>
      <c r="L2219" s="34"/>
      <c r="M2219" s="34"/>
      <c r="N2219" s="34"/>
      <c r="O2219" s="34"/>
      <c r="P2219" s="34"/>
      <c r="Q2219"/>
    </row>
    <row r="2220" spans="1:17" s="3" customFormat="1">
      <c r="A2220" s="6">
        <v>83</v>
      </c>
      <c r="B2220" s="6">
        <f t="shared" si="38"/>
        <v>2354</v>
      </c>
      <c r="C2220" s="6">
        <v>84</v>
      </c>
      <c r="D2220" s="6">
        <f t="shared" si="37"/>
        <v>2354</v>
      </c>
      <c r="E2220" s="2" t="s">
        <v>3</v>
      </c>
      <c r="F2220"/>
      <c r="G2220"/>
      <c r="H2220"/>
      <c r="I2220"/>
      <c r="J2220" s="34"/>
      <c r="K2220" s="34"/>
      <c r="L2220" s="34"/>
      <c r="M2220" s="34"/>
      <c r="N2220" s="34"/>
      <c r="O2220" s="34"/>
      <c r="P2220" s="34"/>
      <c r="Q2220"/>
    </row>
    <row r="2221" spans="1:17" s="3" customFormat="1">
      <c r="A2221" s="6">
        <v>85</v>
      </c>
      <c r="B2221" s="6">
        <f t="shared" si="38"/>
        <v>2354</v>
      </c>
      <c r="C2221" s="6">
        <v>86</v>
      </c>
      <c r="D2221" s="6">
        <f t="shared" si="37"/>
        <v>2354</v>
      </c>
      <c r="E2221" s="2" t="s">
        <v>3</v>
      </c>
      <c r="F2221"/>
      <c r="G2221"/>
      <c r="H2221"/>
      <c r="I2221"/>
      <c r="J2221" s="34"/>
      <c r="K2221" s="34"/>
      <c r="L2221" s="34"/>
      <c r="M2221" s="34"/>
      <c r="N2221" s="34"/>
      <c r="O2221" s="34"/>
      <c r="P2221" s="34"/>
      <c r="Q2221"/>
    </row>
    <row r="2222" spans="1:17" s="3" customFormat="1">
      <c r="A2222" s="6">
        <v>87</v>
      </c>
      <c r="B2222" s="6">
        <f t="shared" si="38"/>
        <v>2354</v>
      </c>
      <c r="C2222" s="6">
        <v>88</v>
      </c>
      <c r="D2222" s="6">
        <f t="shared" si="37"/>
        <v>2354</v>
      </c>
      <c r="E2222" s="2" t="s">
        <v>3</v>
      </c>
      <c r="F2222"/>
      <c r="G2222"/>
      <c r="H2222"/>
      <c r="I2222"/>
      <c r="J2222" s="34"/>
      <c r="K2222" s="34"/>
      <c r="L2222" s="34"/>
      <c r="M2222" s="34"/>
      <c r="N2222" s="34"/>
      <c r="O2222" s="34"/>
      <c r="P2222" s="34"/>
      <c r="Q2222"/>
    </row>
    <row r="2223" spans="1:17" s="3" customFormat="1">
      <c r="A2223" s="6">
        <v>89</v>
      </c>
      <c r="B2223" s="6">
        <f t="shared" si="38"/>
        <v>2354</v>
      </c>
      <c r="C2223" s="6">
        <v>90</v>
      </c>
      <c r="D2223" s="6">
        <f t="shared" si="37"/>
        <v>2354</v>
      </c>
      <c r="E2223" s="2" t="s">
        <v>3</v>
      </c>
      <c r="F2223"/>
      <c r="G2223"/>
      <c r="H2223"/>
      <c r="I2223"/>
      <c r="J2223" s="34"/>
      <c r="K2223" s="34"/>
      <c r="L2223" s="34"/>
      <c r="M2223" s="34"/>
      <c r="N2223" s="34"/>
      <c r="O2223" s="34"/>
      <c r="P2223" s="34"/>
      <c r="Q2223"/>
    </row>
    <row r="2224" spans="1:17" s="3" customFormat="1">
      <c r="A2224" s="6">
        <v>91</v>
      </c>
      <c r="B2224" s="6">
        <f t="shared" si="38"/>
        <v>2354</v>
      </c>
      <c r="C2224" s="6">
        <v>92</v>
      </c>
      <c r="D2224" s="6">
        <f t="shared" si="37"/>
        <v>2354</v>
      </c>
      <c r="E2224" s="2" t="s">
        <v>552</v>
      </c>
      <c r="F2224"/>
      <c r="G2224"/>
      <c r="H2224"/>
      <c r="I2224"/>
      <c r="J2224" s="34"/>
      <c r="K2224" s="34"/>
      <c r="L2224" s="34"/>
      <c r="M2224" s="34"/>
      <c r="N2224" s="34"/>
      <c r="O2224" s="34"/>
      <c r="P2224" s="34"/>
      <c r="Q2224"/>
    </row>
    <row r="2225" spans="1:19" s="3" customFormat="1">
      <c r="A2225" s="6">
        <v>93</v>
      </c>
      <c r="B2225" s="6">
        <f t="shared" si="38"/>
        <v>2354</v>
      </c>
      <c r="C2225" s="6">
        <v>94</v>
      </c>
      <c r="D2225" s="6">
        <f t="shared" si="37"/>
        <v>2354</v>
      </c>
      <c r="E2225" s="2" t="s">
        <v>3</v>
      </c>
      <c r="F2225"/>
      <c r="G2225"/>
      <c r="H2225"/>
      <c r="I2225"/>
      <c r="J2225" s="34"/>
      <c r="K2225" s="34"/>
      <c r="L2225" s="34"/>
      <c r="M2225" s="34"/>
      <c r="N2225" s="34"/>
      <c r="O2225" s="34"/>
      <c r="P2225" s="34"/>
      <c r="Q2225"/>
    </row>
    <row r="2226" spans="1:19" s="3" customFormat="1">
      <c r="A2226" s="6">
        <v>95</v>
      </c>
      <c r="B2226" s="6">
        <f t="shared" si="38"/>
        <v>2354</v>
      </c>
      <c r="C2226" s="6">
        <v>96</v>
      </c>
      <c r="D2226" s="6">
        <f t="shared" si="37"/>
        <v>2354</v>
      </c>
      <c r="E2226" s="2" t="s">
        <v>3</v>
      </c>
      <c r="F2226"/>
      <c r="G2226"/>
      <c r="H2226"/>
      <c r="I2226"/>
      <c r="J2226" s="34"/>
      <c r="K2226" s="34"/>
      <c r="L2226" s="34"/>
      <c r="M2226" s="34"/>
      <c r="N2226" s="34"/>
      <c r="O2226" s="34"/>
      <c r="P2226" s="34"/>
      <c r="Q2226"/>
    </row>
    <row r="2227" spans="1:19" s="3" customFormat="1">
      <c r="A2227" s="6">
        <v>97</v>
      </c>
      <c r="B2227" s="6">
        <f t="shared" si="38"/>
        <v>2354</v>
      </c>
      <c r="C2227" s="6">
        <v>98</v>
      </c>
      <c r="D2227" s="6">
        <f t="shared" si="37"/>
        <v>2354</v>
      </c>
      <c r="E2227" s="2" t="s">
        <v>3</v>
      </c>
      <c r="F2227"/>
      <c r="G2227"/>
      <c r="H2227"/>
      <c r="I2227"/>
      <c r="J2227" s="34"/>
      <c r="K2227" s="34"/>
      <c r="L2227" s="34"/>
      <c r="M2227" s="34"/>
      <c r="N2227" s="34"/>
      <c r="O2227" s="34"/>
      <c r="P2227" s="34"/>
      <c r="Q2227"/>
    </row>
    <row r="2228" spans="1:19" s="3" customFormat="1">
      <c r="A2228" s="6">
        <v>99</v>
      </c>
      <c r="B2228" s="6">
        <f t="shared" si="38"/>
        <v>2354</v>
      </c>
      <c r="C2228" s="6">
        <v>100</v>
      </c>
      <c r="D2228" s="6">
        <f t="shared" si="37"/>
        <v>2354</v>
      </c>
      <c r="E2228" s="2" t="s">
        <v>3</v>
      </c>
      <c r="F2228"/>
      <c r="G2228"/>
      <c r="H2228"/>
      <c r="I2228"/>
      <c r="J2228" s="34"/>
      <c r="K2228" s="34"/>
      <c r="L2228" s="34"/>
      <c r="M2228" s="34"/>
      <c r="N2228" s="34"/>
      <c r="O2228" s="34"/>
      <c r="P2228" s="34"/>
      <c r="Q2228"/>
    </row>
    <row r="2229" spans="1:19" s="3" customFormat="1">
      <c r="A2229" s="1" t="s">
        <v>176</v>
      </c>
      <c r="B2229" s="2" t="s">
        <v>342</v>
      </c>
      <c r="C2229"/>
      <c r="E2229"/>
      <c r="F2229" t="s">
        <v>1589</v>
      </c>
      <c r="G2229"/>
      <c r="H2229"/>
      <c r="I2229"/>
      <c r="J2229" s="34"/>
      <c r="K2229" s="34"/>
      <c r="L2229" s="34"/>
      <c r="M2229" s="34"/>
      <c r="N2229" s="34"/>
      <c r="O2229" s="34"/>
      <c r="P2229" s="34"/>
      <c r="Q2229"/>
    </row>
    <row r="2230" spans="1:19" s="3" customFormat="1" ht="15">
      <c r="A2230" t="s">
        <v>553</v>
      </c>
      <c r="B2230" t="s">
        <v>554</v>
      </c>
      <c r="C2230" t="s">
        <v>554</v>
      </c>
      <c r="D2230" s="3" t="s">
        <v>1590</v>
      </c>
      <c r="E2230" s="14" t="s">
        <v>1591</v>
      </c>
      <c r="F2230" t="s">
        <v>555</v>
      </c>
      <c r="G2230"/>
      <c r="H2230"/>
      <c r="I2230"/>
      <c r="J2230" s="34"/>
      <c r="K2230" s="34"/>
      <c r="L2230" s="34"/>
      <c r="M2230" s="34"/>
      <c r="N2230" s="34"/>
      <c r="O2230" s="34"/>
      <c r="P2230" s="34"/>
      <c r="Q2230"/>
    </row>
    <row r="2231" spans="1:19" s="3" customFormat="1">
      <c r="A2231" s="6">
        <v>2125</v>
      </c>
      <c r="B2231" s="6">
        <v>775</v>
      </c>
      <c r="C2231" s="6">
        <v>774</v>
      </c>
      <c r="D2231" s="24">
        <v>0</v>
      </c>
      <c r="E2231" s="23">
        <v>99</v>
      </c>
      <c r="F2231" s="2" t="s">
        <v>556</v>
      </c>
      <c r="G2231"/>
      <c r="H2231"/>
      <c r="I2231"/>
      <c r="J2231" s="34"/>
      <c r="K2231" s="34"/>
      <c r="L2231" s="34"/>
      <c r="M2231" s="34"/>
      <c r="N2231" s="34"/>
      <c r="O2231" s="34"/>
      <c r="P2231" s="34"/>
      <c r="Q2231"/>
    </row>
    <row r="2232" spans="1:19" s="3" customFormat="1">
      <c r="A2232" s="6">
        <v>2126</v>
      </c>
      <c r="B2232" s="6">
        <v>773</v>
      </c>
      <c r="C2232" s="6">
        <v>772</v>
      </c>
      <c r="D2232" s="24">
        <v>0</v>
      </c>
      <c r="E2232" s="23">
        <v>99</v>
      </c>
      <c r="F2232" s="2" t="s">
        <v>557</v>
      </c>
      <c r="G2232"/>
      <c r="H2232"/>
      <c r="I2232"/>
      <c r="J2232" s="34"/>
      <c r="K2232" s="34"/>
      <c r="L2232" s="34"/>
      <c r="M2232" s="34"/>
      <c r="N2232" s="34"/>
      <c r="O2232" s="34"/>
      <c r="P2232" s="34"/>
      <c r="Q2232"/>
    </row>
    <row r="2233" spans="1:19" s="3" customFormat="1">
      <c r="A2233" s="6">
        <v>2127</v>
      </c>
      <c r="B2233" s="6">
        <v>771</v>
      </c>
      <c r="C2233" s="6">
        <v>770</v>
      </c>
      <c r="D2233" s="24">
        <v>0</v>
      </c>
      <c r="E2233" s="23">
        <v>99</v>
      </c>
      <c r="F2233" s="2" t="s">
        <v>558</v>
      </c>
      <c r="G2233"/>
      <c r="H2233"/>
      <c r="I2233"/>
      <c r="J2233" s="34"/>
      <c r="K2233" s="34"/>
      <c r="L2233" s="34"/>
      <c r="M2233" s="34"/>
      <c r="N2233" s="34"/>
      <c r="O2233" s="34"/>
      <c r="P2233" s="34"/>
      <c r="Q2233"/>
    </row>
    <row r="2234" spans="1:19" s="3" customFormat="1">
      <c r="A2234" s="6">
        <v>2128</v>
      </c>
      <c r="B2234" s="6">
        <v>769</v>
      </c>
      <c r="C2234" s="6">
        <v>768</v>
      </c>
      <c r="D2234" s="24">
        <v>0</v>
      </c>
      <c r="E2234" s="23">
        <v>99</v>
      </c>
      <c r="F2234" s="2" t="s">
        <v>559</v>
      </c>
      <c r="G2234"/>
      <c r="H2234"/>
      <c r="I2234"/>
      <c r="J2234" s="34"/>
      <c r="K2234" s="34"/>
      <c r="L2234" s="34"/>
      <c r="M2234" s="34"/>
      <c r="N2234" s="34"/>
      <c r="O2234" s="34"/>
      <c r="P2234" s="34"/>
      <c r="Q2234"/>
    </row>
    <row r="2235" spans="1:19" s="3" customFormat="1">
      <c r="A2235" s="6">
        <v>2129</v>
      </c>
      <c r="B2235" s="6">
        <v>783</v>
      </c>
      <c r="C2235" s="6">
        <v>782</v>
      </c>
      <c r="D2235" s="24">
        <v>0</v>
      </c>
      <c r="E2235" s="23">
        <v>99</v>
      </c>
      <c r="F2235" s="2" t="s">
        <v>560</v>
      </c>
      <c r="G2235"/>
      <c r="H2235"/>
      <c r="I2235"/>
      <c r="J2235" s="34"/>
      <c r="K2235" s="34"/>
      <c r="L2235" s="34"/>
      <c r="M2235" s="34"/>
      <c r="N2235" s="34"/>
      <c r="O2235" s="34"/>
      <c r="P2235" s="34"/>
      <c r="Q2235"/>
    </row>
    <row r="2236" spans="1:19" s="3" customFormat="1">
      <c r="A2236" s="6">
        <v>2130</v>
      </c>
      <c r="B2236" s="6">
        <v>781</v>
      </c>
      <c r="C2236" s="6">
        <v>780</v>
      </c>
      <c r="D2236" s="24">
        <v>0</v>
      </c>
      <c r="E2236" s="23">
        <v>99</v>
      </c>
      <c r="F2236" s="2" t="s">
        <v>561</v>
      </c>
      <c r="G2236"/>
      <c r="H2236"/>
      <c r="I2236"/>
      <c r="J2236" s="34"/>
      <c r="K2236" s="34"/>
      <c r="L2236" s="34"/>
      <c r="M2236" s="34"/>
      <c r="N2236" s="34"/>
      <c r="O2236" s="34"/>
      <c r="P2236" s="34"/>
      <c r="Q2236"/>
    </row>
    <row r="2237" spans="1:19" s="3" customFormat="1">
      <c r="A2237" s="6">
        <v>2131</v>
      </c>
      <c r="B2237" s="6">
        <v>779</v>
      </c>
      <c r="C2237" s="6">
        <v>778</v>
      </c>
      <c r="D2237" s="24">
        <v>0</v>
      </c>
      <c r="E2237" s="23">
        <v>99</v>
      </c>
      <c r="F2237" s="2" t="s">
        <v>562</v>
      </c>
      <c r="G2237"/>
      <c r="H2237"/>
      <c r="I2237"/>
      <c r="J2237" s="34"/>
      <c r="K2237" s="34"/>
      <c r="L2237" s="34"/>
      <c r="M2237" s="34"/>
      <c r="N2237" s="34"/>
      <c r="O2237" s="34"/>
      <c r="P2237" s="34"/>
      <c r="Q2237"/>
    </row>
    <row r="2238" spans="1:19" s="3" customFormat="1">
      <c r="A2238" s="6">
        <v>2132</v>
      </c>
      <c r="B2238" s="6">
        <v>777</v>
      </c>
      <c r="C2238" s="6">
        <v>776</v>
      </c>
      <c r="D2238" s="24">
        <v>0</v>
      </c>
      <c r="E2238" s="23">
        <v>99</v>
      </c>
      <c r="F2238" s="2" t="s">
        <v>563</v>
      </c>
      <c r="G2238"/>
      <c r="H2238"/>
      <c r="I2238"/>
      <c r="J2238" s="34"/>
      <c r="K2238" s="34"/>
      <c r="L2238" s="34"/>
      <c r="M2238" s="34"/>
      <c r="N2238" s="34"/>
      <c r="O2238" s="34"/>
      <c r="P2238" s="34"/>
      <c r="Q2238"/>
    </row>
    <row r="2239" spans="1:19" s="3" customFormat="1">
      <c r="A2239" s="6">
        <v>2133</v>
      </c>
      <c r="B2239" s="6">
        <v>791</v>
      </c>
      <c r="C2239" s="6">
        <v>790</v>
      </c>
      <c r="D2239" s="24">
        <v>0</v>
      </c>
      <c r="E2239" s="23">
        <v>99</v>
      </c>
      <c r="F2239" s="2" t="s">
        <v>564</v>
      </c>
      <c r="G2239"/>
      <c r="H2239"/>
      <c r="I2239"/>
      <c r="J2239" s="34"/>
      <c r="K2239" s="34"/>
      <c r="L2239" s="34"/>
      <c r="M2239" s="34"/>
      <c r="N2239" s="34"/>
      <c r="O2239" s="34"/>
      <c r="P2239" s="34"/>
      <c r="Q2239"/>
    </row>
    <row r="2240" spans="1:19">
      <c r="A2240" s="6">
        <v>2134</v>
      </c>
      <c r="B2240" s="6">
        <v>789</v>
      </c>
      <c r="C2240" s="6">
        <v>788</v>
      </c>
      <c r="D2240" s="24">
        <v>0</v>
      </c>
      <c r="E2240" s="23">
        <v>99</v>
      </c>
      <c r="F2240" s="2" t="s">
        <v>565</v>
      </c>
      <c r="J2240" s="34"/>
      <c r="K2240" s="34"/>
      <c r="L2240" s="34"/>
      <c r="M2240" s="34"/>
      <c r="N2240" s="34"/>
      <c r="O2240" s="34"/>
      <c r="P2240" s="34"/>
      <c r="R2240" s="3"/>
      <c r="S2240" s="3"/>
    </row>
    <row r="2241" spans="1:17" s="3" customFormat="1">
      <c r="A2241" s="6">
        <v>2135</v>
      </c>
      <c r="B2241" s="6">
        <v>787</v>
      </c>
      <c r="C2241" s="6">
        <v>786</v>
      </c>
      <c r="D2241" s="24">
        <v>0</v>
      </c>
      <c r="E2241" s="23">
        <v>99</v>
      </c>
      <c r="F2241" s="2" t="s">
        <v>566</v>
      </c>
      <c r="G2241"/>
      <c r="H2241"/>
      <c r="I2241"/>
      <c r="J2241" s="34"/>
      <c r="K2241" s="34"/>
      <c r="L2241" s="34"/>
      <c r="M2241" s="34"/>
      <c r="N2241" s="34"/>
      <c r="O2241" s="34"/>
      <c r="P2241" s="34"/>
      <c r="Q2241"/>
    </row>
    <row r="2242" spans="1:17" s="3" customFormat="1">
      <c r="A2242" s="6">
        <v>2136</v>
      </c>
      <c r="B2242" s="6">
        <v>785</v>
      </c>
      <c r="C2242" s="6">
        <v>784</v>
      </c>
      <c r="D2242" s="24">
        <v>0</v>
      </c>
      <c r="E2242" s="23">
        <v>99</v>
      </c>
      <c r="F2242" s="2" t="s">
        <v>567</v>
      </c>
      <c r="G2242"/>
      <c r="H2242"/>
      <c r="I2242"/>
      <c r="J2242" s="34"/>
      <c r="K2242" s="34"/>
      <c r="L2242" s="34"/>
      <c r="M2242" s="34"/>
      <c r="N2242" s="34"/>
      <c r="O2242" s="34"/>
      <c r="P2242" s="34"/>
      <c r="Q2242"/>
    </row>
    <row r="2243" spans="1:17" s="3" customFormat="1">
      <c r="A2243" s="6">
        <v>2137</v>
      </c>
      <c r="B2243" s="6">
        <v>799</v>
      </c>
      <c r="C2243" s="6">
        <v>798</v>
      </c>
      <c r="D2243" s="24">
        <v>0</v>
      </c>
      <c r="E2243" s="23">
        <v>99</v>
      </c>
      <c r="F2243" s="2" t="s">
        <v>568</v>
      </c>
      <c r="G2243"/>
      <c r="H2243"/>
      <c r="I2243"/>
      <c r="J2243" s="34"/>
      <c r="K2243" s="34"/>
      <c r="L2243" s="34"/>
      <c r="M2243" s="34"/>
      <c r="N2243" s="34"/>
      <c r="O2243" s="34"/>
      <c r="P2243" s="34"/>
      <c r="Q2243"/>
    </row>
    <row r="2244" spans="1:17" s="3" customFormat="1">
      <c r="A2244" s="6">
        <v>2138</v>
      </c>
      <c r="B2244" s="6">
        <v>797</v>
      </c>
      <c r="C2244" s="6">
        <v>796</v>
      </c>
      <c r="D2244" s="24">
        <v>0</v>
      </c>
      <c r="E2244" s="23">
        <v>99</v>
      </c>
      <c r="F2244" s="2" t="s">
        <v>569</v>
      </c>
      <c r="G2244"/>
      <c r="H2244"/>
      <c r="I2244"/>
      <c r="J2244" s="34"/>
      <c r="K2244" s="34"/>
      <c r="L2244" s="34"/>
      <c r="M2244" s="34"/>
      <c r="N2244" s="34"/>
      <c r="O2244" s="34"/>
      <c r="P2244" s="34"/>
      <c r="Q2244"/>
    </row>
    <row r="2245" spans="1:17" s="3" customFormat="1">
      <c r="A2245" s="6">
        <v>2139</v>
      </c>
      <c r="B2245" s="6">
        <v>795</v>
      </c>
      <c r="C2245" s="6">
        <v>794</v>
      </c>
      <c r="D2245" s="24">
        <v>0</v>
      </c>
      <c r="E2245" s="23">
        <v>99</v>
      </c>
      <c r="F2245" s="2" t="s">
        <v>570</v>
      </c>
      <c r="G2245"/>
      <c r="H2245"/>
      <c r="I2245"/>
      <c r="J2245" s="34"/>
      <c r="K2245" s="34"/>
      <c r="L2245" s="34"/>
      <c r="M2245" s="34"/>
      <c r="N2245" s="34"/>
      <c r="O2245" s="34"/>
      <c r="P2245" s="34"/>
      <c r="Q2245"/>
    </row>
    <row r="2246" spans="1:17" s="3" customFormat="1">
      <c r="A2246" s="6">
        <v>2140</v>
      </c>
      <c r="B2246" s="6">
        <v>793</v>
      </c>
      <c r="C2246" s="6">
        <v>792</v>
      </c>
      <c r="D2246" s="24">
        <v>0</v>
      </c>
      <c r="E2246" s="23">
        <v>99</v>
      </c>
      <c r="F2246" s="2" t="s">
        <v>571</v>
      </c>
      <c r="G2246"/>
      <c r="H2246"/>
      <c r="I2246"/>
      <c r="J2246" s="34"/>
      <c r="K2246" s="34"/>
      <c r="L2246" s="34"/>
      <c r="M2246" s="34"/>
      <c r="N2246" s="34"/>
      <c r="O2246" s="34"/>
      <c r="P2246" s="34"/>
      <c r="Q2246"/>
    </row>
    <row r="2247" spans="1:17" s="3" customFormat="1">
      <c r="A2247" s="6">
        <v>2141</v>
      </c>
      <c r="B2247" s="6">
        <v>807</v>
      </c>
      <c r="C2247" s="6">
        <v>806</v>
      </c>
      <c r="D2247" s="24">
        <v>0</v>
      </c>
      <c r="E2247" s="23">
        <v>99</v>
      </c>
      <c r="F2247" s="2" t="s">
        <v>572</v>
      </c>
      <c r="G2247"/>
      <c r="H2247"/>
      <c r="I2247"/>
      <c r="J2247" s="34"/>
      <c r="K2247" s="34"/>
      <c r="L2247" s="34"/>
      <c r="M2247" s="34"/>
      <c r="N2247" s="34"/>
      <c r="O2247" s="34"/>
      <c r="P2247" s="34"/>
      <c r="Q2247"/>
    </row>
    <row r="2248" spans="1:17" s="3" customFormat="1">
      <c r="A2248" s="6">
        <v>2142</v>
      </c>
      <c r="B2248" s="6">
        <v>805</v>
      </c>
      <c r="C2248" s="6">
        <v>804</v>
      </c>
      <c r="D2248" s="24">
        <v>0</v>
      </c>
      <c r="E2248" s="23">
        <v>99</v>
      </c>
      <c r="F2248" s="2" t="s">
        <v>573</v>
      </c>
      <c r="G2248"/>
      <c r="H2248"/>
      <c r="I2248"/>
      <c r="J2248" s="34"/>
      <c r="K2248" s="34"/>
      <c r="L2248" s="34"/>
      <c r="M2248" s="34"/>
      <c r="N2248" s="34"/>
      <c r="O2248" s="34"/>
      <c r="P2248" s="34"/>
      <c r="Q2248"/>
    </row>
    <row r="2249" spans="1:17" s="3" customFormat="1">
      <c r="A2249" s="6">
        <v>2143</v>
      </c>
      <c r="B2249" s="6">
        <v>803</v>
      </c>
      <c r="C2249" s="6">
        <v>802</v>
      </c>
      <c r="D2249" s="24">
        <v>0</v>
      </c>
      <c r="E2249" s="23">
        <v>99</v>
      </c>
      <c r="F2249" s="2" t="s">
        <v>574</v>
      </c>
      <c r="G2249"/>
      <c r="H2249"/>
      <c r="I2249"/>
      <c r="J2249" s="34"/>
      <c r="K2249" s="34"/>
      <c r="L2249" s="34"/>
      <c r="M2249" s="34"/>
      <c r="N2249" s="34"/>
      <c r="O2249" s="34"/>
      <c r="P2249" s="34"/>
      <c r="Q2249"/>
    </row>
    <row r="2250" spans="1:17" s="3" customFormat="1">
      <c r="A2250" s="6">
        <v>2144</v>
      </c>
      <c r="B2250" s="6">
        <v>801</v>
      </c>
      <c r="C2250" s="6">
        <v>800</v>
      </c>
      <c r="D2250" s="24">
        <v>0</v>
      </c>
      <c r="E2250" s="23">
        <v>99</v>
      </c>
      <c r="F2250" s="2" t="s">
        <v>575</v>
      </c>
      <c r="G2250"/>
      <c r="H2250"/>
      <c r="I2250"/>
      <c r="J2250" s="34"/>
      <c r="K2250" s="34"/>
      <c r="L2250" s="34"/>
      <c r="M2250" s="34"/>
      <c r="N2250" s="34"/>
      <c r="O2250" s="34"/>
      <c r="P2250" s="34"/>
      <c r="Q2250"/>
    </row>
    <row r="2251" spans="1:17" s="3" customFormat="1">
      <c r="A2251" s="6">
        <v>2145</v>
      </c>
      <c r="B2251" s="6">
        <v>815</v>
      </c>
      <c r="C2251" s="6">
        <v>814</v>
      </c>
      <c r="D2251" s="24">
        <v>0</v>
      </c>
      <c r="E2251" s="23">
        <v>99</v>
      </c>
      <c r="F2251" s="2" t="s">
        <v>576</v>
      </c>
      <c r="G2251"/>
      <c r="H2251"/>
      <c r="I2251"/>
      <c r="J2251" s="34"/>
      <c r="K2251" s="34"/>
      <c r="L2251" s="34"/>
      <c r="M2251" s="34"/>
      <c r="N2251" s="34"/>
      <c r="O2251" s="34"/>
      <c r="P2251" s="34"/>
      <c r="Q2251"/>
    </row>
    <row r="2252" spans="1:17" s="3" customFormat="1">
      <c r="A2252" s="6">
        <v>2146</v>
      </c>
      <c r="B2252" s="6">
        <v>813</v>
      </c>
      <c r="C2252" s="6">
        <v>812</v>
      </c>
      <c r="D2252" s="24">
        <v>0</v>
      </c>
      <c r="E2252" s="23">
        <v>99</v>
      </c>
      <c r="F2252" s="2" t="s">
        <v>577</v>
      </c>
      <c r="G2252"/>
      <c r="H2252"/>
      <c r="I2252"/>
      <c r="J2252" s="34"/>
      <c r="K2252" s="34"/>
      <c r="L2252" s="34"/>
      <c r="M2252" s="34"/>
      <c r="N2252" s="34"/>
      <c r="O2252" s="34"/>
      <c r="P2252" s="34"/>
      <c r="Q2252"/>
    </row>
    <row r="2253" spans="1:17" s="3" customFormat="1">
      <c r="A2253" s="6">
        <v>2147</v>
      </c>
      <c r="B2253" s="6">
        <v>811</v>
      </c>
      <c r="C2253" s="6">
        <v>810</v>
      </c>
      <c r="D2253" s="24">
        <v>0</v>
      </c>
      <c r="E2253" s="23">
        <v>99</v>
      </c>
      <c r="F2253" s="2" t="s">
        <v>578</v>
      </c>
      <c r="G2253"/>
      <c r="H2253"/>
      <c r="I2253"/>
      <c r="J2253" s="34"/>
      <c r="K2253" s="34"/>
      <c r="L2253" s="34"/>
      <c r="M2253" s="34"/>
      <c r="N2253" s="34"/>
      <c r="O2253" s="34"/>
      <c r="P2253" s="34"/>
      <c r="Q2253"/>
    </row>
    <row r="2254" spans="1:17" s="3" customFormat="1">
      <c r="A2254" s="6">
        <v>2148</v>
      </c>
      <c r="B2254" s="6">
        <v>809</v>
      </c>
      <c r="C2254" s="6">
        <v>808</v>
      </c>
      <c r="D2254" s="24">
        <v>0</v>
      </c>
      <c r="E2254" s="23">
        <v>99</v>
      </c>
      <c r="F2254" s="2" t="s">
        <v>579</v>
      </c>
      <c r="G2254"/>
      <c r="H2254"/>
      <c r="I2254"/>
      <c r="J2254" s="34"/>
      <c r="K2254" s="34"/>
      <c r="L2254" s="34"/>
      <c r="M2254" s="34"/>
      <c r="N2254" s="34"/>
      <c r="O2254" s="34"/>
      <c r="P2254" s="34"/>
      <c r="Q2254"/>
    </row>
    <row r="2255" spans="1:17" s="3" customFormat="1">
      <c r="A2255" s="6">
        <v>2149</v>
      </c>
      <c r="B2255" s="6">
        <v>823</v>
      </c>
      <c r="C2255" s="6">
        <v>822</v>
      </c>
      <c r="D2255" s="24">
        <v>0</v>
      </c>
      <c r="E2255" s="23">
        <v>99</v>
      </c>
      <c r="F2255" s="2" t="s">
        <v>580</v>
      </c>
      <c r="G2255"/>
      <c r="H2255"/>
      <c r="I2255"/>
      <c r="J2255" s="34"/>
      <c r="K2255" s="34"/>
      <c r="L2255" s="34"/>
      <c r="M2255" s="34"/>
      <c r="N2255" s="34"/>
      <c r="O2255" s="34"/>
      <c r="P2255" s="34"/>
      <c r="Q2255"/>
    </row>
    <row r="2256" spans="1:17" s="3" customFormat="1">
      <c r="A2256" s="6">
        <v>2150</v>
      </c>
      <c r="B2256" s="6">
        <v>821</v>
      </c>
      <c r="C2256" s="6">
        <v>820</v>
      </c>
      <c r="D2256" s="24">
        <v>0</v>
      </c>
      <c r="E2256" s="23">
        <v>99</v>
      </c>
      <c r="F2256" s="2" t="s">
        <v>581</v>
      </c>
      <c r="G2256"/>
      <c r="H2256"/>
      <c r="I2256"/>
      <c r="J2256" s="34"/>
      <c r="K2256" s="34"/>
      <c r="L2256" s="34"/>
      <c r="M2256" s="34"/>
      <c r="N2256" s="34"/>
      <c r="O2256" s="34"/>
      <c r="P2256" s="34"/>
      <c r="Q2256"/>
    </row>
    <row r="2257" spans="1:19">
      <c r="A2257" s="6">
        <v>2151</v>
      </c>
      <c r="B2257" s="6">
        <v>819</v>
      </c>
      <c r="C2257" s="6">
        <v>818</v>
      </c>
      <c r="D2257" s="24">
        <v>0</v>
      </c>
      <c r="E2257" s="23">
        <v>99</v>
      </c>
      <c r="F2257" s="2" t="s">
        <v>582</v>
      </c>
      <c r="J2257" s="34"/>
      <c r="K2257" s="34"/>
      <c r="L2257" s="34"/>
      <c r="M2257" s="34"/>
      <c r="N2257" s="34"/>
      <c r="O2257" s="34"/>
      <c r="P2257" s="34"/>
      <c r="R2257" s="3"/>
      <c r="S2257" s="3"/>
    </row>
    <row r="2258" spans="1:19">
      <c r="A2258" s="6">
        <v>2152</v>
      </c>
      <c r="B2258" s="6">
        <v>817</v>
      </c>
      <c r="C2258" s="6">
        <v>816</v>
      </c>
      <c r="D2258" s="24">
        <v>0</v>
      </c>
      <c r="E2258" s="23">
        <v>99</v>
      </c>
      <c r="F2258" s="2" t="s">
        <v>583</v>
      </c>
      <c r="J2258" s="34"/>
      <c r="K2258" s="34"/>
      <c r="L2258" s="34"/>
      <c r="M2258" s="34"/>
      <c r="N2258" s="34"/>
      <c r="O2258" s="34"/>
      <c r="P2258" s="34"/>
      <c r="R2258" s="3"/>
      <c r="S2258" s="3"/>
    </row>
    <row r="2259" spans="1:19">
      <c r="A2259" s="6">
        <v>2153</v>
      </c>
      <c r="B2259" s="6">
        <v>831</v>
      </c>
      <c r="C2259" s="6">
        <v>830</v>
      </c>
      <c r="D2259" s="24">
        <v>0</v>
      </c>
      <c r="E2259" s="23">
        <v>99</v>
      </c>
      <c r="F2259" s="2" t="s">
        <v>584</v>
      </c>
      <c r="J2259" s="34"/>
      <c r="K2259" s="34"/>
      <c r="L2259" s="34"/>
      <c r="M2259" s="34"/>
      <c r="N2259" s="34"/>
      <c r="O2259" s="34"/>
      <c r="P2259" s="34"/>
      <c r="R2259" s="3"/>
      <c r="S2259" s="3"/>
    </row>
    <row r="2260" spans="1:19">
      <c r="A2260" s="6">
        <v>2154</v>
      </c>
      <c r="B2260" s="6">
        <v>829</v>
      </c>
      <c r="C2260" s="6">
        <v>828</v>
      </c>
      <c r="D2260" s="24">
        <v>0</v>
      </c>
      <c r="E2260" s="23">
        <v>99</v>
      </c>
      <c r="F2260" s="2" t="s">
        <v>585</v>
      </c>
      <c r="J2260" s="34"/>
      <c r="K2260" s="34"/>
      <c r="L2260" s="34"/>
      <c r="M2260" s="34"/>
      <c r="N2260" s="34"/>
      <c r="O2260" s="34"/>
      <c r="P2260" s="34"/>
      <c r="R2260" s="3"/>
      <c r="S2260" s="3"/>
    </row>
    <row r="2261" spans="1:19">
      <c r="A2261" s="6">
        <v>2155</v>
      </c>
      <c r="B2261" s="6">
        <v>827</v>
      </c>
      <c r="C2261" s="6">
        <v>826</v>
      </c>
      <c r="D2261" s="24">
        <v>0</v>
      </c>
      <c r="E2261" s="23">
        <v>99</v>
      </c>
      <c r="F2261" s="2" t="s">
        <v>586</v>
      </c>
      <c r="J2261" s="34"/>
      <c r="K2261" s="34"/>
      <c r="L2261" s="34"/>
      <c r="M2261" s="34"/>
      <c r="N2261" s="34"/>
      <c r="O2261" s="34"/>
      <c r="P2261" s="34"/>
      <c r="R2261" s="3"/>
      <c r="S2261" s="3"/>
    </row>
    <row r="2262" spans="1:19">
      <c r="A2262" s="6">
        <v>2156</v>
      </c>
      <c r="B2262" s="6">
        <v>825</v>
      </c>
      <c r="C2262" s="6">
        <v>824</v>
      </c>
      <c r="D2262" s="24">
        <v>0</v>
      </c>
      <c r="E2262" s="23">
        <v>99</v>
      </c>
      <c r="F2262" s="2" t="s">
        <v>587</v>
      </c>
      <c r="J2262" s="34"/>
      <c r="K2262" s="34"/>
      <c r="L2262" s="34"/>
      <c r="M2262" s="34"/>
      <c r="N2262" s="34"/>
      <c r="O2262" s="34"/>
      <c r="P2262" s="34"/>
      <c r="R2262" s="3"/>
      <c r="S2262" s="3"/>
    </row>
    <row r="2263" spans="1:19">
      <c r="A2263" s="6">
        <v>2157</v>
      </c>
      <c r="B2263" s="6">
        <v>839</v>
      </c>
      <c r="C2263" s="6">
        <v>838</v>
      </c>
      <c r="D2263" s="24">
        <v>0</v>
      </c>
      <c r="E2263" s="23">
        <v>99</v>
      </c>
      <c r="F2263" s="2" t="s">
        <v>588</v>
      </c>
      <c r="J2263" s="34"/>
      <c r="K2263" s="34"/>
      <c r="L2263" s="34"/>
      <c r="M2263" s="34"/>
      <c r="N2263" s="34"/>
      <c r="O2263" s="34"/>
      <c r="P2263" s="34"/>
      <c r="R2263" s="3"/>
      <c r="S2263" s="3"/>
    </row>
    <row r="2264" spans="1:19">
      <c r="A2264" s="6">
        <v>2158</v>
      </c>
      <c r="B2264" s="6">
        <v>837</v>
      </c>
      <c r="C2264" s="6">
        <v>836</v>
      </c>
      <c r="D2264" s="24">
        <v>0</v>
      </c>
      <c r="E2264" s="23">
        <v>99</v>
      </c>
      <c r="F2264" s="2" t="s">
        <v>589</v>
      </c>
      <c r="J2264" s="34"/>
      <c r="K2264" s="34"/>
      <c r="L2264" s="34"/>
      <c r="M2264" s="34"/>
      <c r="N2264" s="34"/>
      <c r="O2264" s="34"/>
      <c r="P2264" s="34"/>
      <c r="R2264" s="3"/>
      <c r="S2264" s="3"/>
    </row>
    <row r="2265" spans="1:19">
      <c r="A2265" s="6">
        <v>2159</v>
      </c>
      <c r="B2265" s="6">
        <v>835</v>
      </c>
      <c r="C2265" s="6">
        <v>834</v>
      </c>
      <c r="D2265" s="24">
        <v>0</v>
      </c>
      <c r="E2265" s="23">
        <v>99</v>
      </c>
      <c r="F2265" s="2" t="s">
        <v>590</v>
      </c>
      <c r="J2265" s="34"/>
      <c r="K2265" s="34"/>
      <c r="L2265" s="34"/>
      <c r="M2265" s="34"/>
      <c r="N2265" s="34"/>
      <c r="O2265" s="34"/>
      <c r="P2265" s="34"/>
      <c r="R2265" s="3"/>
      <c r="S2265" s="3"/>
    </row>
    <row r="2266" spans="1:19">
      <c r="A2266" s="6">
        <v>2160</v>
      </c>
      <c r="B2266" s="6">
        <v>833</v>
      </c>
      <c r="C2266" s="6">
        <v>832</v>
      </c>
      <c r="D2266" s="24">
        <v>0</v>
      </c>
      <c r="E2266" s="23">
        <v>99</v>
      </c>
      <c r="F2266" s="2" t="s">
        <v>591</v>
      </c>
      <c r="J2266" s="34"/>
      <c r="K2266" s="34"/>
      <c r="L2266" s="34"/>
      <c r="M2266" s="34"/>
      <c r="N2266" s="34"/>
      <c r="O2266" s="34"/>
      <c r="P2266" s="34"/>
      <c r="R2266" s="3"/>
      <c r="S2266" s="3"/>
    </row>
    <row r="2267" spans="1:19">
      <c r="A2267" s="6">
        <v>2161</v>
      </c>
      <c r="B2267" s="6">
        <v>847</v>
      </c>
      <c r="C2267" s="6">
        <v>846</v>
      </c>
      <c r="D2267" s="24">
        <v>0</v>
      </c>
      <c r="E2267" s="23">
        <v>99</v>
      </c>
      <c r="F2267" s="2" t="s">
        <v>592</v>
      </c>
      <c r="J2267" s="34"/>
      <c r="K2267" s="34"/>
      <c r="L2267" s="34"/>
      <c r="M2267" s="34"/>
      <c r="N2267" s="34"/>
      <c r="O2267" s="34"/>
      <c r="P2267" s="34"/>
      <c r="R2267" s="3"/>
      <c r="S2267" s="3"/>
    </row>
    <row r="2268" spans="1:19">
      <c r="A2268" s="6">
        <v>2162</v>
      </c>
      <c r="B2268" s="6">
        <v>845</v>
      </c>
      <c r="C2268" s="6">
        <v>844</v>
      </c>
      <c r="D2268" s="24">
        <v>0</v>
      </c>
      <c r="E2268" s="23">
        <v>99</v>
      </c>
      <c r="F2268" s="2" t="s">
        <v>593</v>
      </c>
      <c r="J2268" s="34"/>
      <c r="K2268" s="34"/>
      <c r="L2268" s="34"/>
      <c r="M2268" s="34"/>
      <c r="N2268" s="34"/>
      <c r="O2268" s="34"/>
      <c r="P2268" s="34"/>
      <c r="R2268" s="3"/>
      <c r="S2268" s="3"/>
    </row>
    <row r="2269" spans="1:19">
      <c r="A2269" s="6">
        <v>2163</v>
      </c>
      <c r="B2269" s="6">
        <v>843</v>
      </c>
      <c r="C2269" s="6">
        <v>842</v>
      </c>
      <c r="D2269" s="24">
        <v>0</v>
      </c>
      <c r="E2269" s="23">
        <v>99</v>
      </c>
      <c r="F2269" s="2" t="s">
        <v>594</v>
      </c>
      <c r="J2269" s="34"/>
      <c r="K2269" s="34"/>
      <c r="L2269" s="34"/>
      <c r="M2269" s="34"/>
      <c r="N2269" s="34"/>
      <c r="O2269" s="34"/>
      <c r="P2269" s="34"/>
      <c r="R2269" s="3"/>
      <c r="S2269" s="3"/>
    </row>
    <row r="2270" spans="1:19">
      <c r="A2270" s="6">
        <v>2164</v>
      </c>
      <c r="B2270" s="6">
        <v>841</v>
      </c>
      <c r="C2270" s="6">
        <v>840</v>
      </c>
      <c r="D2270" s="24">
        <v>0</v>
      </c>
      <c r="E2270" s="23">
        <v>99</v>
      </c>
      <c r="F2270" s="2" t="s">
        <v>595</v>
      </c>
      <c r="J2270" s="34"/>
      <c r="K2270" s="34"/>
      <c r="L2270" s="34"/>
      <c r="M2270" s="34"/>
      <c r="N2270" s="34"/>
      <c r="O2270" s="34"/>
      <c r="P2270" s="34"/>
      <c r="R2270" s="3"/>
      <c r="S2270" s="3"/>
    </row>
    <row r="2271" spans="1:19">
      <c r="A2271" s="6">
        <v>2165</v>
      </c>
      <c r="B2271" s="6">
        <v>855</v>
      </c>
      <c r="C2271" s="6">
        <v>854</v>
      </c>
      <c r="D2271" s="24">
        <v>0</v>
      </c>
      <c r="E2271" s="23">
        <v>99</v>
      </c>
      <c r="F2271" s="2" t="s">
        <v>596</v>
      </c>
      <c r="J2271" s="34"/>
      <c r="K2271" s="34"/>
      <c r="L2271" s="34"/>
      <c r="M2271" s="34"/>
      <c r="N2271" s="34"/>
      <c r="O2271" s="34"/>
      <c r="P2271" s="34"/>
      <c r="R2271" s="3"/>
      <c r="S2271" s="3"/>
    </row>
    <row r="2272" spans="1:19">
      <c r="A2272" s="6">
        <v>2166</v>
      </c>
      <c r="B2272" s="6">
        <v>853</v>
      </c>
      <c r="C2272" s="6">
        <v>852</v>
      </c>
      <c r="D2272" s="24">
        <v>0</v>
      </c>
      <c r="E2272" s="23">
        <v>99</v>
      </c>
      <c r="F2272" s="2" t="s">
        <v>597</v>
      </c>
      <c r="J2272" s="34"/>
      <c r="K2272" s="34"/>
      <c r="L2272" s="34"/>
      <c r="M2272" s="34"/>
      <c r="N2272" s="34"/>
      <c r="O2272" s="34"/>
      <c r="P2272" s="34"/>
      <c r="R2272" s="3"/>
      <c r="S2272" s="3"/>
    </row>
    <row r="2273" spans="1:19">
      <c r="A2273" s="6">
        <v>2167</v>
      </c>
      <c r="B2273" s="6">
        <v>851</v>
      </c>
      <c r="C2273" s="6">
        <v>850</v>
      </c>
      <c r="D2273" s="24">
        <v>0</v>
      </c>
      <c r="E2273" s="23">
        <v>99</v>
      </c>
      <c r="F2273" s="2" t="s">
        <v>598</v>
      </c>
      <c r="J2273" s="34"/>
      <c r="K2273" s="34"/>
      <c r="L2273" s="34"/>
      <c r="M2273" s="34"/>
      <c r="N2273" s="34"/>
      <c r="O2273" s="34"/>
      <c r="P2273" s="34"/>
      <c r="R2273" s="3"/>
      <c r="S2273" s="3"/>
    </row>
    <row r="2274" spans="1:19">
      <c r="A2274" s="6">
        <v>2168</v>
      </c>
      <c r="B2274" s="6">
        <v>849</v>
      </c>
      <c r="C2274" s="6">
        <v>848</v>
      </c>
      <c r="D2274" s="24">
        <v>0</v>
      </c>
      <c r="E2274" s="23">
        <v>99</v>
      </c>
      <c r="F2274" s="2" t="s">
        <v>599</v>
      </c>
      <c r="J2274" s="34"/>
      <c r="K2274" s="34"/>
      <c r="L2274" s="34"/>
      <c r="M2274" s="34"/>
      <c r="N2274" s="34"/>
      <c r="O2274" s="34"/>
      <c r="P2274" s="34"/>
      <c r="R2274" s="3"/>
      <c r="S2274" s="3"/>
    </row>
    <row r="2275" spans="1:19">
      <c r="A2275" s="6">
        <v>2169</v>
      </c>
      <c r="B2275" s="6">
        <v>863</v>
      </c>
      <c r="C2275" s="6">
        <v>862</v>
      </c>
      <c r="D2275" s="24">
        <v>0</v>
      </c>
      <c r="E2275" s="23">
        <v>99</v>
      </c>
      <c r="F2275" s="2" t="s">
        <v>600</v>
      </c>
      <c r="J2275" s="34"/>
      <c r="K2275" s="34"/>
      <c r="L2275" s="34"/>
      <c r="M2275" s="34"/>
      <c r="N2275" s="34"/>
      <c r="O2275" s="34"/>
      <c r="P2275" s="34"/>
      <c r="R2275" s="3"/>
      <c r="S2275" s="3"/>
    </row>
    <row r="2276" spans="1:19">
      <c r="A2276" s="6">
        <v>2170</v>
      </c>
      <c r="B2276" s="6">
        <v>861</v>
      </c>
      <c r="C2276" s="6">
        <v>860</v>
      </c>
      <c r="D2276" s="24">
        <v>0</v>
      </c>
      <c r="E2276" s="23">
        <v>99</v>
      </c>
      <c r="F2276" s="2" t="s">
        <v>601</v>
      </c>
      <c r="J2276" s="34"/>
      <c r="K2276" s="34"/>
      <c r="L2276" s="34"/>
      <c r="M2276" s="34"/>
      <c r="N2276" s="34"/>
      <c r="O2276" s="34"/>
      <c r="P2276" s="34"/>
      <c r="R2276" s="3"/>
      <c r="S2276" s="3"/>
    </row>
    <row r="2277" spans="1:19">
      <c r="A2277" s="6">
        <v>2171</v>
      </c>
      <c r="B2277" s="6">
        <v>859</v>
      </c>
      <c r="C2277" s="6">
        <v>858</v>
      </c>
      <c r="D2277" s="24">
        <v>0</v>
      </c>
      <c r="E2277" s="23">
        <v>99</v>
      </c>
      <c r="F2277" s="2" t="s">
        <v>602</v>
      </c>
      <c r="J2277" s="34"/>
      <c r="K2277" s="34"/>
      <c r="L2277" s="34"/>
      <c r="M2277" s="34"/>
      <c r="N2277" s="34"/>
      <c r="O2277" s="34"/>
      <c r="P2277" s="34"/>
      <c r="R2277" s="3"/>
      <c r="S2277" s="3"/>
    </row>
    <row r="2278" spans="1:19">
      <c r="A2278" s="6">
        <v>2172</v>
      </c>
      <c r="B2278" s="6">
        <v>857</v>
      </c>
      <c r="C2278" s="6">
        <v>856</v>
      </c>
      <c r="D2278" s="24">
        <v>0</v>
      </c>
      <c r="E2278" s="23">
        <v>99</v>
      </c>
      <c r="F2278" s="2" t="s">
        <v>603</v>
      </c>
      <c r="J2278" s="34"/>
      <c r="K2278" s="34"/>
      <c r="L2278" s="34"/>
      <c r="M2278" s="34"/>
      <c r="N2278" s="34"/>
      <c r="O2278" s="34"/>
      <c r="P2278" s="34"/>
      <c r="R2278" s="3"/>
      <c r="S2278" s="3"/>
    </row>
    <row r="2279" spans="1:19">
      <c r="A2279" s="6">
        <v>2173</v>
      </c>
      <c r="B2279" s="6">
        <v>871</v>
      </c>
      <c r="C2279" s="6">
        <v>870</v>
      </c>
      <c r="D2279" s="24">
        <v>0</v>
      </c>
      <c r="E2279" s="23">
        <v>99</v>
      </c>
      <c r="F2279" s="2" t="s">
        <v>604</v>
      </c>
      <c r="J2279" s="34"/>
      <c r="K2279" s="34"/>
      <c r="L2279" s="34"/>
      <c r="M2279" s="34"/>
      <c r="N2279" s="34"/>
      <c r="O2279" s="34"/>
      <c r="P2279" s="34"/>
      <c r="R2279" s="3"/>
      <c r="S2279" s="3"/>
    </row>
    <row r="2280" spans="1:19">
      <c r="A2280" s="6">
        <v>2174</v>
      </c>
      <c r="B2280" s="6">
        <v>869</v>
      </c>
      <c r="C2280" s="6">
        <v>868</v>
      </c>
      <c r="D2280" s="24">
        <v>0</v>
      </c>
      <c r="E2280" s="23">
        <v>99</v>
      </c>
      <c r="F2280" s="2" t="s">
        <v>605</v>
      </c>
      <c r="J2280" s="34"/>
      <c r="K2280" s="34"/>
      <c r="L2280" s="34"/>
      <c r="M2280" s="34"/>
      <c r="N2280" s="34"/>
      <c r="O2280" s="34"/>
      <c r="P2280" s="34"/>
      <c r="R2280" s="3"/>
      <c r="S2280" s="3"/>
    </row>
    <row r="2281" spans="1:19">
      <c r="A2281" s="6">
        <v>2175</v>
      </c>
      <c r="B2281" s="6">
        <v>867</v>
      </c>
      <c r="C2281" s="6">
        <v>866</v>
      </c>
      <c r="D2281" s="24">
        <v>0</v>
      </c>
      <c r="E2281" s="23">
        <v>99</v>
      </c>
      <c r="F2281" s="2" t="s">
        <v>606</v>
      </c>
      <c r="J2281" s="34"/>
      <c r="K2281" s="34"/>
      <c r="L2281" s="34"/>
      <c r="M2281" s="34"/>
      <c r="N2281" s="34"/>
      <c r="O2281" s="34"/>
      <c r="P2281" s="34"/>
      <c r="R2281" s="3"/>
      <c r="S2281" s="3"/>
    </row>
    <row r="2282" spans="1:19">
      <c r="A2282" s="6">
        <v>2176</v>
      </c>
      <c r="B2282" s="6">
        <v>865</v>
      </c>
      <c r="C2282" s="6">
        <v>864</v>
      </c>
      <c r="D2282" s="24">
        <v>0</v>
      </c>
      <c r="E2282" s="23">
        <v>99</v>
      </c>
      <c r="F2282" s="2" t="s">
        <v>607</v>
      </c>
      <c r="J2282" s="34"/>
      <c r="K2282" s="34"/>
      <c r="L2282" s="34"/>
      <c r="M2282" s="34"/>
      <c r="N2282" s="34"/>
      <c r="O2282" s="34"/>
      <c r="P2282" s="34"/>
      <c r="R2282" s="3"/>
      <c r="S2282" s="3"/>
    </row>
    <row r="2283" spans="1:19">
      <c r="A2283" s="6">
        <v>2177</v>
      </c>
      <c r="B2283" s="6">
        <v>879</v>
      </c>
      <c r="C2283" s="6">
        <v>878</v>
      </c>
      <c r="D2283" s="24">
        <v>0</v>
      </c>
      <c r="E2283" s="23">
        <v>99</v>
      </c>
      <c r="F2283" s="2" t="s">
        <v>608</v>
      </c>
      <c r="J2283" s="34"/>
      <c r="K2283" s="34"/>
      <c r="L2283" s="34"/>
      <c r="M2283" s="34"/>
      <c r="N2283" s="34"/>
      <c r="O2283" s="34"/>
      <c r="P2283" s="34"/>
      <c r="R2283" s="3"/>
      <c r="S2283" s="3"/>
    </row>
    <row r="2284" spans="1:19">
      <c r="A2284" s="6">
        <v>2178</v>
      </c>
      <c r="B2284" s="6">
        <v>877</v>
      </c>
      <c r="C2284" s="6">
        <v>876</v>
      </c>
      <c r="D2284" s="24">
        <v>0</v>
      </c>
      <c r="E2284" s="23">
        <v>600</v>
      </c>
      <c r="F2284" s="2" t="s">
        <v>609</v>
      </c>
      <c r="J2284" s="34"/>
      <c r="K2284" s="34"/>
      <c r="L2284" s="34"/>
      <c r="M2284" s="34"/>
      <c r="N2284" s="34"/>
      <c r="O2284" s="34"/>
      <c r="P2284" s="34"/>
      <c r="R2284" s="3"/>
      <c r="S2284" s="3"/>
    </row>
    <row r="2285" spans="1:19">
      <c r="A2285" s="6">
        <v>2179</v>
      </c>
      <c r="B2285" s="6">
        <v>875</v>
      </c>
      <c r="C2285" s="6">
        <v>874</v>
      </c>
      <c r="D2285" s="24">
        <v>0</v>
      </c>
      <c r="E2285" s="23">
        <v>600</v>
      </c>
      <c r="F2285" s="2" t="s">
        <v>610</v>
      </c>
      <c r="J2285" s="34"/>
      <c r="K2285" s="34"/>
      <c r="L2285" s="34"/>
      <c r="M2285" s="34"/>
      <c r="N2285" s="34"/>
      <c r="O2285" s="34"/>
      <c r="P2285" s="34"/>
      <c r="R2285" s="3"/>
      <c r="S2285" s="3"/>
    </row>
    <row r="2286" spans="1:19">
      <c r="A2286" s="6">
        <v>2180</v>
      </c>
      <c r="B2286" s="6">
        <v>873</v>
      </c>
      <c r="C2286" s="6">
        <v>872</v>
      </c>
      <c r="D2286" s="24">
        <v>0</v>
      </c>
      <c r="E2286" s="23">
        <v>99</v>
      </c>
      <c r="F2286" s="2" t="s">
        <v>611</v>
      </c>
      <c r="J2286" s="34"/>
      <c r="K2286" s="34"/>
      <c r="L2286" s="34"/>
      <c r="M2286" s="34"/>
      <c r="N2286" s="34"/>
      <c r="O2286" s="34"/>
      <c r="P2286" s="34"/>
      <c r="R2286" s="3"/>
      <c r="S2286" s="3"/>
    </row>
    <row r="2287" spans="1:19">
      <c r="A2287" s="6">
        <v>2181</v>
      </c>
      <c r="B2287" s="6">
        <v>887</v>
      </c>
      <c r="C2287" s="6">
        <v>886</v>
      </c>
      <c r="D2287" s="24">
        <v>0</v>
      </c>
      <c r="E2287" s="23">
        <v>99</v>
      </c>
      <c r="F2287" s="2" t="s">
        <v>612</v>
      </c>
      <c r="J2287" s="34"/>
      <c r="K2287" s="34"/>
      <c r="L2287" s="34"/>
      <c r="M2287" s="34"/>
      <c r="N2287" s="34"/>
      <c r="O2287" s="34"/>
      <c r="P2287" s="34"/>
      <c r="R2287" s="3"/>
      <c r="S2287" s="3"/>
    </row>
    <row r="2288" spans="1:19">
      <c r="A2288" s="6">
        <v>2182</v>
      </c>
      <c r="B2288" s="6">
        <v>885</v>
      </c>
      <c r="C2288" s="6">
        <v>884</v>
      </c>
      <c r="D2288" s="24">
        <v>0</v>
      </c>
      <c r="E2288" s="23">
        <v>99</v>
      </c>
      <c r="F2288" s="2" t="s">
        <v>613</v>
      </c>
      <c r="J2288" s="34"/>
      <c r="K2288" s="34"/>
      <c r="L2288" s="34"/>
      <c r="M2288" s="34"/>
      <c r="N2288" s="34"/>
      <c r="O2288" s="34"/>
      <c r="P2288" s="34"/>
      <c r="R2288" s="3"/>
      <c r="S2288" s="3"/>
    </row>
    <row r="2289" spans="1:19">
      <c r="A2289" s="6">
        <v>2183</v>
      </c>
      <c r="B2289" s="6">
        <v>883</v>
      </c>
      <c r="C2289" s="6">
        <v>882</v>
      </c>
      <c r="D2289" s="24">
        <v>0</v>
      </c>
      <c r="E2289" s="23">
        <v>99</v>
      </c>
      <c r="F2289" s="2" t="s">
        <v>614</v>
      </c>
      <c r="J2289" s="34"/>
      <c r="K2289" s="34"/>
      <c r="L2289" s="34"/>
      <c r="M2289" s="34"/>
      <c r="N2289" s="34"/>
      <c r="O2289" s="34"/>
      <c r="P2289" s="34"/>
      <c r="R2289" s="3"/>
      <c r="S2289" s="3"/>
    </row>
    <row r="2290" spans="1:19">
      <c r="A2290" s="6">
        <v>2184</v>
      </c>
      <c r="B2290" s="6">
        <v>881</v>
      </c>
      <c r="C2290" s="6">
        <v>880</v>
      </c>
      <c r="D2290" s="24">
        <v>0</v>
      </c>
      <c r="E2290" s="23">
        <v>99</v>
      </c>
      <c r="F2290" s="2" t="s">
        <v>615</v>
      </c>
      <c r="J2290" s="34"/>
      <c r="K2290" s="34"/>
      <c r="L2290" s="34"/>
      <c r="M2290" s="34"/>
      <c r="N2290" s="34"/>
      <c r="O2290" s="34"/>
      <c r="P2290" s="34"/>
      <c r="R2290" s="3"/>
      <c r="S2290" s="3"/>
    </row>
    <row r="2291" spans="1:19">
      <c r="A2291" s="6">
        <v>2185</v>
      </c>
      <c r="B2291" s="6">
        <v>895</v>
      </c>
      <c r="C2291" s="6">
        <v>894</v>
      </c>
      <c r="D2291" s="24">
        <v>0</v>
      </c>
      <c r="E2291" s="23">
        <v>99</v>
      </c>
      <c r="F2291" s="2" t="s">
        <v>616</v>
      </c>
      <c r="J2291" s="34"/>
      <c r="K2291" s="34"/>
      <c r="L2291" s="34"/>
      <c r="M2291" s="34"/>
      <c r="N2291" s="34"/>
      <c r="O2291" s="34"/>
      <c r="P2291" s="34"/>
      <c r="R2291" s="3"/>
      <c r="S2291" s="3"/>
    </row>
    <row r="2292" spans="1:19">
      <c r="A2292" s="6">
        <v>2186</v>
      </c>
      <c r="B2292" s="6">
        <v>893</v>
      </c>
      <c r="C2292" s="6">
        <v>892</v>
      </c>
      <c r="D2292" s="24">
        <v>0</v>
      </c>
      <c r="E2292" s="23">
        <v>99</v>
      </c>
      <c r="F2292" s="2" t="s">
        <v>617</v>
      </c>
      <c r="J2292" s="34"/>
      <c r="K2292" s="34"/>
      <c r="L2292" s="34"/>
      <c r="M2292" s="34"/>
      <c r="N2292" s="34"/>
      <c r="O2292" s="34"/>
      <c r="P2292" s="34"/>
      <c r="R2292" s="3"/>
      <c r="S2292" s="3"/>
    </row>
    <row r="2293" spans="1:19">
      <c r="A2293" s="6">
        <v>2187</v>
      </c>
      <c r="B2293" s="6">
        <v>891</v>
      </c>
      <c r="C2293" s="6">
        <v>890</v>
      </c>
      <c r="D2293" s="24">
        <v>0</v>
      </c>
      <c r="E2293" s="23">
        <v>99</v>
      </c>
      <c r="F2293" s="2" t="s">
        <v>618</v>
      </c>
      <c r="J2293" s="34"/>
      <c r="K2293" s="34"/>
      <c r="L2293" s="34"/>
      <c r="M2293" s="34"/>
      <c r="N2293" s="34"/>
      <c r="O2293" s="34"/>
      <c r="P2293" s="34"/>
      <c r="R2293" s="3"/>
      <c r="S2293" s="3"/>
    </row>
    <row r="2294" spans="1:19">
      <c r="A2294" s="6">
        <v>2188</v>
      </c>
      <c r="B2294" s="6">
        <v>889</v>
      </c>
      <c r="C2294" s="6">
        <v>888</v>
      </c>
      <c r="D2294" s="24">
        <v>0</v>
      </c>
      <c r="E2294" s="23">
        <v>99</v>
      </c>
      <c r="F2294" s="2" t="s">
        <v>619</v>
      </c>
      <c r="J2294" s="34"/>
      <c r="K2294" s="34"/>
      <c r="L2294" s="34"/>
      <c r="M2294" s="34"/>
      <c r="N2294" s="34"/>
      <c r="O2294" s="34"/>
      <c r="P2294" s="34"/>
      <c r="R2294" s="3"/>
      <c r="S2294" s="3"/>
    </row>
    <row r="2295" spans="1:19">
      <c r="A2295" s="6">
        <v>2189</v>
      </c>
      <c r="B2295" s="6">
        <v>903</v>
      </c>
      <c r="C2295" s="6">
        <v>902</v>
      </c>
      <c r="D2295" s="24">
        <v>0</v>
      </c>
      <c r="E2295" s="23">
        <v>99</v>
      </c>
      <c r="F2295" s="2" t="s">
        <v>620</v>
      </c>
      <c r="J2295" s="34"/>
      <c r="K2295" s="34"/>
      <c r="L2295" s="34"/>
      <c r="M2295" s="34"/>
      <c r="N2295" s="34"/>
      <c r="O2295" s="34"/>
      <c r="P2295" s="34"/>
      <c r="R2295" s="3"/>
      <c r="S2295" s="3"/>
    </row>
    <row r="2296" spans="1:19">
      <c r="A2296" s="6">
        <v>2190</v>
      </c>
      <c r="B2296" s="6">
        <v>901</v>
      </c>
      <c r="C2296" s="6">
        <v>900</v>
      </c>
      <c r="D2296" s="24">
        <v>0</v>
      </c>
      <c r="E2296" s="23">
        <v>99</v>
      </c>
      <c r="F2296" s="2" t="s">
        <v>621</v>
      </c>
      <c r="J2296" s="34"/>
      <c r="K2296" s="34"/>
      <c r="L2296" s="34"/>
      <c r="M2296" s="34"/>
      <c r="N2296" s="34"/>
      <c r="O2296" s="34"/>
      <c r="P2296" s="34"/>
      <c r="R2296" s="3"/>
      <c r="S2296" s="3"/>
    </row>
    <row r="2297" spans="1:19">
      <c r="A2297" s="6">
        <v>2191</v>
      </c>
      <c r="B2297" s="6">
        <v>899</v>
      </c>
      <c r="C2297" s="6">
        <v>898</v>
      </c>
      <c r="D2297" s="24">
        <v>0</v>
      </c>
      <c r="E2297" s="23">
        <v>99</v>
      </c>
      <c r="F2297" s="2" t="s">
        <v>622</v>
      </c>
      <c r="J2297" s="34"/>
      <c r="K2297" s="34"/>
      <c r="L2297" s="34"/>
      <c r="M2297" s="34"/>
      <c r="N2297" s="34"/>
      <c r="O2297" s="34"/>
      <c r="P2297" s="34"/>
      <c r="R2297" s="3"/>
      <c r="S2297" s="3"/>
    </row>
    <row r="2298" spans="1:19">
      <c r="A2298" s="6">
        <v>2192</v>
      </c>
      <c r="B2298" s="6">
        <v>897</v>
      </c>
      <c r="C2298" s="6">
        <v>896</v>
      </c>
      <c r="D2298" s="24">
        <v>0</v>
      </c>
      <c r="E2298" s="23">
        <v>99</v>
      </c>
      <c r="F2298" s="2" t="s">
        <v>623</v>
      </c>
      <c r="J2298" s="34"/>
      <c r="K2298" s="34"/>
      <c r="L2298" s="34"/>
      <c r="M2298" s="34"/>
      <c r="N2298" s="34"/>
      <c r="O2298" s="34"/>
      <c r="P2298" s="34"/>
      <c r="R2298" s="3"/>
      <c r="S2298" s="3"/>
    </row>
    <row r="2299" spans="1:19">
      <c r="A2299" s="6">
        <v>2193</v>
      </c>
      <c r="B2299" s="6">
        <v>911</v>
      </c>
      <c r="C2299" s="6">
        <v>910</v>
      </c>
      <c r="D2299" s="24">
        <v>0</v>
      </c>
      <c r="E2299" s="23">
        <v>99</v>
      </c>
      <c r="F2299" s="2" t="s">
        <v>624</v>
      </c>
      <c r="J2299" s="34"/>
      <c r="K2299" s="34"/>
      <c r="L2299" s="34"/>
      <c r="M2299" s="34"/>
      <c r="N2299" s="34"/>
      <c r="O2299" s="34"/>
      <c r="P2299" s="34"/>
      <c r="R2299" s="3"/>
      <c r="S2299" s="3"/>
    </row>
    <row r="2300" spans="1:19">
      <c r="A2300" s="6">
        <v>2194</v>
      </c>
      <c r="B2300" s="6">
        <v>909</v>
      </c>
      <c r="C2300" s="6">
        <v>908</v>
      </c>
      <c r="D2300" s="24">
        <v>0</v>
      </c>
      <c r="E2300" s="23">
        <v>99</v>
      </c>
      <c r="F2300" s="2" t="s">
        <v>625</v>
      </c>
      <c r="J2300" s="34"/>
      <c r="K2300" s="34"/>
      <c r="L2300" s="34"/>
      <c r="M2300" s="34"/>
      <c r="N2300" s="34"/>
      <c r="O2300" s="34"/>
      <c r="P2300" s="34"/>
      <c r="R2300" s="3"/>
      <c r="S2300" s="3"/>
    </row>
    <row r="2301" spans="1:19">
      <c r="A2301" s="6">
        <v>2195</v>
      </c>
      <c r="B2301" s="6">
        <v>907</v>
      </c>
      <c r="C2301" s="6">
        <v>906</v>
      </c>
      <c r="D2301" s="24">
        <v>0</v>
      </c>
      <c r="E2301" s="23">
        <v>99</v>
      </c>
      <c r="F2301" s="2" t="s">
        <v>626</v>
      </c>
      <c r="J2301" s="34"/>
      <c r="K2301" s="34"/>
      <c r="L2301" s="34"/>
      <c r="M2301" s="34"/>
      <c r="N2301" s="34"/>
      <c r="O2301" s="34"/>
      <c r="P2301" s="34"/>
      <c r="R2301" s="3"/>
      <c r="S2301" s="3"/>
    </row>
    <row r="2302" spans="1:19">
      <c r="A2302" s="6">
        <v>2196</v>
      </c>
      <c r="B2302" s="6">
        <v>905</v>
      </c>
      <c r="C2302" s="6">
        <v>904</v>
      </c>
      <c r="D2302" s="24">
        <v>0</v>
      </c>
      <c r="E2302" s="23">
        <v>99</v>
      </c>
      <c r="F2302" s="2" t="s">
        <v>627</v>
      </c>
      <c r="J2302" s="34"/>
      <c r="K2302" s="34"/>
      <c r="L2302" s="34"/>
      <c r="M2302" s="34"/>
      <c r="N2302" s="34"/>
      <c r="O2302" s="34"/>
      <c r="P2302" s="34"/>
      <c r="R2302" s="3"/>
      <c r="S2302" s="3"/>
    </row>
    <row r="2303" spans="1:19">
      <c r="A2303" s="6">
        <v>2197</v>
      </c>
      <c r="B2303" s="6">
        <v>919</v>
      </c>
      <c r="C2303" s="6">
        <v>918</v>
      </c>
      <c r="D2303" s="24">
        <v>0</v>
      </c>
      <c r="E2303" s="23">
        <v>99</v>
      </c>
      <c r="F2303" s="2" t="s">
        <v>628</v>
      </c>
      <c r="J2303" s="34"/>
      <c r="K2303" s="34"/>
      <c r="L2303" s="34"/>
      <c r="M2303" s="34"/>
      <c r="N2303" s="34"/>
      <c r="O2303" s="34"/>
      <c r="P2303" s="34"/>
      <c r="R2303" s="3"/>
      <c r="S2303" s="3"/>
    </row>
    <row r="2304" spans="1:19">
      <c r="A2304" s="6">
        <v>2198</v>
      </c>
      <c r="B2304" s="6">
        <v>917</v>
      </c>
      <c r="C2304" s="6">
        <v>916</v>
      </c>
      <c r="D2304" s="24">
        <v>0</v>
      </c>
      <c r="E2304" s="23">
        <v>99</v>
      </c>
      <c r="F2304" s="2" t="s">
        <v>629</v>
      </c>
      <c r="J2304" s="34"/>
      <c r="K2304" s="34"/>
      <c r="L2304" s="34"/>
      <c r="M2304" s="34"/>
      <c r="N2304" s="34"/>
      <c r="O2304" s="34"/>
      <c r="P2304" s="34"/>
      <c r="R2304" s="3"/>
      <c r="S2304" s="3"/>
    </row>
    <row r="2305" spans="1:19">
      <c r="A2305" s="6">
        <v>2199</v>
      </c>
      <c r="B2305" s="6">
        <v>915</v>
      </c>
      <c r="C2305" s="6">
        <v>914</v>
      </c>
      <c r="D2305" s="24">
        <v>0</v>
      </c>
      <c r="E2305" s="23">
        <v>99</v>
      </c>
      <c r="F2305" s="2" t="s">
        <v>630</v>
      </c>
      <c r="J2305" s="34"/>
      <c r="K2305" s="34"/>
      <c r="L2305" s="34"/>
      <c r="M2305" s="34"/>
      <c r="N2305" s="34"/>
      <c r="O2305" s="34"/>
      <c r="P2305" s="34"/>
      <c r="R2305" s="3"/>
      <c r="S2305" s="3"/>
    </row>
    <row r="2306" spans="1:19">
      <c r="A2306" s="6">
        <v>2200</v>
      </c>
      <c r="B2306" s="6">
        <v>913</v>
      </c>
      <c r="C2306" s="6">
        <v>912</v>
      </c>
      <c r="D2306" s="24">
        <v>0</v>
      </c>
      <c r="E2306" s="23">
        <v>99</v>
      </c>
      <c r="F2306" s="2" t="s">
        <v>631</v>
      </c>
      <c r="J2306" s="34"/>
      <c r="K2306" s="34"/>
      <c r="L2306" s="34"/>
      <c r="M2306" s="34"/>
      <c r="N2306" s="34"/>
      <c r="O2306" s="34"/>
      <c r="P2306" s="34"/>
      <c r="R2306" s="3"/>
      <c r="S2306" s="3"/>
    </row>
    <row r="2307" spans="1:19">
      <c r="A2307" s="6">
        <v>2201</v>
      </c>
      <c r="B2307" s="6">
        <v>927</v>
      </c>
      <c r="C2307" s="6">
        <v>926</v>
      </c>
      <c r="D2307" s="24">
        <v>0</v>
      </c>
      <c r="E2307" s="23">
        <v>99</v>
      </c>
      <c r="F2307" s="2" t="s">
        <v>632</v>
      </c>
      <c r="J2307" s="34"/>
      <c r="K2307" s="34"/>
      <c r="L2307" s="34"/>
      <c r="M2307" s="34"/>
      <c r="N2307" s="34"/>
      <c r="O2307" s="34"/>
      <c r="P2307" s="34"/>
      <c r="R2307" s="3"/>
      <c r="S2307" s="3"/>
    </row>
    <row r="2308" spans="1:19">
      <c r="A2308" s="6">
        <v>2202</v>
      </c>
      <c r="B2308" s="6">
        <v>925</v>
      </c>
      <c r="C2308" s="6">
        <v>924</v>
      </c>
      <c r="D2308" s="24">
        <v>0</v>
      </c>
      <c r="E2308" s="23">
        <v>99</v>
      </c>
      <c r="F2308" s="2" t="s">
        <v>633</v>
      </c>
      <c r="J2308" s="34"/>
      <c r="K2308" s="34"/>
      <c r="L2308" s="34"/>
      <c r="M2308" s="34"/>
      <c r="N2308" s="34"/>
      <c r="O2308" s="34"/>
      <c r="P2308" s="34"/>
      <c r="R2308" s="3"/>
      <c r="S2308" s="3"/>
    </row>
    <row r="2309" spans="1:19">
      <c r="A2309" s="6">
        <v>2203</v>
      </c>
      <c r="B2309" s="6">
        <v>923</v>
      </c>
      <c r="C2309" s="6">
        <v>922</v>
      </c>
      <c r="D2309" s="24">
        <v>0</v>
      </c>
      <c r="E2309" s="23">
        <v>99</v>
      </c>
      <c r="F2309" s="2" t="s">
        <v>634</v>
      </c>
      <c r="J2309" s="34"/>
      <c r="K2309" s="34"/>
      <c r="L2309" s="34"/>
      <c r="M2309" s="34"/>
      <c r="N2309" s="34"/>
      <c r="O2309" s="34"/>
      <c r="P2309" s="34"/>
      <c r="R2309" s="3"/>
      <c r="S2309" s="3"/>
    </row>
    <row r="2310" spans="1:19">
      <c r="A2310" s="6">
        <v>2204</v>
      </c>
      <c r="B2310" s="6">
        <v>921</v>
      </c>
      <c r="C2310" s="6">
        <v>920</v>
      </c>
      <c r="D2310" s="24">
        <v>0</v>
      </c>
      <c r="E2310" s="23">
        <v>99</v>
      </c>
      <c r="F2310" s="2" t="s">
        <v>635</v>
      </c>
      <c r="J2310" s="34"/>
      <c r="K2310" s="34"/>
      <c r="L2310" s="34"/>
      <c r="M2310" s="34"/>
      <c r="N2310" s="34"/>
      <c r="O2310" s="34"/>
      <c r="P2310" s="34"/>
      <c r="R2310" s="3"/>
      <c r="S2310" s="3"/>
    </row>
    <row r="2311" spans="1:19">
      <c r="A2311" s="6">
        <v>2205</v>
      </c>
      <c r="B2311" s="6">
        <v>935</v>
      </c>
      <c r="C2311" s="6">
        <v>934</v>
      </c>
      <c r="D2311" s="24">
        <v>0</v>
      </c>
      <c r="E2311" s="23">
        <v>99</v>
      </c>
      <c r="F2311" s="2" t="s">
        <v>636</v>
      </c>
      <c r="J2311" s="34"/>
      <c r="K2311" s="34"/>
      <c r="L2311" s="34"/>
      <c r="M2311" s="34"/>
      <c r="N2311" s="34"/>
      <c r="O2311" s="34"/>
      <c r="P2311" s="34"/>
      <c r="R2311" s="3"/>
      <c r="S2311" s="3"/>
    </row>
    <row r="2312" spans="1:19">
      <c r="A2312" s="6">
        <v>2206</v>
      </c>
      <c r="B2312" s="6">
        <v>933</v>
      </c>
      <c r="C2312" s="6">
        <v>932</v>
      </c>
      <c r="D2312" s="24">
        <v>0</v>
      </c>
      <c r="E2312" s="23">
        <v>99</v>
      </c>
      <c r="F2312" s="2" t="s">
        <v>637</v>
      </c>
      <c r="J2312" s="34"/>
      <c r="K2312" s="34"/>
      <c r="L2312" s="34"/>
      <c r="M2312" s="34"/>
      <c r="N2312" s="34"/>
      <c r="O2312" s="34"/>
      <c r="P2312" s="34"/>
      <c r="R2312" s="3"/>
      <c r="S2312" s="3"/>
    </row>
    <row r="2313" spans="1:19">
      <c r="A2313" s="6">
        <v>2207</v>
      </c>
      <c r="B2313" s="6">
        <v>931</v>
      </c>
      <c r="C2313" s="6">
        <v>930</v>
      </c>
      <c r="D2313" s="24">
        <v>0</v>
      </c>
      <c r="E2313" s="23">
        <v>99</v>
      </c>
      <c r="F2313" s="2" t="s">
        <v>638</v>
      </c>
      <c r="J2313" s="34"/>
      <c r="K2313" s="34"/>
      <c r="L2313" s="34"/>
      <c r="M2313" s="34"/>
      <c r="N2313" s="34"/>
      <c r="O2313" s="34"/>
      <c r="P2313" s="34"/>
      <c r="R2313" s="3"/>
      <c r="S2313" s="3"/>
    </row>
    <row r="2314" spans="1:19">
      <c r="A2314" s="6">
        <v>2208</v>
      </c>
      <c r="B2314" s="6">
        <v>929</v>
      </c>
      <c r="C2314" s="6">
        <v>928</v>
      </c>
      <c r="D2314" s="24">
        <v>0</v>
      </c>
      <c r="E2314" s="23">
        <v>99</v>
      </c>
      <c r="F2314" s="2" t="s">
        <v>639</v>
      </c>
      <c r="J2314" s="34"/>
      <c r="K2314" s="34"/>
      <c r="L2314" s="34"/>
      <c r="M2314" s="34"/>
      <c r="N2314" s="34"/>
      <c r="O2314" s="34"/>
      <c r="P2314" s="34"/>
      <c r="R2314" s="3"/>
      <c r="S2314" s="3"/>
    </row>
    <row r="2315" spans="1:19">
      <c r="A2315" s="6">
        <v>2209</v>
      </c>
      <c r="B2315" s="6">
        <v>943</v>
      </c>
      <c r="C2315" s="6">
        <v>942</v>
      </c>
      <c r="D2315" s="24">
        <v>0</v>
      </c>
      <c r="E2315" s="23">
        <v>99</v>
      </c>
      <c r="F2315" s="2" t="s">
        <v>640</v>
      </c>
      <c r="J2315" s="34"/>
      <c r="K2315" s="34"/>
      <c r="L2315" s="34"/>
      <c r="M2315" s="34"/>
      <c r="N2315" s="34"/>
      <c r="O2315" s="34"/>
      <c r="P2315" s="34"/>
      <c r="R2315" s="3"/>
      <c r="S2315" s="3"/>
    </row>
    <row r="2316" spans="1:19">
      <c r="A2316" s="6">
        <v>2210</v>
      </c>
      <c r="B2316" s="6">
        <v>941</v>
      </c>
      <c r="C2316" s="6">
        <v>940</v>
      </c>
      <c r="D2316" s="24">
        <v>0</v>
      </c>
      <c r="E2316" s="23">
        <v>99</v>
      </c>
      <c r="F2316" s="2" t="s">
        <v>641</v>
      </c>
      <c r="J2316" s="34"/>
      <c r="K2316" s="34"/>
      <c r="L2316" s="34"/>
      <c r="M2316" s="34"/>
      <c r="N2316" s="34"/>
      <c r="O2316" s="34"/>
      <c r="P2316" s="34"/>
      <c r="R2316" s="3"/>
      <c r="S2316" s="3"/>
    </row>
    <row r="2317" spans="1:19">
      <c r="A2317" s="6">
        <v>2211</v>
      </c>
      <c r="B2317" s="6">
        <v>939</v>
      </c>
      <c r="C2317" s="6">
        <v>938</v>
      </c>
      <c r="D2317" s="24">
        <v>0</v>
      </c>
      <c r="E2317" s="23">
        <v>99</v>
      </c>
      <c r="F2317" s="2" t="s">
        <v>642</v>
      </c>
      <c r="J2317" s="34"/>
      <c r="K2317" s="34"/>
      <c r="L2317" s="34"/>
      <c r="M2317" s="34"/>
      <c r="N2317" s="34"/>
      <c r="O2317" s="34"/>
      <c r="P2317" s="34"/>
      <c r="R2317" s="3"/>
      <c r="S2317" s="3"/>
    </row>
    <row r="2318" spans="1:19">
      <c r="A2318" s="6">
        <v>2212</v>
      </c>
      <c r="B2318" s="6">
        <v>937</v>
      </c>
      <c r="C2318" s="6">
        <v>936</v>
      </c>
      <c r="D2318" s="24">
        <v>0</v>
      </c>
      <c r="E2318" s="23">
        <v>99</v>
      </c>
      <c r="F2318" s="2" t="s">
        <v>643</v>
      </c>
      <c r="J2318" s="34"/>
      <c r="K2318" s="34"/>
      <c r="L2318" s="34"/>
      <c r="M2318" s="34"/>
      <c r="N2318" s="34"/>
      <c r="O2318" s="34"/>
      <c r="P2318" s="34"/>
      <c r="R2318" s="3"/>
      <c r="S2318" s="3"/>
    </row>
    <row r="2319" spans="1:19">
      <c r="A2319" s="6">
        <v>2213</v>
      </c>
      <c r="B2319" s="6">
        <v>951</v>
      </c>
      <c r="C2319" s="6">
        <v>950</v>
      </c>
      <c r="D2319" s="24">
        <v>0</v>
      </c>
      <c r="E2319" s="23">
        <v>99</v>
      </c>
      <c r="F2319" s="2" t="s">
        <v>644</v>
      </c>
      <c r="J2319" s="34"/>
      <c r="K2319" s="34"/>
      <c r="L2319" s="34"/>
      <c r="M2319" s="34"/>
      <c r="N2319" s="34"/>
      <c r="O2319" s="34"/>
      <c r="P2319" s="34"/>
      <c r="R2319" s="3"/>
      <c r="S2319" s="3"/>
    </row>
    <row r="2320" spans="1:19">
      <c r="A2320" s="6">
        <v>2214</v>
      </c>
      <c r="B2320" s="6">
        <v>949</v>
      </c>
      <c r="C2320" s="6">
        <v>948</v>
      </c>
      <c r="D2320" s="24">
        <v>0</v>
      </c>
      <c r="E2320" s="23">
        <v>99</v>
      </c>
      <c r="F2320" s="2" t="s">
        <v>645</v>
      </c>
      <c r="J2320" s="34"/>
      <c r="K2320" s="34"/>
      <c r="L2320" s="34"/>
      <c r="M2320" s="34"/>
      <c r="N2320" s="34"/>
      <c r="O2320" s="34"/>
      <c r="P2320" s="34"/>
      <c r="R2320" s="3"/>
      <c r="S2320" s="3"/>
    </row>
    <row r="2321" spans="1:20">
      <c r="A2321" s="6">
        <v>2215</v>
      </c>
      <c r="B2321" s="6">
        <v>947</v>
      </c>
      <c r="C2321" s="6">
        <v>946</v>
      </c>
      <c r="D2321" s="24">
        <v>0</v>
      </c>
      <c r="E2321" s="23">
        <v>99</v>
      </c>
      <c r="F2321" s="2" t="s">
        <v>646</v>
      </c>
      <c r="J2321" s="34"/>
      <c r="K2321" s="34"/>
      <c r="L2321" s="34"/>
      <c r="M2321" s="34"/>
      <c r="N2321" s="34"/>
      <c r="O2321" s="34"/>
      <c r="P2321" s="34"/>
      <c r="R2321" s="3"/>
      <c r="S2321" s="3"/>
      <c r="T2321" t="s">
        <v>1348</v>
      </c>
    </row>
    <row r="2322" spans="1:20">
      <c r="A2322" s="6">
        <v>2216</v>
      </c>
      <c r="B2322" s="6">
        <v>945</v>
      </c>
      <c r="C2322" s="6">
        <v>944</v>
      </c>
      <c r="D2322" s="24">
        <v>0</v>
      </c>
      <c r="E2322" s="23">
        <v>99</v>
      </c>
      <c r="F2322" s="2" t="s">
        <v>647</v>
      </c>
      <c r="J2322" s="34"/>
      <c r="K2322" s="34"/>
      <c r="L2322" s="34"/>
      <c r="M2322" s="34"/>
      <c r="N2322" s="34"/>
      <c r="O2322" s="34"/>
      <c r="P2322" s="34"/>
      <c r="R2322" s="3"/>
      <c r="S2322" s="3"/>
    </row>
    <row r="2323" spans="1:20">
      <c r="A2323" s="6">
        <v>2217</v>
      </c>
      <c r="B2323" s="6">
        <v>959</v>
      </c>
      <c r="C2323" s="6">
        <v>958</v>
      </c>
      <c r="D2323" s="24">
        <v>0</v>
      </c>
      <c r="E2323" s="23">
        <v>99</v>
      </c>
      <c r="F2323" s="2" t="s">
        <v>648</v>
      </c>
      <c r="J2323" s="34"/>
      <c r="K2323" s="34"/>
      <c r="L2323" s="34"/>
      <c r="M2323" s="34"/>
      <c r="N2323" s="34"/>
      <c r="O2323" s="34"/>
      <c r="P2323" s="34"/>
      <c r="R2323" s="3"/>
      <c r="S2323" s="3"/>
    </row>
    <row r="2324" spans="1:20">
      <c r="A2324" s="6">
        <v>2218</v>
      </c>
      <c r="B2324" s="6">
        <v>957</v>
      </c>
      <c r="C2324" s="6">
        <v>956</v>
      </c>
      <c r="D2324" s="24">
        <v>0</v>
      </c>
      <c r="E2324" s="23">
        <v>99</v>
      </c>
      <c r="F2324" s="2" t="s">
        <v>649</v>
      </c>
      <c r="J2324" s="34"/>
      <c r="K2324" s="34"/>
      <c r="L2324" s="34"/>
      <c r="M2324" s="34"/>
      <c r="N2324" s="34"/>
      <c r="O2324" s="34"/>
      <c r="P2324" s="34"/>
      <c r="R2324" s="3"/>
      <c r="S2324" s="3"/>
    </row>
    <row r="2325" spans="1:20">
      <c r="A2325" s="6">
        <v>2219</v>
      </c>
      <c r="B2325" s="6">
        <v>955</v>
      </c>
      <c r="C2325" s="6">
        <v>954</v>
      </c>
      <c r="D2325" s="24">
        <v>0</v>
      </c>
      <c r="E2325" s="23">
        <v>99</v>
      </c>
      <c r="F2325" s="2" t="s">
        <v>650</v>
      </c>
      <c r="J2325" s="34"/>
      <c r="K2325" s="34"/>
      <c r="L2325" s="34"/>
      <c r="M2325" s="34"/>
      <c r="N2325" s="34"/>
      <c r="O2325" s="34"/>
      <c r="P2325" s="34"/>
      <c r="R2325" s="3"/>
      <c r="S2325" s="3"/>
    </row>
    <row r="2326" spans="1:20">
      <c r="A2326" s="6">
        <v>2220</v>
      </c>
      <c r="B2326" s="6">
        <v>953</v>
      </c>
      <c r="C2326" s="6">
        <v>952</v>
      </c>
      <c r="D2326" s="24">
        <v>0</v>
      </c>
      <c r="E2326" s="23">
        <v>99</v>
      </c>
      <c r="F2326" s="2" t="s">
        <v>651</v>
      </c>
      <c r="J2326" s="34"/>
      <c r="K2326" s="34"/>
      <c r="L2326" s="34"/>
      <c r="M2326" s="34"/>
      <c r="N2326" s="34"/>
      <c r="O2326" s="34"/>
      <c r="P2326" s="34"/>
      <c r="R2326" s="3"/>
      <c r="S2326" s="3"/>
    </row>
    <row r="2327" spans="1:20">
      <c r="A2327" s="6">
        <v>2221</v>
      </c>
      <c r="B2327" s="6">
        <v>967</v>
      </c>
      <c r="C2327" s="6">
        <v>966</v>
      </c>
      <c r="D2327" s="24">
        <v>0</v>
      </c>
      <c r="E2327" s="23">
        <v>99</v>
      </c>
      <c r="F2327" s="2" t="s">
        <v>652</v>
      </c>
      <c r="J2327" s="34"/>
      <c r="K2327" s="34"/>
      <c r="L2327" s="34"/>
      <c r="M2327" s="34"/>
      <c r="N2327" s="34"/>
      <c r="O2327" s="34"/>
      <c r="P2327" s="34"/>
      <c r="R2327" s="3"/>
      <c r="S2327" s="3"/>
    </row>
    <row r="2328" spans="1:20">
      <c r="A2328" s="6">
        <v>2222</v>
      </c>
      <c r="B2328" s="6">
        <v>965</v>
      </c>
      <c r="C2328" s="6">
        <v>964</v>
      </c>
      <c r="D2328" s="24">
        <v>0</v>
      </c>
      <c r="E2328" s="23">
        <v>99</v>
      </c>
      <c r="F2328" s="2" t="s">
        <v>653</v>
      </c>
      <c r="J2328" s="34"/>
      <c r="K2328" s="34"/>
      <c r="L2328" s="34"/>
      <c r="M2328" s="34"/>
      <c r="N2328" s="34"/>
      <c r="O2328" s="34"/>
      <c r="P2328" s="34"/>
      <c r="R2328" s="3"/>
      <c r="S2328" s="3"/>
    </row>
    <row r="2329" spans="1:20">
      <c r="A2329" s="6">
        <v>2223</v>
      </c>
      <c r="B2329" s="6">
        <v>963</v>
      </c>
      <c r="C2329" s="6">
        <v>962</v>
      </c>
      <c r="D2329" s="24">
        <v>0</v>
      </c>
      <c r="E2329" s="23">
        <v>99</v>
      </c>
      <c r="F2329" s="2" t="s">
        <v>654</v>
      </c>
      <c r="J2329" s="34"/>
      <c r="K2329" s="34"/>
      <c r="L2329" s="34"/>
      <c r="M2329" s="34"/>
      <c r="N2329" s="34"/>
      <c r="O2329" s="34"/>
      <c r="P2329" s="34"/>
      <c r="R2329" s="3"/>
      <c r="S2329" s="3"/>
    </row>
    <row r="2330" spans="1:20">
      <c r="A2330" s="6">
        <v>2224</v>
      </c>
      <c r="B2330" s="6">
        <v>961</v>
      </c>
      <c r="C2330" s="6">
        <v>960</v>
      </c>
      <c r="D2330" s="24">
        <v>0</v>
      </c>
      <c r="E2330" s="23">
        <v>99</v>
      </c>
      <c r="F2330" s="2" t="s">
        <v>655</v>
      </c>
      <c r="J2330" s="34"/>
      <c r="K2330" s="34"/>
      <c r="L2330" s="34"/>
      <c r="M2330" s="34"/>
      <c r="N2330" s="34"/>
      <c r="O2330" s="34"/>
      <c r="P2330" s="34"/>
      <c r="R2330" s="3"/>
      <c r="S2330" s="3"/>
      <c r="T2330" t="s">
        <v>1349</v>
      </c>
    </row>
    <row r="2331" spans="1:20">
      <c r="A2331" s="36" t="s">
        <v>277</v>
      </c>
      <c r="B2331" s="54">
        <f>B2167+1</f>
        <v>14</v>
      </c>
      <c r="C2331" s="36" t="s">
        <v>656</v>
      </c>
      <c r="D2331" s="36"/>
      <c r="E2331" s="36"/>
      <c r="F2331" s="36"/>
      <c r="G2331" s="36"/>
      <c r="H2331" s="36"/>
      <c r="I2331" s="36"/>
      <c r="J2331" s="36"/>
      <c r="K2331" s="36"/>
      <c r="L2331" s="36"/>
      <c r="M2331" s="36"/>
      <c r="N2331" s="36"/>
      <c r="O2331" s="36"/>
      <c r="P2331" s="36"/>
    </row>
    <row r="2332" spans="1:20">
      <c r="A2332" s="1" t="s">
        <v>2</v>
      </c>
      <c r="B2332" s="2" t="s">
        <v>342</v>
      </c>
      <c r="J2332" s="40"/>
      <c r="K2332" s="40"/>
      <c r="L2332" s="40"/>
      <c r="M2332" s="40"/>
      <c r="N2332" s="40"/>
      <c r="O2332" s="40"/>
      <c r="P2332" s="40"/>
      <c r="Q2332" s="3"/>
      <c r="R2332" s="3"/>
      <c r="S2332" s="3"/>
    </row>
    <row r="2333" spans="1:20" ht="15">
      <c r="A2333" s="6">
        <v>237</v>
      </c>
      <c r="B2333" s="6">
        <v>28</v>
      </c>
      <c r="C2333" s="6">
        <v>36</v>
      </c>
      <c r="D2333" s="2" t="s">
        <v>3</v>
      </c>
      <c r="F2333" s="2" t="s">
        <v>1586</v>
      </c>
      <c r="J2333" s="40"/>
      <c r="K2333" s="40"/>
      <c r="L2333" s="40"/>
      <c r="M2333" s="40"/>
      <c r="N2333" s="40"/>
      <c r="O2333" s="40"/>
      <c r="P2333" s="40"/>
      <c r="Q2333" s="3"/>
      <c r="R2333" s="3"/>
      <c r="S2333" s="3"/>
    </row>
    <row r="2334" spans="1:20" ht="15">
      <c r="A2334" s="6">
        <v>8</v>
      </c>
      <c r="B2334" s="2" t="s">
        <v>3</v>
      </c>
      <c r="F2334" s="2" t="s">
        <v>1034</v>
      </c>
      <c r="J2334" s="40"/>
      <c r="K2334" s="40"/>
      <c r="L2334" s="40"/>
      <c r="M2334" s="40"/>
      <c r="N2334" s="40"/>
      <c r="O2334" s="40"/>
      <c r="P2334" s="40"/>
      <c r="Q2334" s="3"/>
      <c r="R2334" s="3"/>
      <c r="S2334" s="3"/>
    </row>
    <row r="2335" spans="1:20">
      <c r="A2335" s="6">
        <v>0</v>
      </c>
      <c r="B2335" s="2" t="s">
        <v>3</v>
      </c>
      <c r="C2335" s="1"/>
      <c r="D2335" s="2"/>
      <c r="F2335" s="2" t="s">
        <v>11</v>
      </c>
      <c r="J2335" s="40"/>
      <c r="K2335" s="40"/>
      <c r="L2335" s="40"/>
      <c r="M2335" s="40"/>
      <c r="N2335" s="40"/>
      <c r="O2335" s="40"/>
      <c r="P2335" s="40"/>
      <c r="Q2335" s="3"/>
      <c r="R2335" s="3"/>
      <c r="S2335" s="3"/>
    </row>
    <row r="2336" spans="1:20">
      <c r="A2336" s="6">
        <v>0</v>
      </c>
      <c r="B2336" s="2" t="s">
        <v>3</v>
      </c>
      <c r="C2336" s="1"/>
      <c r="D2336" s="2"/>
      <c r="F2336" s="2" t="s">
        <v>11</v>
      </c>
      <c r="J2336" s="40"/>
      <c r="K2336" s="40"/>
      <c r="L2336" s="40"/>
      <c r="M2336" s="40"/>
      <c r="N2336" s="40"/>
      <c r="O2336" s="40"/>
      <c r="P2336" s="40"/>
      <c r="Q2336" s="3"/>
      <c r="R2336" s="3"/>
      <c r="S2336" s="3"/>
    </row>
    <row r="2337" spans="1:20">
      <c r="A2337" s="6">
        <v>0</v>
      </c>
      <c r="B2337" s="2" t="s">
        <v>3</v>
      </c>
      <c r="C2337" s="1"/>
      <c r="D2337" s="2"/>
      <c r="F2337" s="2" t="s">
        <v>11</v>
      </c>
      <c r="J2337" s="40"/>
      <c r="K2337" s="40"/>
      <c r="L2337" s="40"/>
      <c r="M2337" s="40"/>
      <c r="N2337" s="40"/>
      <c r="O2337" s="40"/>
      <c r="P2337" s="40"/>
      <c r="Q2337" s="3"/>
      <c r="R2337" s="3"/>
      <c r="S2337" s="3"/>
    </row>
    <row r="2338" spans="1:20">
      <c r="A2338" s="6">
        <v>0</v>
      </c>
      <c r="B2338" s="2" t="s">
        <v>3</v>
      </c>
      <c r="C2338" s="1"/>
      <c r="D2338" s="2"/>
      <c r="F2338" s="2" t="s">
        <v>11</v>
      </c>
      <c r="J2338" s="40"/>
      <c r="K2338" s="40"/>
      <c r="L2338" s="40"/>
      <c r="M2338" s="40"/>
      <c r="N2338" s="40"/>
      <c r="O2338" s="40"/>
      <c r="P2338" s="40"/>
      <c r="Q2338" s="3"/>
      <c r="R2338" s="3"/>
      <c r="S2338" s="3"/>
    </row>
    <row r="2339" spans="1:20">
      <c r="A2339" s="2" t="s">
        <v>3</v>
      </c>
      <c r="B2339" s="2"/>
      <c r="C2339" s="1"/>
      <c r="D2339" s="2"/>
      <c r="F2339" s="2"/>
      <c r="J2339" s="40"/>
      <c r="K2339" s="40"/>
      <c r="L2339" s="40"/>
      <c r="M2339" s="40"/>
      <c r="N2339" s="40"/>
      <c r="O2339" s="40"/>
      <c r="P2339" s="40"/>
      <c r="Q2339" s="3"/>
      <c r="R2339" s="3"/>
      <c r="S2339" s="3"/>
      <c r="T2339" t="s">
        <v>1351</v>
      </c>
    </row>
    <row r="2340" spans="1:20">
      <c r="A2340" s="1" t="s">
        <v>176</v>
      </c>
      <c r="B2340" s="2" t="s">
        <v>342</v>
      </c>
      <c r="D2340" s="2"/>
      <c r="J2340" s="40"/>
      <c r="K2340" s="40"/>
      <c r="L2340" s="40"/>
      <c r="M2340" s="40"/>
      <c r="N2340" s="40"/>
      <c r="O2340" s="40"/>
      <c r="P2340" s="40"/>
      <c r="Q2340" s="3"/>
      <c r="R2340" s="3"/>
      <c r="S2340" s="3"/>
    </row>
    <row r="2341" spans="1:20" ht="15">
      <c r="A2341" s="6">
        <f>HEX2DEC(70)</f>
        <v>112</v>
      </c>
      <c r="B2341" s="6">
        <f t="shared" ref="B2341" si="39">HEX2DEC(70)</f>
        <v>112</v>
      </c>
      <c r="C2341" s="6">
        <v>0</v>
      </c>
      <c r="D2341" s="6">
        <v>0</v>
      </c>
      <c r="E2341" s="6">
        <v>0</v>
      </c>
      <c r="F2341" s="6">
        <v>0</v>
      </c>
      <c r="G2341" s="6">
        <v>0</v>
      </c>
      <c r="H2341" s="6">
        <v>0</v>
      </c>
      <c r="I2341" t="s">
        <v>1587</v>
      </c>
      <c r="J2341" s="40"/>
      <c r="K2341" s="40"/>
      <c r="L2341" s="40"/>
      <c r="M2341" s="40"/>
      <c r="N2341" s="40"/>
      <c r="O2341" s="40"/>
      <c r="P2341" s="40"/>
      <c r="Q2341" s="3"/>
      <c r="R2341" s="3"/>
      <c r="S2341" s="3"/>
    </row>
    <row r="2342" spans="1:20">
      <c r="A2342" s="8">
        <v>999</v>
      </c>
      <c r="B2342" s="8">
        <v>1023</v>
      </c>
      <c r="C2342" s="8">
        <v>2247</v>
      </c>
      <c r="D2342" s="8">
        <v>2271</v>
      </c>
      <c r="E2342" s="22" t="s">
        <v>1588</v>
      </c>
      <c r="F2342" s="7"/>
      <c r="G2342" s="7"/>
      <c r="H2342" s="7"/>
      <c r="J2342" s="40"/>
      <c r="K2342" s="40"/>
      <c r="L2342" s="40"/>
      <c r="M2342" s="40"/>
      <c r="N2342" s="40"/>
      <c r="O2342" s="40"/>
      <c r="P2342" s="40"/>
      <c r="Q2342" s="3"/>
      <c r="R2342" s="3"/>
      <c r="S2342" s="3"/>
    </row>
    <row r="2343" spans="1:20">
      <c r="A2343" s="8">
        <v>995</v>
      </c>
      <c r="B2343" s="8">
        <v>1019</v>
      </c>
      <c r="C2343" s="8">
        <v>2243</v>
      </c>
      <c r="D2343" s="8">
        <v>2267</v>
      </c>
      <c r="E2343" s="7"/>
      <c r="F2343" s="7"/>
      <c r="G2343" s="7"/>
      <c r="H2343" s="7"/>
      <c r="J2343" s="40"/>
      <c r="K2343" s="40"/>
      <c r="L2343" s="40"/>
      <c r="M2343" s="40"/>
      <c r="N2343" s="40"/>
      <c r="O2343" s="40"/>
      <c r="P2343" s="40"/>
      <c r="Q2343" s="3"/>
      <c r="R2343" s="3"/>
      <c r="S2343" s="3"/>
    </row>
    <row r="2344" spans="1:20">
      <c r="A2344" s="8">
        <v>1007</v>
      </c>
      <c r="B2344" s="8">
        <v>2231</v>
      </c>
      <c r="C2344" s="8">
        <v>2255</v>
      </c>
      <c r="D2344" s="8">
        <v>2279</v>
      </c>
      <c r="E2344" s="7"/>
      <c r="F2344" s="7"/>
      <c r="G2344" s="7"/>
      <c r="H2344" s="7"/>
      <c r="J2344" s="40"/>
      <c r="K2344" s="40"/>
      <c r="L2344" s="40"/>
      <c r="M2344" s="40"/>
      <c r="N2344" s="40"/>
      <c r="O2344" s="40"/>
      <c r="P2344" s="40"/>
      <c r="Q2344" s="3"/>
      <c r="R2344" s="3"/>
      <c r="S2344" s="3"/>
    </row>
    <row r="2345" spans="1:20">
      <c r="A2345" s="8">
        <v>1003</v>
      </c>
      <c r="B2345" s="8">
        <v>2227</v>
      </c>
      <c r="C2345" s="8">
        <v>2251</v>
      </c>
      <c r="D2345" s="8">
        <v>2275</v>
      </c>
      <c r="E2345" s="7"/>
      <c r="F2345" s="7"/>
      <c r="G2345" s="7"/>
      <c r="H2345" s="7"/>
      <c r="J2345" s="40"/>
      <c r="K2345" s="40"/>
      <c r="L2345" s="40"/>
      <c r="M2345" s="40"/>
      <c r="N2345" s="40"/>
      <c r="O2345" s="40"/>
      <c r="P2345" s="40"/>
      <c r="Q2345" s="3"/>
      <c r="R2345" s="3"/>
      <c r="S2345" s="3"/>
    </row>
    <row r="2346" spans="1:20">
      <c r="A2346" s="8">
        <v>1015</v>
      </c>
      <c r="B2346" s="8">
        <v>2239</v>
      </c>
      <c r="C2346" s="8">
        <v>2263</v>
      </c>
      <c r="D2346" s="8">
        <v>2287</v>
      </c>
      <c r="E2346" s="7"/>
      <c r="F2346" s="7"/>
      <c r="G2346" s="7"/>
      <c r="H2346" s="7"/>
      <c r="J2346" s="40"/>
      <c r="K2346" s="40"/>
      <c r="L2346" s="40"/>
      <c r="M2346" s="40"/>
      <c r="N2346" s="40"/>
      <c r="O2346" s="40"/>
      <c r="P2346" s="40"/>
      <c r="Q2346" s="3"/>
      <c r="R2346" s="3"/>
      <c r="S2346" s="3"/>
    </row>
    <row r="2347" spans="1:20">
      <c r="A2347" s="8">
        <v>1011</v>
      </c>
      <c r="B2347" s="8">
        <v>2235</v>
      </c>
      <c r="C2347" s="8">
        <v>2259</v>
      </c>
      <c r="D2347" s="8">
        <v>2283</v>
      </c>
      <c r="E2347" s="7"/>
      <c r="F2347" s="7"/>
      <c r="G2347" s="7"/>
      <c r="H2347" s="7"/>
      <c r="J2347" s="40"/>
      <c r="K2347" s="40"/>
      <c r="L2347" s="40"/>
      <c r="M2347" s="40"/>
      <c r="N2347" s="40"/>
      <c r="O2347" s="40"/>
      <c r="P2347" s="40"/>
      <c r="Q2347" s="3"/>
      <c r="R2347" s="3"/>
      <c r="S2347" s="3"/>
    </row>
    <row r="2348" spans="1:20">
      <c r="A2348" s="36" t="s">
        <v>277</v>
      </c>
      <c r="B2348" s="54">
        <f>B2331+1</f>
        <v>15</v>
      </c>
      <c r="C2348" s="36" t="s">
        <v>657</v>
      </c>
      <c r="D2348" s="36"/>
      <c r="E2348" s="36"/>
      <c r="F2348" s="36"/>
      <c r="G2348" s="36"/>
      <c r="H2348" s="36"/>
      <c r="I2348" s="36"/>
      <c r="J2348" s="36"/>
      <c r="K2348" s="36"/>
      <c r="L2348" s="36"/>
      <c r="M2348" s="36"/>
      <c r="N2348" s="36"/>
      <c r="O2348" s="36"/>
      <c r="P2348" s="36"/>
      <c r="T2348" t="s">
        <v>1352</v>
      </c>
    </row>
    <row r="2349" spans="1:20">
      <c r="A2349" s="83" t="s">
        <v>2</v>
      </c>
      <c r="B2349" s="84" t="s">
        <v>3</v>
      </c>
      <c r="C2349" s="3"/>
      <c r="D2349" s="3"/>
      <c r="E2349" s="3"/>
      <c r="F2349" s="3" t="s">
        <v>658</v>
      </c>
      <c r="G2349" s="3"/>
      <c r="H2349" s="3"/>
    </row>
    <row r="2350" spans="1:20">
      <c r="A2350" s="8">
        <v>0</v>
      </c>
      <c r="B2350" s="8">
        <v>0</v>
      </c>
      <c r="C2350" s="8">
        <v>0</v>
      </c>
      <c r="D2350" s="84" t="s">
        <v>3</v>
      </c>
      <c r="E2350" s="83"/>
      <c r="F2350" s="84" t="s">
        <v>659</v>
      </c>
      <c r="G2350" s="83"/>
      <c r="H2350" s="83"/>
      <c r="L2350" s="35"/>
    </row>
    <row r="2351" spans="1:20" ht="15">
      <c r="A2351" s="8">
        <v>0</v>
      </c>
      <c r="B2351" s="8">
        <v>0</v>
      </c>
      <c r="C2351" s="8">
        <v>0</v>
      </c>
      <c r="D2351" s="84" t="s">
        <v>3</v>
      </c>
      <c r="E2351" s="40"/>
      <c r="F2351" s="84" t="s">
        <v>660</v>
      </c>
      <c r="G2351" s="40"/>
      <c r="H2351" s="40"/>
      <c r="L2351" s="35"/>
    </row>
    <row r="2352" spans="1:20" ht="15">
      <c r="A2352" s="8">
        <v>0</v>
      </c>
      <c r="B2352" s="84" t="s">
        <v>3</v>
      </c>
      <c r="C2352" s="40"/>
      <c r="D2352" s="40"/>
      <c r="E2352" s="40"/>
      <c r="F2352" s="84" t="s">
        <v>661</v>
      </c>
      <c r="G2352" s="40"/>
      <c r="H2352" s="40"/>
      <c r="K2352" s="35"/>
      <c r="L2352" s="35"/>
    </row>
    <row r="2353" spans="1:23" ht="15">
      <c r="A2353" s="8">
        <v>0</v>
      </c>
      <c r="B2353" s="84" t="s">
        <v>3</v>
      </c>
      <c r="E2353" s="40"/>
      <c r="F2353" s="84" t="s">
        <v>661</v>
      </c>
      <c r="G2353" s="40"/>
      <c r="H2353" s="40"/>
      <c r="L2353" s="35"/>
    </row>
    <row r="2354" spans="1:23">
      <c r="A2354" s="3" t="s">
        <v>176</v>
      </c>
      <c r="B2354" s="3" t="s">
        <v>3</v>
      </c>
      <c r="L2354" s="35"/>
    </row>
    <row r="2355" spans="1:23">
      <c r="A2355" s="48" t="s">
        <v>374</v>
      </c>
      <c r="C2355" s="26"/>
      <c r="D2355" s="48"/>
      <c r="E2355" s="3"/>
      <c r="F2355" s="3"/>
      <c r="G2355" s="40"/>
      <c r="H2355" s="40"/>
      <c r="I2355" s="40"/>
      <c r="K2355" s="35"/>
      <c r="L2355" s="35"/>
    </row>
    <row r="2356" spans="1:23" ht="15">
      <c r="A2356" s="34" t="s">
        <v>1197</v>
      </c>
      <c r="B2356" s="35" t="s">
        <v>1198</v>
      </c>
      <c r="C2356" s="34" t="s">
        <v>1199</v>
      </c>
      <c r="D2356" s="35" t="s">
        <v>1200</v>
      </c>
      <c r="E2356" s="34" t="s">
        <v>1201</v>
      </c>
      <c r="F2356" s="34" t="s">
        <v>1202</v>
      </c>
      <c r="G2356" s="35" t="s">
        <v>1203</v>
      </c>
      <c r="H2356" s="34" t="s">
        <v>1204</v>
      </c>
      <c r="I2356" s="35" t="s">
        <v>1205</v>
      </c>
      <c r="J2356" s="34" t="s">
        <v>1206</v>
      </c>
      <c r="K2356" s="35"/>
      <c r="L2356" s="35"/>
    </row>
    <row r="2357" spans="1:23">
      <c r="A2357" s="8">
        <f>HEX2DEC(51)</f>
        <v>81</v>
      </c>
      <c r="B2357" s="8">
        <f t="shared" ref="B2357:J2357" si="40">HEX2DEC(51)</f>
        <v>81</v>
      </c>
      <c r="C2357" s="8">
        <f t="shared" si="40"/>
        <v>81</v>
      </c>
      <c r="D2357" s="8">
        <f t="shared" si="40"/>
        <v>81</v>
      </c>
      <c r="E2357" s="8">
        <f t="shared" si="40"/>
        <v>81</v>
      </c>
      <c r="F2357" s="8">
        <f t="shared" si="40"/>
        <v>81</v>
      </c>
      <c r="G2357" s="8">
        <f t="shared" si="40"/>
        <v>81</v>
      </c>
      <c r="H2357" s="8">
        <f t="shared" si="40"/>
        <v>81</v>
      </c>
      <c r="I2357" s="8">
        <f t="shared" si="40"/>
        <v>81</v>
      </c>
      <c r="J2357" s="8">
        <f t="shared" si="40"/>
        <v>81</v>
      </c>
      <c r="K2357" t="s">
        <v>1013</v>
      </c>
      <c r="L2357" s="35"/>
      <c r="T2357" t="s">
        <v>1353</v>
      </c>
    </row>
    <row r="2358" spans="1:23" ht="15">
      <c r="A2358" s="8">
        <v>0</v>
      </c>
      <c r="B2358" s="84" t="s">
        <v>3</v>
      </c>
      <c r="C2358" s="85"/>
      <c r="D2358" s="85"/>
      <c r="E2358" s="85"/>
      <c r="F2358" s="84" t="s">
        <v>661</v>
      </c>
      <c r="G2358" s="85"/>
      <c r="H2358" s="85"/>
      <c r="I2358" s="85"/>
      <c r="J2358" s="85"/>
      <c r="L2358" s="35"/>
    </row>
    <row r="2359" spans="1:23" ht="15">
      <c r="A2359" s="8">
        <v>0</v>
      </c>
      <c r="B2359" s="84" t="s">
        <v>3</v>
      </c>
      <c r="C2359" s="85"/>
      <c r="D2359" s="85"/>
      <c r="E2359" s="85"/>
      <c r="F2359" s="84" t="s">
        <v>661</v>
      </c>
      <c r="G2359" s="85"/>
      <c r="H2359" s="85"/>
      <c r="I2359" s="85"/>
      <c r="J2359" s="85"/>
      <c r="L2359" s="35"/>
    </row>
    <row r="2360" spans="1:23" ht="15">
      <c r="A2360" s="8">
        <v>0</v>
      </c>
      <c r="B2360" s="84" t="s">
        <v>3</v>
      </c>
      <c r="C2360" s="85"/>
      <c r="D2360" s="85"/>
      <c r="E2360" s="85"/>
      <c r="F2360" s="84" t="s">
        <v>661</v>
      </c>
      <c r="G2360" s="85"/>
      <c r="H2360" s="85"/>
      <c r="I2360" s="85"/>
      <c r="J2360" s="85"/>
      <c r="L2360" s="35"/>
    </row>
    <row r="2361" spans="1:23" ht="15">
      <c r="A2361" s="8">
        <v>0</v>
      </c>
      <c r="B2361" s="84" t="s">
        <v>3</v>
      </c>
      <c r="C2361" s="85"/>
      <c r="D2361" s="85"/>
      <c r="E2361" s="85"/>
      <c r="F2361" s="84" t="s">
        <v>661</v>
      </c>
      <c r="G2361" s="85"/>
      <c r="H2361" s="85"/>
      <c r="I2361" s="85"/>
      <c r="J2361" s="85"/>
      <c r="L2361" s="35"/>
    </row>
    <row r="2362" spans="1:23" ht="15">
      <c r="A2362" s="8">
        <v>0</v>
      </c>
      <c r="B2362" s="84" t="s">
        <v>3</v>
      </c>
      <c r="C2362" s="85"/>
      <c r="D2362" s="85"/>
      <c r="E2362" s="85"/>
      <c r="F2362" s="84" t="s">
        <v>661</v>
      </c>
      <c r="G2362" s="85"/>
      <c r="H2362" s="85"/>
      <c r="I2362" s="85"/>
      <c r="J2362" s="85"/>
      <c r="L2362" s="35"/>
    </row>
    <row r="2363" spans="1:23" ht="15">
      <c r="A2363" s="8">
        <v>0</v>
      </c>
      <c r="B2363" s="84" t="s">
        <v>3</v>
      </c>
      <c r="C2363" s="85"/>
      <c r="D2363" s="85"/>
      <c r="E2363" s="85"/>
      <c r="F2363" s="84" t="s">
        <v>661</v>
      </c>
      <c r="G2363" s="85"/>
      <c r="H2363" s="85"/>
      <c r="I2363" s="85"/>
      <c r="J2363" s="85"/>
      <c r="L2363" s="35"/>
    </row>
    <row r="2364" spans="1:23">
      <c r="A2364" s="14" t="s">
        <v>1305</v>
      </c>
      <c r="B2364" s="85"/>
      <c r="C2364" s="85"/>
      <c r="D2364" s="85"/>
      <c r="E2364" s="85"/>
      <c r="F2364" s="85"/>
      <c r="G2364" s="85"/>
      <c r="H2364" s="85"/>
      <c r="I2364" s="85"/>
      <c r="J2364" s="85"/>
      <c r="L2364" s="35"/>
    </row>
    <row r="2365" spans="1:23">
      <c r="A2365" s="85" t="s">
        <v>1306</v>
      </c>
      <c r="B2365" s="85" t="s">
        <v>1307</v>
      </c>
      <c r="C2365" s="85"/>
      <c r="D2365" s="85"/>
      <c r="E2365" s="85"/>
      <c r="F2365" s="85"/>
      <c r="G2365" s="85"/>
      <c r="H2365" s="85"/>
      <c r="I2365" s="85"/>
      <c r="J2365" s="85"/>
      <c r="L2365" s="35"/>
    </row>
    <row r="2366" spans="1:23">
      <c r="A2366" s="8" t="s">
        <v>1304</v>
      </c>
      <c r="B2366" s="56">
        <v>4</v>
      </c>
      <c r="C2366" s="3" t="s">
        <v>3</v>
      </c>
      <c r="D2366" s="85"/>
      <c r="E2366" s="85"/>
      <c r="F2366" s="84" t="s">
        <v>1308</v>
      </c>
      <c r="G2366" s="85"/>
      <c r="H2366" s="85"/>
      <c r="I2366" s="85"/>
      <c r="J2366" s="85"/>
      <c r="L2366" s="35"/>
      <c r="W2366" s="166" t="s">
        <v>1445</v>
      </c>
    </row>
    <row r="2367" spans="1:23">
      <c r="A2367" s="8" t="s">
        <v>1304</v>
      </c>
      <c r="B2367" s="56">
        <v>5</v>
      </c>
      <c r="C2367" s="3" t="s">
        <v>3</v>
      </c>
      <c r="D2367" s="85"/>
      <c r="E2367" s="85"/>
      <c r="F2367" s="84" t="s">
        <v>1299</v>
      </c>
      <c r="G2367" s="85"/>
      <c r="H2367" s="85"/>
      <c r="I2367" s="85"/>
      <c r="J2367" s="85"/>
      <c r="L2367" s="35"/>
    </row>
    <row r="2368" spans="1:23">
      <c r="A2368" s="8" t="s">
        <v>1304</v>
      </c>
      <c r="B2368" s="56">
        <v>1</v>
      </c>
      <c r="C2368" s="3" t="s">
        <v>3</v>
      </c>
      <c r="D2368" s="85"/>
      <c r="E2368" s="85"/>
      <c r="F2368" s="84" t="s">
        <v>1300</v>
      </c>
      <c r="G2368" s="85"/>
      <c r="H2368" s="85"/>
      <c r="I2368" s="85"/>
      <c r="J2368" s="85"/>
      <c r="L2368" s="35"/>
    </row>
    <row r="2369" spans="1:52">
      <c r="A2369" s="8" t="s">
        <v>1304</v>
      </c>
      <c r="B2369" s="56">
        <v>2</v>
      </c>
      <c r="C2369" s="3" t="s">
        <v>3</v>
      </c>
      <c r="D2369" s="85"/>
      <c r="E2369" s="85"/>
      <c r="F2369" s="84" t="s">
        <v>1301</v>
      </c>
      <c r="G2369" s="85"/>
      <c r="H2369" s="85"/>
      <c r="I2369" s="85"/>
      <c r="J2369" s="85"/>
      <c r="L2369" s="35"/>
    </row>
    <row r="2370" spans="1:52">
      <c r="A2370" s="8" t="s">
        <v>1304</v>
      </c>
      <c r="B2370" s="56">
        <v>3</v>
      </c>
      <c r="C2370" s="3" t="s">
        <v>3</v>
      </c>
      <c r="D2370" s="85"/>
      <c r="E2370" s="85"/>
      <c r="F2370" s="84" t="s">
        <v>1302</v>
      </c>
      <c r="G2370" s="85"/>
      <c r="H2370" s="85"/>
      <c r="I2370" s="85"/>
      <c r="J2370" s="85"/>
      <c r="L2370" s="35"/>
    </row>
    <row r="2371" spans="1:52">
      <c r="A2371" s="8" t="s">
        <v>1304</v>
      </c>
      <c r="B2371" s="56">
        <v>4</v>
      </c>
      <c r="C2371" s="3" t="s">
        <v>3</v>
      </c>
      <c r="D2371" s="85"/>
      <c r="E2371" s="85"/>
      <c r="F2371" s="84" t="s">
        <v>1303</v>
      </c>
      <c r="G2371" s="85"/>
      <c r="H2371" s="85"/>
      <c r="I2371" s="85"/>
      <c r="J2371" s="85"/>
      <c r="L2371" s="35"/>
    </row>
    <row r="2372" spans="1:52" ht="15">
      <c r="A2372" s="8">
        <v>0</v>
      </c>
      <c r="B2372" s="8">
        <v>0</v>
      </c>
      <c r="C2372" s="3" t="s">
        <v>3</v>
      </c>
      <c r="D2372" s="85"/>
      <c r="E2372" s="85"/>
      <c r="F2372" s="84" t="s">
        <v>661</v>
      </c>
      <c r="G2372" s="85"/>
      <c r="H2372" s="85"/>
      <c r="I2372" s="85"/>
      <c r="J2372" s="85"/>
      <c r="L2372" s="35"/>
    </row>
    <row r="2373" spans="1:52" ht="15">
      <c r="A2373" s="8">
        <v>0</v>
      </c>
      <c r="B2373" s="8">
        <v>0</v>
      </c>
      <c r="C2373" s="3" t="s">
        <v>3</v>
      </c>
      <c r="D2373" s="85"/>
      <c r="E2373" s="85"/>
      <c r="F2373" s="84" t="s">
        <v>661</v>
      </c>
      <c r="G2373" s="85"/>
      <c r="H2373" s="85"/>
      <c r="I2373" s="85"/>
      <c r="J2373" s="85"/>
      <c r="L2373" s="35"/>
    </row>
    <row r="2374" spans="1:52" ht="15" thickBot="1">
      <c r="A2374" s="36" t="s">
        <v>0</v>
      </c>
      <c r="B2374" s="54">
        <f>B2348+1</f>
        <v>16</v>
      </c>
      <c r="C2374" s="36" t="s">
        <v>662</v>
      </c>
      <c r="D2374" s="36"/>
      <c r="E2374" s="36"/>
      <c r="F2374" s="36"/>
      <c r="G2374" s="36"/>
      <c r="H2374" s="36"/>
      <c r="I2374" s="36"/>
      <c r="J2374" s="36"/>
      <c r="K2374" s="36"/>
      <c r="L2374" s="36"/>
      <c r="M2374" s="36"/>
      <c r="N2374" s="36"/>
      <c r="O2374" s="36"/>
      <c r="P2374" s="36"/>
    </row>
    <row r="2375" spans="1:52" ht="15" thickBot="1">
      <c r="A2375" t="s">
        <v>26</v>
      </c>
      <c r="B2375" s="3" t="s">
        <v>3</v>
      </c>
      <c r="F2375" t="s">
        <v>1343</v>
      </c>
      <c r="T2375" s="148">
        <v>1827</v>
      </c>
      <c r="U2375" s="148">
        <v>1835</v>
      </c>
      <c r="V2375" s="148">
        <v>1843</v>
      </c>
      <c r="W2375" s="148">
        <v>1851</v>
      </c>
      <c r="X2375" s="148">
        <v>1802</v>
      </c>
      <c r="Y2375" s="148"/>
      <c r="Z2375" s="148"/>
      <c r="AA2375" s="148"/>
      <c r="AB2375" s="148"/>
      <c r="AC2375" s="148"/>
      <c r="AD2375" s="148"/>
      <c r="AE2375" s="148"/>
      <c r="AF2375" s="148"/>
      <c r="AG2375" s="148"/>
      <c r="AH2375" s="148"/>
      <c r="AI2375" s="148"/>
      <c r="AJ2375" s="148"/>
      <c r="AK2375" s="148"/>
      <c r="AL2375" s="148"/>
      <c r="AM2375" s="148"/>
      <c r="AN2375" s="148"/>
      <c r="AO2375" s="148"/>
      <c r="AP2375" s="148"/>
      <c r="AQ2375" s="148"/>
      <c r="AR2375" s="148"/>
      <c r="AS2375" s="152"/>
      <c r="AT2375" t="s">
        <v>1425</v>
      </c>
      <c r="AZ2375" s="166" t="s">
        <v>1430</v>
      </c>
    </row>
    <row r="2376" spans="1:52">
      <c r="A2376" s="151">
        <v>102</v>
      </c>
      <c r="B2376" s="152"/>
      <c r="C2376" s="3" t="s">
        <v>3</v>
      </c>
      <c r="N2376" t="s">
        <v>1344</v>
      </c>
      <c r="T2376" s="23">
        <v>1826</v>
      </c>
      <c r="U2376" s="23">
        <v>1834</v>
      </c>
      <c r="V2376" s="23">
        <v>1842</v>
      </c>
      <c r="W2376" s="23">
        <v>1850</v>
      </c>
      <c r="X2376" s="23">
        <v>2360</v>
      </c>
      <c r="Y2376" s="23"/>
      <c r="Z2376" s="23"/>
      <c r="AA2376" s="23"/>
      <c r="AB2376" s="23"/>
      <c r="AC2376" s="23"/>
      <c r="AD2376" s="23"/>
      <c r="AE2376" s="23"/>
      <c r="AF2376" s="23"/>
      <c r="AG2376" s="23"/>
      <c r="AH2376" s="23"/>
      <c r="AI2376" s="23"/>
      <c r="AJ2376" s="23"/>
      <c r="AK2376" s="23"/>
      <c r="AL2376" s="23"/>
      <c r="AM2376" s="23"/>
      <c r="AN2376" s="23"/>
      <c r="AO2376" s="23"/>
      <c r="AP2376" s="23"/>
      <c r="AQ2376" s="23"/>
      <c r="AR2376" s="23"/>
      <c r="AS2376" s="154"/>
      <c r="AT2376" s="3" t="s">
        <v>3</v>
      </c>
    </row>
    <row r="2377" spans="1:52">
      <c r="A2377" s="153">
        <v>103</v>
      </c>
      <c r="B2377" s="154"/>
      <c r="C2377" s="3" t="s">
        <v>3</v>
      </c>
      <c r="N2377" t="s">
        <v>1432</v>
      </c>
      <c r="T2377" s="23">
        <v>1825</v>
      </c>
      <c r="U2377" s="23">
        <v>1833</v>
      </c>
      <c r="V2377" s="23">
        <v>1841</v>
      </c>
      <c r="W2377" s="23">
        <v>1849</v>
      </c>
      <c r="X2377" s="23"/>
      <c r="Y2377" s="23"/>
      <c r="Z2377" s="23"/>
      <c r="AA2377" s="23"/>
      <c r="AB2377" s="23"/>
      <c r="AC2377" s="23"/>
      <c r="AD2377" s="23"/>
      <c r="AE2377" s="23"/>
      <c r="AF2377" s="23"/>
      <c r="AG2377" s="23"/>
      <c r="AH2377" s="23"/>
      <c r="AI2377" s="23"/>
      <c r="AJ2377" s="23"/>
      <c r="AK2377" s="23"/>
      <c r="AL2377" s="23"/>
      <c r="AM2377" s="23"/>
      <c r="AN2377" s="23"/>
      <c r="AO2377" s="23"/>
      <c r="AP2377" s="23"/>
      <c r="AQ2377" s="23"/>
      <c r="AR2377" s="23"/>
      <c r="AS2377" s="154"/>
      <c r="AT2377" s="3" t="s">
        <v>3</v>
      </c>
    </row>
    <row r="2378" spans="1:52">
      <c r="A2378" s="153">
        <v>148</v>
      </c>
      <c r="B2378" s="154"/>
      <c r="C2378" s="3" t="s">
        <v>3</v>
      </c>
      <c r="N2378" t="s">
        <v>1433</v>
      </c>
      <c r="T2378" s="23">
        <v>1824</v>
      </c>
      <c r="U2378" s="23">
        <v>1832</v>
      </c>
      <c r="V2378" s="23">
        <v>1840</v>
      </c>
      <c r="W2378" s="23">
        <v>1848</v>
      </c>
      <c r="X2378" s="23"/>
      <c r="Y2378" s="23"/>
      <c r="Z2378" s="23"/>
      <c r="AA2378" s="23"/>
      <c r="AB2378" s="23"/>
      <c r="AC2378" s="23"/>
      <c r="AD2378" s="23"/>
      <c r="AE2378" s="23"/>
      <c r="AF2378" s="23"/>
      <c r="AG2378" s="23"/>
      <c r="AH2378" s="23"/>
      <c r="AI2378" s="23"/>
      <c r="AJ2378" s="23"/>
      <c r="AK2378" s="23"/>
      <c r="AL2378" s="23"/>
      <c r="AM2378" s="23"/>
      <c r="AN2378" s="23"/>
      <c r="AO2378" s="23"/>
      <c r="AP2378" s="23"/>
      <c r="AQ2378" s="23"/>
      <c r="AR2378" s="23"/>
      <c r="AS2378" s="154"/>
      <c r="AT2378" s="3" t="s">
        <v>3</v>
      </c>
    </row>
    <row r="2379" spans="1:52">
      <c r="A2379" s="153"/>
      <c r="B2379" s="154"/>
      <c r="C2379" s="3" t="s">
        <v>3</v>
      </c>
      <c r="N2379" t="s">
        <v>1434</v>
      </c>
      <c r="T2379" s="23">
        <v>1839</v>
      </c>
      <c r="U2379" s="23">
        <v>1847</v>
      </c>
      <c r="V2379" s="23">
        <v>1855</v>
      </c>
      <c r="W2379" s="23">
        <v>687</v>
      </c>
      <c r="X2379" s="23"/>
      <c r="Y2379" s="23"/>
      <c r="Z2379" s="23"/>
      <c r="AA2379" s="23"/>
      <c r="AB2379" s="23"/>
      <c r="AC2379" s="23"/>
      <c r="AD2379" s="23"/>
      <c r="AE2379" s="23"/>
      <c r="AF2379" s="23"/>
      <c r="AG2379" s="23"/>
      <c r="AH2379" s="23"/>
      <c r="AI2379" s="23"/>
      <c r="AJ2379" s="23"/>
      <c r="AK2379" s="23"/>
      <c r="AL2379" s="23"/>
      <c r="AM2379" s="23"/>
      <c r="AN2379" s="23"/>
      <c r="AO2379" s="23"/>
      <c r="AP2379" s="23"/>
      <c r="AQ2379" s="23"/>
      <c r="AR2379" s="23"/>
      <c r="AS2379" s="154"/>
      <c r="AT2379" s="3" t="s">
        <v>3</v>
      </c>
    </row>
    <row r="2380" spans="1:52">
      <c r="A2380" s="153"/>
      <c r="B2380" s="154"/>
      <c r="C2380" s="3" t="s">
        <v>3</v>
      </c>
      <c r="T2380" s="23">
        <v>1838</v>
      </c>
      <c r="U2380" s="23">
        <v>1846</v>
      </c>
      <c r="V2380" s="23">
        <v>1854</v>
      </c>
      <c r="W2380" s="23">
        <v>686</v>
      </c>
      <c r="X2380" s="23"/>
      <c r="Y2380" s="23"/>
      <c r="Z2380" s="23"/>
      <c r="AA2380" s="23"/>
      <c r="AB2380" s="23"/>
      <c r="AC2380" s="23"/>
      <c r="AD2380" s="23"/>
      <c r="AE2380" s="23"/>
      <c r="AF2380" s="23"/>
      <c r="AG2380" s="23"/>
      <c r="AH2380" s="23"/>
      <c r="AI2380" s="23"/>
      <c r="AJ2380" s="23"/>
      <c r="AK2380" s="23"/>
      <c r="AL2380" s="23"/>
      <c r="AM2380" s="23"/>
      <c r="AN2380" s="23"/>
      <c r="AO2380" s="23"/>
      <c r="AP2380" s="23"/>
      <c r="AQ2380" s="23"/>
      <c r="AR2380" s="23"/>
      <c r="AS2380" s="154"/>
      <c r="AT2380" s="3" t="s">
        <v>3</v>
      </c>
    </row>
    <row r="2381" spans="1:52">
      <c r="A2381" s="153"/>
      <c r="B2381" s="154"/>
      <c r="C2381" s="3" t="s">
        <v>3</v>
      </c>
      <c r="T2381" s="23">
        <v>1837</v>
      </c>
      <c r="U2381" s="23">
        <v>1845</v>
      </c>
      <c r="V2381" s="23">
        <v>1853</v>
      </c>
      <c r="W2381" s="23">
        <v>1623</v>
      </c>
      <c r="X2381" s="23"/>
      <c r="Y2381" s="23"/>
      <c r="Z2381" s="23"/>
      <c r="AA2381" s="23"/>
      <c r="AB2381" s="23"/>
      <c r="AC2381" s="23"/>
      <c r="AD2381" s="23"/>
      <c r="AE2381" s="23"/>
      <c r="AF2381" s="23"/>
      <c r="AG2381" s="23"/>
      <c r="AH2381" s="23"/>
      <c r="AI2381" s="23"/>
      <c r="AJ2381" s="23"/>
      <c r="AK2381" s="23"/>
      <c r="AL2381" s="23"/>
      <c r="AM2381" s="23"/>
      <c r="AN2381" s="23"/>
      <c r="AO2381" s="23"/>
      <c r="AP2381" s="23"/>
      <c r="AQ2381" s="23"/>
      <c r="AR2381" s="23"/>
      <c r="AS2381" s="154"/>
      <c r="AT2381" s="3" t="s">
        <v>3</v>
      </c>
    </row>
    <row r="2382" spans="1:52" ht="15" thickBot="1">
      <c r="A2382" s="153"/>
      <c r="B2382" s="154"/>
      <c r="C2382" s="3" t="s">
        <v>3</v>
      </c>
      <c r="T2382" s="147">
        <v>1836</v>
      </c>
      <c r="U2382" s="147">
        <v>1844</v>
      </c>
      <c r="V2382" s="147">
        <v>1852</v>
      </c>
      <c r="W2382" s="147">
        <v>1622</v>
      </c>
      <c r="X2382" s="147"/>
      <c r="Y2382" s="147"/>
      <c r="Z2382" s="147"/>
      <c r="AA2382" s="147"/>
      <c r="AB2382" s="147"/>
      <c r="AC2382" s="147"/>
      <c r="AD2382" s="147"/>
      <c r="AE2382" s="147"/>
      <c r="AF2382" s="147"/>
      <c r="AG2382" s="147"/>
      <c r="AH2382" s="147"/>
      <c r="AI2382" s="147"/>
      <c r="AJ2382" s="147"/>
      <c r="AK2382" s="147"/>
      <c r="AL2382" s="147"/>
      <c r="AM2382" s="147"/>
      <c r="AN2382" s="147"/>
      <c r="AO2382" s="147"/>
      <c r="AP2382" s="147"/>
      <c r="AQ2382" s="147"/>
      <c r="AR2382" s="147"/>
      <c r="AS2382" s="156"/>
      <c r="AT2382" s="3" t="s">
        <v>3</v>
      </c>
    </row>
    <row r="2383" spans="1:52" ht="15" thickBot="1">
      <c r="A2383" s="155"/>
      <c r="B2383" s="156"/>
      <c r="C2383" s="3" t="s">
        <v>3</v>
      </c>
      <c r="T2383" s="133"/>
      <c r="U2383" s="133"/>
      <c r="V2383" s="133"/>
      <c r="W2383" s="133"/>
      <c r="X2383" s="133"/>
      <c r="Y2383" s="133"/>
      <c r="Z2383" s="133"/>
      <c r="AA2383" s="133"/>
      <c r="AB2383" s="133"/>
      <c r="AC2383" s="133"/>
      <c r="AD2383" s="133"/>
      <c r="AE2383" s="133"/>
      <c r="AF2383" s="133"/>
      <c r="AG2383" s="133"/>
      <c r="AH2383" s="133"/>
      <c r="AI2383" s="133"/>
      <c r="AJ2383" s="133"/>
      <c r="AK2383" s="133"/>
      <c r="AL2383" s="133"/>
      <c r="AM2383" s="133"/>
      <c r="AN2383" s="133"/>
      <c r="AO2383" s="133"/>
      <c r="AP2383" s="133"/>
      <c r="AQ2383" s="133"/>
      <c r="AR2383" s="133"/>
      <c r="AS2383" s="133"/>
      <c r="AT2383" s="3"/>
    </row>
    <row r="2384" spans="1:52" ht="15" thickBot="1">
      <c r="A2384" s="3" t="s">
        <v>3</v>
      </c>
      <c r="B2384" s="3"/>
      <c r="C2384" s="3"/>
      <c r="W2384" s="166" t="s">
        <v>1445</v>
      </c>
    </row>
    <row r="2385" spans="1:23">
      <c r="A2385" s="203">
        <v>123</v>
      </c>
      <c r="B2385" s="152"/>
      <c r="C2385" s="3" t="s">
        <v>3</v>
      </c>
      <c r="N2385" t="s">
        <v>1345</v>
      </c>
    </row>
    <row r="2386" spans="1:23">
      <c r="A2386" s="204">
        <v>124</v>
      </c>
      <c r="B2386" s="154"/>
      <c r="C2386" s="3" t="s">
        <v>3</v>
      </c>
      <c r="N2386" t="s">
        <v>1435</v>
      </c>
    </row>
    <row r="2387" spans="1:23">
      <c r="A2387" s="204">
        <v>122</v>
      </c>
      <c r="B2387" s="154"/>
      <c r="C2387" s="3" t="s">
        <v>3</v>
      </c>
      <c r="E2387" s="153"/>
      <c r="N2387" t="s">
        <v>1434</v>
      </c>
    </row>
    <row r="2388" spans="1:23" ht="15" thickBot="1">
      <c r="A2388" s="205">
        <v>121</v>
      </c>
      <c r="B2388" s="154"/>
      <c r="C2388" s="3" t="s">
        <v>3</v>
      </c>
      <c r="E2388" s="153"/>
    </row>
    <row r="2389" spans="1:23">
      <c r="A2389" s="162">
        <v>149</v>
      </c>
      <c r="B2389" s="154"/>
      <c r="C2389" s="3" t="s">
        <v>3</v>
      </c>
      <c r="E2389" s="153"/>
    </row>
    <row r="2390" spans="1:23">
      <c r="A2390" s="206">
        <v>147</v>
      </c>
      <c r="B2390" s="154"/>
      <c r="C2390" s="3" t="s">
        <v>3</v>
      </c>
      <c r="E2390" s="153"/>
    </row>
    <row r="2391" spans="1:23">
      <c r="A2391" s="153"/>
      <c r="B2391" s="154"/>
      <c r="C2391" s="3" t="s">
        <v>3</v>
      </c>
    </row>
    <row r="2392" spans="1:23" ht="15" thickBot="1">
      <c r="A2392" s="155"/>
      <c r="B2392" s="156"/>
      <c r="C2392" s="3" t="s">
        <v>3</v>
      </c>
    </row>
    <row r="2393" spans="1:23" ht="15" thickBot="1">
      <c r="A2393" s="3" t="s">
        <v>3</v>
      </c>
      <c r="B2393" s="169"/>
      <c r="C2393" s="3"/>
      <c r="W2393" s="166" t="s">
        <v>1445</v>
      </c>
    </row>
    <row r="2394" spans="1:23">
      <c r="A2394" s="203">
        <v>255</v>
      </c>
      <c r="B2394" s="207">
        <v>255</v>
      </c>
      <c r="C2394" s="162">
        <v>255</v>
      </c>
      <c r="D2394" s="3" t="s">
        <v>3</v>
      </c>
      <c r="N2394" t="s">
        <v>1346</v>
      </c>
    </row>
    <row r="2395" spans="1:23">
      <c r="A2395" s="204">
        <v>255</v>
      </c>
      <c r="B2395" s="24">
        <v>255</v>
      </c>
      <c r="C2395" s="206"/>
      <c r="D2395" s="3" t="s">
        <v>3</v>
      </c>
    </row>
    <row r="2396" spans="1:23">
      <c r="A2396" s="204">
        <v>255</v>
      </c>
      <c r="B2396" s="24">
        <v>255</v>
      </c>
      <c r="C2396" s="206"/>
      <c r="D2396" s="3" t="s">
        <v>3</v>
      </c>
    </row>
    <row r="2397" spans="1:23">
      <c r="A2397" s="204">
        <v>255</v>
      </c>
      <c r="B2397" s="24">
        <v>255</v>
      </c>
      <c r="C2397" s="206"/>
      <c r="D2397" s="3" t="s">
        <v>3</v>
      </c>
    </row>
    <row r="2398" spans="1:23">
      <c r="A2398" s="204"/>
      <c r="B2398" s="24"/>
      <c r="C2398" s="206"/>
      <c r="D2398" s="3" t="s">
        <v>3</v>
      </c>
    </row>
    <row r="2399" spans="1:23">
      <c r="A2399" s="204"/>
      <c r="B2399" s="24"/>
      <c r="C2399" s="206"/>
      <c r="D2399" s="3" t="s">
        <v>3</v>
      </c>
    </row>
    <row r="2400" spans="1:23">
      <c r="A2400" s="204"/>
      <c r="B2400" s="24"/>
      <c r="C2400" s="206"/>
      <c r="D2400" s="3" t="s">
        <v>3</v>
      </c>
    </row>
    <row r="2401" spans="1:23" ht="15" thickBot="1">
      <c r="A2401" s="205"/>
      <c r="B2401" s="208"/>
      <c r="C2401" s="209"/>
      <c r="D2401" s="3" t="s">
        <v>3</v>
      </c>
    </row>
    <row r="2402" spans="1:23" ht="15" thickBot="1">
      <c r="A2402" s="3" t="s">
        <v>3</v>
      </c>
      <c r="B2402" s="170"/>
      <c r="C2402" s="169"/>
      <c r="D2402" s="3"/>
      <c r="W2402" s="166" t="s">
        <v>1445</v>
      </c>
    </row>
    <row r="2403" spans="1:23">
      <c r="A2403" s="151">
        <v>161</v>
      </c>
      <c r="B2403" s="148">
        <v>161</v>
      </c>
      <c r="C2403" s="148">
        <v>169</v>
      </c>
      <c r="D2403" s="152">
        <v>169</v>
      </c>
      <c r="E2403" s="3" t="s">
        <v>3</v>
      </c>
      <c r="N2403" t="s">
        <v>1347</v>
      </c>
    </row>
    <row r="2404" spans="1:23">
      <c r="A2404" s="153">
        <v>162</v>
      </c>
      <c r="B2404" s="23">
        <v>162</v>
      </c>
      <c r="C2404" s="23">
        <v>170</v>
      </c>
      <c r="D2404" s="154">
        <v>170</v>
      </c>
      <c r="E2404" s="3" t="s">
        <v>3</v>
      </c>
    </row>
    <row r="2405" spans="1:23">
      <c r="A2405" s="153">
        <v>163</v>
      </c>
      <c r="B2405" s="23">
        <v>163</v>
      </c>
      <c r="C2405" s="23">
        <v>171</v>
      </c>
      <c r="D2405" s="154">
        <v>171</v>
      </c>
      <c r="E2405" s="3" t="s">
        <v>3</v>
      </c>
    </row>
    <row r="2406" spans="1:23">
      <c r="A2406" s="153">
        <v>164</v>
      </c>
      <c r="B2406" s="23">
        <v>164</v>
      </c>
      <c r="C2406" s="23">
        <v>172</v>
      </c>
      <c r="D2406" s="154">
        <v>172</v>
      </c>
      <c r="E2406" s="3" t="s">
        <v>3</v>
      </c>
    </row>
    <row r="2407" spans="1:23">
      <c r="A2407" s="153">
        <v>165</v>
      </c>
      <c r="B2407" s="23">
        <v>165</v>
      </c>
      <c r="C2407" s="23">
        <v>173</v>
      </c>
      <c r="D2407" s="154">
        <v>173</v>
      </c>
      <c r="E2407" s="3" t="s">
        <v>3</v>
      </c>
    </row>
    <row r="2408" spans="1:23">
      <c r="A2408" s="153">
        <v>166</v>
      </c>
      <c r="B2408" s="23">
        <v>166</v>
      </c>
      <c r="C2408" s="23">
        <v>174</v>
      </c>
      <c r="D2408" s="154">
        <v>174</v>
      </c>
      <c r="E2408" s="3" t="s">
        <v>3</v>
      </c>
    </row>
    <row r="2409" spans="1:23">
      <c r="A2409" s="153">
        <v>167</v>
      </c>
      <c r="B2409" s="23">
        <v>167</v>
      </c>
      <c r="C2409" s="23">
        <v>175</v>
      </c>
      <c r="D2409" s="154">
        <v>175</v>
      </c>
      <c r="E2409" s="3" t="s">
        <v>3</v>
      </c>
    </row>
    <row r="2410" spans="1:23" ht="15" thickBot="1">
      <c r="A2410" s="155">
        <v>168</v>
      </c>
      <c r="B2410" s="147">
        <v>168</v>
      </c>
      <c r="C2410" s="147">
        <v>176</v>
      </c>
      <c r="D2410" s="156">
        <v>176</v>
      </c>
      <c r="E2410" s="3" t="s">
        <v>3</v>
      </c>
    </row>
    <row r="2411" spans="1:23" ht="15" thickBot="1">
      <c r="A2411" s="3" t="s">
        <v>3</v>
      </c>
      <c r="B2411" s="3"/>
      <c r="C2411" s="3"/>
      <c r="D2411" s="3"/>
      <c r="E2411" s="3"/>
      <c r="W2411" s="166" t="s">
        <v>1445</v>
      </c>
    </row>
    <row r="2412" spans="1:23">
      <c r="A2412" s="151">
        <v>774</v>
      </c>
      <c r="B2412" s="148">
        <v>790</v>
      </c>
      <c r="C2412" s="148">
        <v>806</v>
      </c>
      <c r="D2412" s="148">
        <v>822</v>
      </c>
      <c r="E2412" s="148">
        <v>838</v>
      </c>
      <c r="F2412" s="148">
        <v>854</v>
      </c>
      <c r="G2412" s="148">
        <v>870</v>
      </c>
      <c r="H2412" s="148">
        <v>886</v>
      </c>
      <c r="I2412" s="148">
        <v>902</v>
      </c>
      <c r="J2412" s="148">
        <v>918</v>
      </c>
      <c r="K2412" s="148">
        <v>934</v>
      </c>
      <c r="L2412" s="148">
        <v>950</v>
      </c>
      <c r="M2412" s="152">
        <v>966</v>
      </c>
      <c r="N2412" s="3" t="s">
        <v>1436</v>
      </c>
      <c r="S2412" s="166" t="s">
        <v>1445</v>
      </c>
    </row>
    <row r="2413" spans="1:23">
      <c r="A2413" s="153">
        <v>772</v>
      </c>
      <c r="B2413" s="23">
        <v>788</v>
      </c>
      <c r="C2413" s="23">
        <v>804</v>
      </c>
      <c r="D2413" s="23">
        <v>820</v>
      </c>
      <c r="E2413" s="23">
        <v>836</v>
      </c>
      <c r="F2413" s="23">
        <v>852</v>
      </c>
      <c r="G2413" s="23">
        <v>868</v>
      </c>
      <c r="H2413" s="23">
        <v>884</v>
      </c>
      <c r="I2413" s="23">
        <v>900</v>
      </c>
      <c r="J2413" s="23">
        <v>916</v>
      </c>
      <c r="K2413" s="23">
        <v>932</v>
      </c>
      <c r="L2413" s="23">
        <v>948</v>
      </c>
      <c r="M2413" s="154">
        <v>964</v>
      </c>
      <c r="N2413" s="3" t="s">
        <v>1437</v>
      </c>
    </row>
    <row r="2414" spans="1:23">
      <c r="A2414" s="153">
        <v>770</v>
      </c>
      <c r="B2414" s="23">
        <v>786</v>
      </c>
      <c r="C2414" s="23">
        <v>802</v>
      </c>
      <c r="D2414" s="23">
        <v>818</v>
      </c>
      <c r="E2414" s="23">
        <v>834</v>
      </c>
      <c r="F2414" s="23">
        <v>850</v>
      </c>
      <c r="G2414" s="23">
        <v>866</v>
      </c>
      <c r="H2414" s="23">
        <v>882</v>
      </c>
      <c r="I2414" s="23">
        <v>898</v>
      </c>
      <c r="J2414" s="23">
        <v>914</v>
      </c>
      <c r="K2414" s="23">
        <v>930</v>
      </c>
      <c r="L2414" s="23">
        <v>946</v>
      </c>
      <c r="M2414" s="154">
        <v>962</v>
      </c>
    </row>
    <row r="2415" spans="1:23">
      <c r="A2415" s="153">
        <v>768</v>
      </c>
      <c r="B2415" s="23">
        <v>784</v>
      </c>
      <c r="C2415" s="23">
        <v>800</v>
      </c>
      <c r="D2415" s="23">
        <v>816</v>
      </c>
      <c r="E2415" s="23">
        <v>832</v>
      </c>
      <c r="F2415" s="23">
        <v>848</v>
      </c>
      <c r="G2415" s="23">
        <v>864</v>
      </c>
      <c r="H2415" s="23">
        <v>880</v>
      </c>
      <c r="I2415" s="23">
        <v>896</v>
      </c>
      <c r="J2415" s="23">
        <v>912</v>
      </c>
      <c r="K2415" s="23">
        <v>928</v>
      </c>
      <c r="L2415" s="23">
        <v>944</v>
      </c>
      <c r="M2415" s="154">
        <v>960</v>
      </c>
      <c r="N2415" s="3" t="s">
        <v>3</v>
      </c>
    </row>
    <row r="2416" spans="1:23">
      <c r="A2416" s="153">
        <v>782</v>
      </c>
      <c r="B2416" s="23">
        <v>798</v>
      </c>
      <c r="C2416" s="23">
        <v>814</v>
      </c>
      <c r="D2416" s="23">
        <v>830</v>
      </c>
      <c r="E2416" s="23">
        <v>846</v>
      </c>
      <c r="F2416" s="23">
        <v>862</v>
      </c>
      <c r="G2416" s="23">
        <v>878</v>
      </c>
      <c r="H2416" s="23">
        <v>894</v>
      </c>
      <c r="I2416" s="23">
        <v>910</v>
      </c>
      <c r="J2416" s="23">
        <v>926</v>
      </c>
      <c r="K2416" s="23">
        <v>942</v>
      </c>
      <c r="L2416" s="23">
        <v>958</v>
      </c>
      <c r="M2416" s="157"/>
      <c r="N2416" s="3" t="s">
        <v>3</v>
      </c>
    </row>
    <row r="2417" spans="1:23">
      <c r="A2417" s="153">
        <v>780</v>
      </c>
      <c r="B2417" s="23">
        <v>796</v>
      </c>
      <c r="C2417" s="23">
        <v>812</v>
      </c>
      <c r="D2417" s="23">
        <v>828</v>
      </c>
      <c r="E2417" s="23">
        <v>844</v>
      </c>
      <c r="F2417" s="23">
        <v>860</v>
      </c>
      <c r="G2417" s="23">
        <v>876</v>
      </c>
      <c r="H2417" s="23">
        <v>892</v>
      </c>
      <c r="I2417" s="23">
        <v>908</v>
      </c>
      <c r="J2417" s="23">
        <v>924</v>
      </c>
      <c r="K2417" s="23">
        <v>940</v>
      </c>
      <c r="L2417" s="23">
        <v>956</v>
      </c>
      <c r="M2417" s="157"/>
      <c r="N2417" s="3" t="s">
        <v>3</v>
      </c>
    </row>
    <row r="2418" spans="1:23">
      <c r="A2418" s="153">
        <v>778</v>
      </c>
      <c r="B2418" s="23">
        <v>794</v>
      </c>
      <c r="C2418" s="23">
        <v>810</v>
      </c>
      <c r="D2418" s="23">
        <v>826</v>
      </c>
      <c r="E2418" s="23">
        <v>842</v>
      </c>
      <c r="F2418" s="23">
        <v>858</v>
      </c>
      <c r="G2418" s="23">
        <v>874</v>
      </c>
      <c r="H2418" s="23">
        <v>890</v>
      </c>
      <c r="I2418" s="23">
        <v>906</v>
      </c>
      <c r="J2418" s="23">
        <v>922</v>
      </c>
      <c r="K2418" s="23">
        <v>938</v>
      </c>
      <c r="L2418" s="23">
        <v>954</v>
      </c>
      <c r="M2418" s="157"/>
      <c r="N2418" s="3" t="s">
        <v>3</v>
      </c>
    </row>
    <row r="2419" spans="1:23" ht="15" thickBot="1">
      <c r="A2419" s="155">
        <v>776</v>
      </c>
      <c r="B2419" s="147">
        <v>792</v>
      </c>
      <c r="C2419" s="147">
        <v>808</v>
      </c>
      <c r="D2419" s="147">
        <v>824</v>
      </c>
      <c r="E2419" s="147">
        <v>840</v>
      </c>
      <c r="F2419" s="147">
        <v>856</v>
      </c>
      <c r="G2419" s="147">
        <v>872</v>
      </c>
      <c r="H2419" s="147">
        <v>888</v>
      </c>
      <c r="I2419" s="147">
        <v>904</v>
      </c>
      <c r="J2419" s="147">
        <v>920</v>
      </c>
      <c r="K2419" s="147">
        <v>936</v>
      </c>
      <c r="L2419" s="147">
        <v>952</v>
      </c>
      <c r="M2419" s="158"/>
      <c r="N2419" s="3" t="s">
        <v>3</v>
      </c>
    </row>
    <row r="2420" spans="1:23" ht="15" thickBot="1">
      <c r="A2420" s="3" t="s">
        <v>3</v>
      </c>
      <c r="B2420" s="133"/>
      <c r="C2420" s="133"/>
      <c r="D2420" s="133"/>
      <c r="E2420" s="133"/>
      <c r="F2420" s="133"/>
      <c r="G2420" s="133"/>
      <c r="H2420" s="133"/>
      <c r="I2420" s="133"/>
      <c r="J2420" s="133"/>
      <c r="K2420" s="133"/>
      <c r="L2420" s="133"/>
      <c r="M2420" s="133"/>
      <c r="N2420" s="3"/>
      <c r="W2420" s="166" t="s">
        <v>1445</v>
      </c>
    </row>
    <row r="2421" spans="1:23">
      <c r="A2421" s="151">
        <v>592</v>
      </c>
      <c r="B2421" s="148">
        <v>1744</v>
      </c>
      <c r="C2421" s="148">
        <v>755</v>
      </c>
      <c r="D2421" s="152">
        <v>995</v>
      </c>
      <c r="E2421" s="3" t="s">
        <v>3</v>
      </c>
      <c r="Q2421" t="s">
        <v>1350</v>
      </c>
      <c r="S2421" s="166" t="s">
        <v>1430</v>
      </c>
    </row>
    <row r="2422" spans="1:23">
      <c r="A2422" s="153">
        <v>593</v>
      </c>
      <c r="B2422" s="23">
        <v>1745</v>
      </c>
      <c r="C2422" s="23">
        <v>759</v>
      </c>
      <c r="D2422" s="154">
        <v>999</v>
      </c>
      <c r="E2422" s="3" t="s">
        <v>3</v>
      </c>
      <c r="K2422" t="s">
        <v>1438</v>
      </c>
    </row>
    <row r="2423" spans="1:23">
      <c r="A2423" s="153">
        <v>594</v>
      </c>
      <c r="B2423" s="23">
        <v>1746</v>
      </c>
      <c r="C2423" s="23">
        <v>763</v>
      </c>
      <c r="D2423" s="154">
        <v>1003</v>
      </c>
      <c r="E2423" s="3" t="s">
        <v>3</v>
      </c>
      <c r="K2423" t="s">
        <v>1439</v>
      </c>
    </row>
    <row r="2424" spans="1:23">
      <c r="A2424" s="153">
        <v>595</v>
      </c>
      <c r="B2424" s="23">
        <v>1747</v>
      </c>
      <c r="C2424" s="23">
        <v>767</v>
      </c>
      <c r="D2424" s="154">
        <v>1007</v>
      </c>
      <c r="E2424" s="3" t="s">
        <v>3</v>
      </c>
      <c r="K2424" t="s">
        <v>1440</v>
      </c>
    </row>
    <row r="2425" spans="1:23">
      <c r="A2425" s="153">
        <v>596</v>
      </c>
      <c r="B2425" s="23">
        <v>1748</v>
      </c>
      <c r="C2425" s="23">
        <v>979</v>
      </c>
      <c r="D2425" s="154">
        <v>1011</v>
      </c>
      <c r="E2425" s="3" t="s">
        <v>3</v>
      </c>
    </row>
    <row r="2426" spans="1:23">
      <c r="A2426" s="153">
        <v>597</v>
      </c>
      <c r="B2426" s="23">
        <v>1749</v>
      </c>
      <c r="C2426" s="23">
        <v>983</v>
      </c>
      <c r="D2426" s="154">
        <v>1015</v>
      </c>
      <c r="E2426" s="3" t="s">
        <v>3</v>
      </c>
    </row>
    <row r="2427" spans="1:23">
      <c r="A2427" s="153">
        <v>598</v>
      </c>
      <c r="B2427" s="23">
        <v>1750</v>
      </c>
      <c r="C2427" s="23">
        <v>987</v>
      </c>
      <c r="D2427" s="154">
        <v>1019</v>
      </c>
      <c r="E2427" s="3" t="s">
        <v>3</v>
      </c>
    </row>
    <row r="2428" spans="1:23" ht="15" thickBot="1">
      <c r="A2428" s="155">
        <v>599</v>
      </c>
      <c r="B2428" s="147">
        <v>1751</v>
      </c>
      <c r="C2428" s="147">
        <v>991</v>
      </c>
      <c r="D2428" s="156">
        <v>1023</v>
      </c>
      <c r="E2428" s="3" t="s">
        <v>3</v>
      </c>
    </row>
    <row r="2429" spans="1:23" ht="15" thickBot="1">
      <c r="A2429" s="3" t="s">
        <v>3</v>
      </c>
      <c r="B2429" s="3"/>
      <c r="C2429" s="3"/>
      <c r="D2429" s="3"/>
      <c r="E2429" s="3"/>
      <c r="W2429" s="166" t="s">
        <v>1445</v>
      </c>
    </row>
    <row r="2430" spans="1:23">
      <c r="A2430" s="151">
        <v>600</v>
      </c>
      <c r="B2430" s="148">
        <v>1752</v>
      </c>
      <c r="C2430" s="148">
        <v>753</v>
      </c>
      <c r="D2430" s="152">
        <v>993</v>
      </c>
      <c r="E2430" s="3" t="s">
        <v>3</v>
      </c>
      <c r="K2430" t="s">
        <v>1441</v>
      </c>
      <c r="S2430" s="166" t="s">
        <v>1445</v>
      </c>
    </row>
    <row r="2431" spans="1:23">
      <c r="A2431" s="153">
        <v>601</v>
      </c>
      <c r="B2431" s="23">
        <v>1753</v>
      </c>
      <c r="C2431" s="23">
        <v>757</v>
      </c>
      <c r="D2431" s="154">
        <v>997</v>
      </c>
      <c r="E2431" s="3" t="s">
        <v>3</v>
      </c>
      <c r="K2431" t="s">
        <v>1439</v>
      </c>
    </row>
    <row r="2432" spans="1:23">
      <c r="A2432" s="153">
        <v>602</v>
      </c>
      <c r="B2432" s="23">
        <v>1754</v>
      </c>
      <c r="C2432" s="23">
        <v>761</v>
      </c>
      <c r="D2432" s="154">
        <v>1001</v>
      </c>
      <c r="E2432" s="3" t="s">
        <v>3</v>
      </c>
      <c r="K2432" t="s">
        <v>1442</v>
      </c>
    </row>
    <row r="2433" spans="1:23">
      <c r="A2433" s="153">
        <v>603</v>
      </c>
      <c r="B2433" s="23">
        <v>1755</v>
      </c>
      <c r="C2433" s="23">
        <v>765</v>
      </c>
      <c r="D2433" s="154">
        <v>1005</v>
      </c>
      <c r="E2433" s="3" t="s">
        <v>3</v>
      </c>
    </row>
    <row r="2434" spans="1:23">
      <c r="A2434" s="153">
        <v>604</v>
      </c>
      <c r="B2434" s="23">
        <v>1756</v>
      </c>
      <c r="C2434" s="23">
        <v>977</v>
      </c>
      <c r="D2434" s="154">
        <v>1009</v>
      </c>
      <c r="E2434" s="3" t="s">
        <v>3</v>
      </c>
    </row>
    <row r="2435" spans="1:23">
      <c r="A2435" s="153">
        <v>605</v>
      </c>
      <c r="B2435" s="23">
        <v>1757</v>
      </c>
      <c r="C2435" s="23">
        <v>981</v>
      </c>
      <c r="D2435" s="154">
        <v>1013</v>
      </c>
      <c r="E2435" s="3" t="s">
        <v>3</v>
      </c>
    </row>
    <row r="2436" spans="1:23">
      <c r="A2436" s="153">
        <v>606</v>
      </c>
      <c r="B2436" s="23">
        <v>1758</v>
      </c>
      <c r="C2436" s="23">
        <v>985</v>
      </c>
      <c r="D2436" s="154">
        <v>1017</v>
      </c>
      <c r="E2436" s="3" t="s">
        <v>3</v>
      </c>
    </row>
    <row r="2437" spans="1:23" ht="15" thickBot="1">
      <c r="A2437" s="155">
        <v>607</v>
      </c>
      <c r="B2437" s="147">
        <v>1759</v>
      </c>
      <c r="C2437" s="147">
        <v>989</v>
      </c>
      <c r="D2437" s="156">
        <v>1021</v>
      </c>
      <c r="E2437" s="3" t="s">
        <v>3</v>
      </c>
    </row>
    <row r="2438" spans="1:23" ht="15" thickBot="1">
      <c r="A2438" s="3" t="s">
        <v>3</v>
      </c>
      <c r="B2438" s="133"/>
      <c r="C2438" s="133"/>
      <c r="D2438" s="133"/>
      <c r="E2438" s="3"/>
      <c r="W2438" s="166" t="s">
        <v>1445</v>
      </c>
    </row>
    <row r="2439" spans="1:23">
      <c r="A2439" s="159">
        <v>1895</v>
      </c>
      <c r="B2439" s="3" t="s">
        <v>3</v>
      </c>
      <c r="K2439" t="s">
        <v>1443</v>
      </c>
      <c r="S2439" s="166" t="s">
        <v>1445</v>
      </c>
    </row>
    <row r="2440" spans="1:23">
      <c r="A2440" s="160">
        <v>1903</v>
      </c>
      <c r="B2440" s="3" t="s">
        <v>3</v>
      </c>
      <c r="K2440" t="s">
        <v>1439</v>
      </c>
    </row>
    <row r="2441" spans="1:23">
      <c r="A2441" s="160">
        <v>1911</v>
      </c>
      <c r="B2441" s="3" t="s">
        <v>3</v>
      </c>
      <c r="K2441" t="s">
        <v>1442</v>
      </c>
    </row>
    <row r="2442" spans="1:23">
      <c r="A2442" s="160">
        <v>1919</v>
      </c>
      <c r="B2442" s="3" t="s">
        <v>3</v>
      </c>
    </row>
    <row r="2443" spans="1:23">
      <c r="A2443" s="160">
        <v>2023</v>
      </c>
      <c r="B2443" s="3" t="s">
        <v>3</v>
      </c>
    </row>
    <row r="2444" spans="1:23">
      <c r="A2444" s="160">
        <v>2031</v>
      </c>
      <c r="B2444" s="3" t="s">
        <v>3</v>
      </c>
    </row>
    <row r="2445" spans="1:23">
      <c r="A2445" s="160">
        <v>2039</v>
      </c>
      <c r="B2445" s="3" t="s">
        <v>3</v>
      </c>
    </row>
    <row r="2446" spans="1:23" ht="15" thickBot="1">
      <c r="A2446" s="161">
        <v>2047</v>
      </c>
      <c r="B2446" s="3" t="s">
        <v>3</v>
      </c>
    </row>
    <row r="2447" spans="1:23" ht="15" thickBot="1">
      <c r="A2447" s="3" t="s">
        <v>3</v>
      </c>
      <c r="W2447" s="166" t="s">
        <v>1445</v>
      </c>
    </row>
    <row r="2448" spans="1:23">
      <c r="A2448" s="159">
        <v>1895</v>
      </c>
      <c r="B2448" s="3" t="s">
        <v>3</v>
      </c>
      <c r="K2448" t="s">
        <v>1444</v>
      </c>
      <c r="S2448" s="166" t="s">
        <v>1445</v>
      </c>
    </row>
    <row r="2449" spans="1:23">
      <c r="A2449" s="160">
        <v>1903</v>
      </c>
      <c r="B2449" s="3" t="s">
        <v>3</v>
      </c>
      <c r="K2449" t="s">
        <v>1439</v>
      </c>
    </row>
    <row r="2450" spans="1:23">
      <c r="A2450" s="160">
        <v>1911</v>
      </c>
      <c r="B2450" s="3" t="s">
        <v>3</v>
      </c>
      <c r="K2450" t="s">
        <v>1442</v>
      </c>
    </row>
    <row r="2451" spans="1:23">
      <c r="A2451" s="160">
        <v>1919</v>
      </c>
      <c r="B2451" s="3" t="s">
        <v>3</v>
      </c>
    </row>
    <row r="2452" spans="1:23">
      <c r="A2452" s="160">
        <v>2023</v>
      </c>
      <c r="B2452" s="3" t="s">
        <v>3</v>
      </c>
    </row>
    <row r="2453" spans="1:23">
      <c r="A2453" s="160">
        <v>2031</v>
      </c>
      <c r="B2453" s="3" t="s">
        <v>3</v>
      </c>
    </row>
    <row r="2454" spans="1:23">
      <c r="A2454" s="160">
        <v>2039</v>
      </c>
      <c r="B2454" s="3" t="s">
        <v>3</v>
      </c>
    </row>
    <row r="2455" spans="1:23" ht="15" thickBot="1">
      <c r="A2455" s="161">
        <v>2047</v>
      </c>
      <c r="B2455" s="3" t="s">
        <v>3</v>
      </c>
    </row>
    <row r="2456" spans="1:23" ht="15" thickBot="1">
      <c r="A2456" s="3" t="s">
        <v>3</v>
      </c>
      <c r="W2456" s="166" t="s">
        <v>1445</v>
      </c>
    </row>
    <row r="2457" spans="1:23">
      <c r="A2457" s="151">
        <v>0</v>
      </c>
      <c r="B2457" s="148">
        <v>8</v>
      </c>
      <c r="C2457" s="148">
        <v>16</v>
      </c>
      <c r="D2457" s="148">
        <v>24</v>
      </c>
      <c r="E2457" s="148">
        <v>64</v>
      </c>
      <c r="F2457" s="148">
        <v>72</v>
      </c>
      <c r="G2457" s="148">
        <v>80</v>
      </c>
      <c r="H2457" s="148">
        <v>88</v>
      </c>
      <c r="I2457" s="148">
        <v>128</v>
      </c>
      <c r="J2457" s="148">
        <v>136</v>
      </c>
      <c r="K2457" s="148">
        <v>144</v>
      </c>
      <c r="L2457" s="148">
        <v>152</v>
      </c>
      <c r="M2457" s="148">
        <v>192</v>
      </c>
      <c r="N2457" s="148">
        <v>200</v>
      </c>
      <c r="O2457" s="148">
        <v>208</v>
      </c>
      <c r="P2457" s="152">
        <v>216</v>
      </c>
      <c r="Q2457" t="s">
        <v>1354</v>
      </c>
    </row>
    <row r="2458" spans="1:23">
      <c r="A2458" s="153">
        <v>1</v>
      </c>
      <c r="B2458" s="23">
        <v>9</v>
      </c>
      <c r="C2458" s="23">
        <v>17</v>
      </c>
      <c r="D2458" s="23">
        <v>25</v>
      </c>
      <c r="E2458" s="23">
        <v>65</v>
      </c>
      <c r="F2458" s="23">
        <v>73</v>
      </c>
      <c r="G2458" s="23">
        <v>81</v>
      </c>
      <c r="H2458" s="23">
        <v>89</v>
      </c>
      <c r="I2458" s="23">
        <v>129</v>
      </c>
      <c r="J2458" s="23">
        <v>137</v>
      </c>
      <c r="K2458" s="23">
        <v>145</v>
      </c>
      <c r="L2458" s="23">
        <v>153</v>
      </c>
      <c r="M2458" s="23">
        <v>193</v>
      </c>
      <c r="N2458" s="23">
        <v>201</v>
      </c>
      <c r="O2458" s="23">
        <v>209</v>
      </c>
      <c r="P2458" s="154">
        <v>217</v>
      </c>
      <c r="Q2458" s="3" t="s">
        <v>3</v>
      </c>
    </row>
    <row r="2459" spans="1:23">
      <c r="A2459" s="153">
        <v>2</v>
      </c>
      <c r="B2459" s="23">
        <v>10</v>
      </c>
      <c r="C2459" s="23">
        <v>18</v>
      </c>
      <c r="D2459" s="23">
        <v>26</v>
      </c>
      <c r="E2459" s="23">
        <v>66</v>
      </c>
      <c r="F2459" s="23">
        <v>74</v>
      </c>
      <c r="G2459" s="23">
        <v>82</v>
      </c>
      <c r="H2459" s="23">
        <v>90</v>
      </c>
      <c r="I2459" s="23">
        <v>130</v>
      </c>
      <c r="J2459" s="23">
        <v>138</v>
      </c>
      <c r="K2459" s="23">
        <v>146</v>
      </c>
      <c r="L2459" s="23">
        <v>154</v>
      </c>
      <c r="M2459" s="23">
        <v>194</v>
      </c>
      <c r="N2459" s="23">
        <v>202</v>
      </c>
      <c r="O2459" s="23">
        <v>210</v>
      </c>
      <c r="P2459" s="154">
        <v>218</v>
      </c>
      <c r="Q2459" s="3" t="s">
        <v>3</v>
      </c>
    </row>
    <row r="2460" spans="1:23">
      <c r="A2460" s="153">
        <v>3</v>
      </c>
      <c r="B2460" s="23">
        <v>11</v>
      </c>
      <c r="C2460" s="23">
        <v>19</v>
      </c>
      <c r="D2460" s="23">
        <v>27</v>
      </c>
      <c r="E2460" s="23">
        <v>67</v>
      </c>
      <c r="F2460" s="23">
        <v>75</v>
      </c>
      <c r="G2460" s="23">
        <v>83</v>
      </c>
      <c r="H2460" s="23">
        <v>91</v>
      </c>
      <c r="I2460" s="23">
        <v>131</v>
      </c>
      <c r="J2460" s="23">
        <v>139</v>
      </c>
      <c r="K2460" s="23">
        <v>147</v>
      </c>
      <c r="L2460" s="23">
        <v>155</v>
      </c>
      <c r="M2460" s="23">
        <v>195</v>
      </c>
      <c r="N2460" s="23">
        <v>203</v>
      </c>
      <c r="O2460" s="23">
        <v>211</v>
      </c>
      <c r="P2460" s="154">
        <v>219</v>
      </c>
      <c r="Q2460" s="3" t="s">
        <v>3</v>
      </c>
    </row>
    <row r="2461" spans="1:23">
      <c r="A2461" s="153">
        <v>4</v>
      </c>
      <c r="B2461" s="23">
        <v>12</v>
      </c>
      <c r="C2461" s="23">
        <v>20</v>
      </c>
      <c r="D2461" s="23">
        <v>28</v>
      </c>
      <c r="E2461" s="23">
        <v>68</v>
      </c>
      <c r="F2461" s="23">
        <v>76</v>
      </c>
      <c r="G2461" s="23">
        <v>84</v>
      </c>
      <c r="H2461" s="23">
        <v>92</v>
      </c>
      <c r="I2461" s="23">
        <v>132</v>
      </c>
      <c r="J2461" s="23">
        <v>140</v>
      </c>
      <c r="K2461" s="23">
        <v>148</v>
      </c>
      <c r="L2461" s="23">
        <v>156</v>
      </c>
      <c r="M2461" s="23">
        <v>196</v>
      </c>
      <c r="N2461" s="23">
        <v>204</v>
      </c>
      <c r="O2461" s="23">
        <v>212</v>
      </c>
      <c r="P2461" s="154">
        <v>220</v>
      </c>
      <c r="Q2461" s="3" t="s">
        <v>3</v>
      </c>
    </row>
    <row r="2462" spans="1:23">
      <c r="A2462" s="153">
        <v>5</v>
      </c>
      <c r="B2462" s="23">
        <v>13</v>
      </c>
      <c r="C2462" s="23">
        <v>21</v>
      </c>
      <c r="D2462" s="23">
        <v>29</v>
      </c>
      <c r="E2462" s="23">
        <v>69</v>
      </c>
      <c r="F2462" s="23">
        <v>77</v>
      </c>
      <c r="G2462" s="23">
        <v>85</v>
      </c>
      <c r="H2462" s="23">
        <v>93</v>
      </c>
      <c r="I2462" s="23">
        <v>133</v>
      </c>
      <c r="J2462" s="23">
        <v>141</v>
      </c>
      <c r="K2462" s="23">
        <v>149</v>
      </c>
      <c r="L2462" s="23">
        <v>157</v>
      </c>
      <c r="M2462" s="23">
        <v>197</v>
      </c>
      <c r="N2462" s="23">
        <v>205</v>
      </c>
      <c r="O2462" s="23">
        <v>213</v>
      </c>
      <c r="P2462" s="154">
        <v>221</v>
      </c>
      <c r="Q2462" s="3" t="s">
        <v>3</v>
      </c>
    </row>
    <row r="2463" spans="1:23">
      <c r="A2463" s="153">
        <v>6</v>
      </c>
      <c r="B2463" s="23">
        <v>14</v>
      </c>
      <c r="C2463" s="23">
        <v>22</v>
      </c>
      <c r="D2463" s="23">
        <v>30</v>
      </c>
      <c r="E2463" s="23">
        <v>70</v>
      </c>
      <c r="F2463" s="23">
        <v>78</v>
      </c>
      <c r="G2463" s="23">
        <v>86</v>
      </c>
      <c r="H2463" s="23">
        <v>94</v>
      </c>
      <c r="I2463" s="23">
        <v>134</v>
      </c>
      <c r="J2463" s="23">
        <v>142</v>
      </c>
      <c r="K2463" s="23">
        <v>150</v>
      </c>
      <c r="L2463" s="23">
        <v>158</v>
      </c>
      <c r="M2463" s="23">
        <v>198</v>
      </c>
      <c r="N2463" s="23">
        <v>206</v>
      </c>
      <c r="O2463" s="23">
        <v>214</v>
      </c>
      <c r="P2463" s="154">
        <v>222</v>
      </c>
      <c r="Q2463" s="3" t="s">
        <v>3</v>
      </c>
    </row>
    <row r="2464" spans="1:23" ht="15" thickBot="1">
      <c r="A2464" s="155">
        <v>7</v>
      </c>
      <c r="B2464" s="147">
        <v>15</v>
      </c>
      <c r="C2464" s="147">
        <v>23</v>
      </c>
      <c r="D2464" s="147">
        <v>31</v>
      </c>
      <c r="E2464" s="147">
        <v>71</v>
      </c>
      <c r="F2464" s="147">
        <v>79</v>
      </c>
      <c r="G2464" s="147">
        <v>87</v>
      </c>
      <c r="H2464" s="147">
        <v>95</v>
      </c>
      <c r="I2464" s="147">
        <v>135</v>
      </c>
      <c r="J2464" s="147">
        <v>143</v>
      </c>
      <c r="K2464" s="147">
        <v>151</v>
      </c>
      <c r="L2464" s="147">
        <v>159</v>
      </c>
      <c r="M2464" s="147">
        <v>199</v>
      </c>
      <c r="N2464" s="147">
        <v>207</v>
      </c>
      <c r="O2464" s="147">
        <v>215</v>
      </c>
      <c r="P2464" s="156">
        <v>223</v>
      </c>
      <c r="Q2464" s="3" t="s">
        <v>3</v>
      </c>
    </row>
    <row r="2465" spans="1:23" ht="15" thickBot="1">
      <c r="A2465" s="3" t="s">
        <v>3</v>
      </c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W2465" s="166" t="s">
        <v>1445</v>
      </c>
    </row>
    <row r="2466" spans="1:23">
      <c r="A2466" s="151">
        <v>2512</v>
      </c>
      <c r="B2466" s="148">
        <v>2520</v>
      </c>
      <c r="C2466" s="148">
        <v>775</v>
      </c>
      <c r="D2466" s="148">
        <v>791</v>
      </c>
      <c r="E2466" s="148">
        <v>807</v>
      </c>
      <c r="F2466" s="148">
        <v>823</v>
      </c>
      <c r="G2466" s="148">
        <v>839</v>
      </c>
      <c r="H2466" s="148">
        <v>855</v>
      </c>
      <c r="I2466" s="148">
        <v>871</v>
      </c>
      <c r="J2466" s="148">
        <v>887</v>
      </c>
      <c r="K2466" s="148">
        <v>903</v>
      </c>
      <c r="L2466" s="148">
        <v>919</v>
      </c>
      <c r="M2466" s="148">
        <v>935</v>
      </c>
      <c r="N2466" s="148">
        <v>951</v>
      </c>
      <c r="O2466" s="148">
        <v>967</v>
      </c>
      <c r="P2466" s="148">
        <v>515</v>
      </c>
      <c r="Q2466" s="148">
        <v>1817</v>
      </c>
      <c r="R2466" s="148">
        <v>1819</v>
      </c>
      <c r="S2466" s="148">
        <v>1867</v>
      </c>
    </row>
    <row r="2467" spans="1:23">
      <c r="A2467" s="153">
        <v>2513</v>
      </c>
      <c r="B2467" s="23">
        <v>2521</v>
      </c>
      <c r="C2467" s="23">
        <v>773</v>
      </c>
      <c r="D2467" s="23">
        <v>789</v>
      </c>
      <c r="E2467" s="23">
        <v>805</v>
      </c>
      <c r="F2467" s="23">
        <v>821</v>
      </c>
      <c r="G2467" s="23">
        <v>837</v>
      </c>
      <c r="H2467" s="23">
        <v>853</v>
      </c>
      <c r="I2467" s="23">
        <v>869</v>
      </c>
      <c r="J2467" s="23">
        <v>885</v>
      </c>
      <c r="K2467" s="23">
        <v>901</v>
      </c>
      <c r="L2467" s="23">
        <v>917</v>
      </c>
      <c r="M2467" s="23">
        <v>933</v>
      </c>
      <c r="N2467" s="23">
        <v>949</v>
      </c>
      <c r="O2467" s="23">
        <v>965</v>
      </c>
      <c r="P2467" s="23">
        <v>514</v>
      </c>
      <c r="Q2467" s="23">
        <v>1816</v>
      </c>
      <c r="R2467" s="23">
        <v>1875</v>
      </c>
      <c r="S2467" s="23">
        <v>1866</v>
      </c>
    </row>
    <row r="2468" spans="1:23">
      <c r="A2468" s="153">
        <v>2514</v>
      </c>
      <c r="B2468" s="23">
        <v>2522</v>
      </c>
      <c r="C2468" s="23">
        <v>771</v>
      </c>
      <c r="D2468" s="23">
        <v>787</v>
      </c>
      <c r="E2468" s="23">
        <v>803</v>
      </c>
      <c r="F2468" s="23">
        <v>819</v>
      </c>
      <c r="G2468" s="23">
        <v>835</v>
      </c>
      <c r="H2468" s="23">
        <v>851</v>
      </c>
      <c r="I2468" s="23">
        <v>867</v>
      </c>
      <c r="J2468" s="23">
        <v>883</v>
      </c>
      <c r="K2468" s="23">
        <v>899</v>
      </c>
      <c r="L2468" s="23">
        <v>915</v>
      </c>
      <c r="M2468" s="23">
        <v>931</v>
      </c>
      <c r="N2468" s="23">
        <v>947</v>
      </c>
      <c r="O2468" s="23">
        <v>963</v>
      </c>
      <c r="P2468" s="23">
        <v>513</v>
      </c>
      <c r="Q2468" s="23">
        <v>1801</v>
      </c>
      <c r="R2468" s="23">
        <v>681</v>
      </c>
      <c r="S2468" s="23">
        <v>1865</v>
      </c>
    </row>
    <row r="2469" spans="1:23">
      <c r="A2469" s="153">
        <v>2515</v>
      </c>
      <c r="B2469" s="23">
        <v>2523</v>
      </c>
      <c r="C2469" s="23">
        <v>769</v>
      </c>
      <c r="D2469" s="23">
        <v>785</v>
      </c>
      <c r="E2469" s="23">
        <v>801</v>
      </c>
      <c r="F2469" s="23">
        <v>817</v>
      </c>
      <c r="G2469" s="23">
        <v>833</v>
      </c>
      <c r="H2469" s="23">
        <v>849</v>
      </c>
      <c r="I2469" s="23">
        <v>865</v>
      </c>
      <c r="J2469" s="23">
        <v>881</v>
      </c>
      <c r="K2469" s="23">
        <v>897</v>
      </c>
      <c r="L2469" s="23">
        <v>913</v>
      </c>
      <c r="M2469" s="23">
        <v>929</v>
      </c>
      <c r="N2469" s="23">
        <v>945</v>
      </c>
      <c r="O2469" s="23">
        <v>961</v>
      </c>
      <c r="P2469" s="23">
        <v>512</v>
      </c>
      <c r="Q2469" s="23">
        <v>1797</v>
      </c>
      <c r="R2469" s="23">
        <v>676</v>
      </c>
      <c r="S2469" s="23">
        <v>1864</v>
      </c>
    </row>
    <row r="2470" spans="1:23">
      <c r="A2470" s="153">
        <v>2516</v>
      </c>
      <c r="B2470" s="23">
        <v>2524</v>
      </c>
      <c r="C2470" s="23">
        <v>783</v>
      </c>
      <c r="D2470" s="23">
        <v>799</v>
      </c>
      <c r="E2470" s="23">
        <v>815</v>
      </c>
      <c r="F2470" s="23">
        <v>831</v>
      </c>
      <c r="G2470" s="23">
        <v>847</v>
      </c>
      <c r="H2470" s="23">
        <v>863</v>
      </c>
      <c r="I2470" s="23">
        <v>879</v>
      </c>
      <c r="J2470" s="23">
        <v>895</v>
      </c>
      <c r="K2470" s="23">
        <v>911</v>
      </c>
      <c r="L2470" s="23">
        <v>927</v>
      </c>
      <c r="M2470" s="23">
        <v>943</v>
      </c>
      <c r="N2470" s="23">
        <v>959</v>
      </c>
      <c r="O2470" s="23">
        <v>519</v>
      </c>
      <c r="P2470" s="23">
        <v>1798</v>
      </c>
      <c r="Q2470" s="23">
        <v>1804</v>
      </c>
      <c r="R2470" s="23">
        <v>1871</v>
      </c>
      <c r="S2470" s="23">
        <v>1831</v>
      </c>
    </row>
    <row r="2471" spans="1:23">
      <c r="A2471" s="153">
        <v>2517</v>
      </c>
      <c r="B2471" s="23">
        <v>2525</v>
      </c>
      <c r="C2471" s="23">
        <v>781</v>
      </c>
      <c r="D2471" s="23">
        <v>797</v>
      </c>
      <c r="E2471" s="23">
        <v>813</v>
      </c>
      <c r="F2471" s="23">
        <v>829</v>
      </c>
      <c r="G2471" s="23">
        <v>845</v>
      </c>
      <c r="H2471" s="23">
        <v>861</v>
      </c>
      <c r="I2471" s="23">
        <v>877</v>
      </c>
      <c r="J2471" s="23">
        <v>893</v>
      </c>
      <c r="K2471" s="23">
        <v>909</v>
      </c>
      <c r="L2471" s="23">
        <v>925</v>
      </c>
      <c r="M2471" s="23">
        <v>941</v>
      </c>
      <c r="N2471" s="23">
        <v>957</v>
      </c>
      <c r="O2471" s="23">
        <v>518</v>
      </c>
      <c r="P2471" s="23">
        <v>1799</v>
      </c>
      <c r="Q2471" s="23">
        <v>1806</v>
      </c>
      <c r="R2471" s="23">
        <v>1870</v>
      </c>
      <c r="S2471" s="23">
        <v>1830</v>
      </c>
    </row>
    <row r="2472" spans="1:23">
      <c r="A2472" s="153">
        <v>2518</v>
      </c>
      <c r="B2472" s="23">
        <v>2526</v>
      </c>
      <c r="C2472" s="23">
        <v>779</v>
      </c>
      <c r="D2472" s="23">
        <v>795</v>
      </c>
      <c r="E2472" s="23">
        <v>811</v>
      </c>
      <c r="F2472" s="23">
        <v>827</v>
      </c>
      <c r="G2472" s="23">
        <v>843</v>
      </c>
      <c r="H2472" s="23">
        <v>859</v>
      </c>
      <c r="I2472" s="23">
        <v>875</v>
      </c>
      <c r="J2472" s="23">
        <v>891</v>
      </c>
      <c r="K2472" s="23">
        <v>907</v>
      </c>
      <c r="L2472" s="23">
        <v>923</v>
      </c>
      <c r="M2472" s="23">
        <v>939</v>
      </c>
      <c r="N2472" s="23">
        <v>955</v>
      </c>
      <c r="O2472" s="23">
        <v>517</v>
      </c>
      <c r="P2472" s="23">
        <v>1821</v>
      </c>
      <c r="Q2472" s="23">
        <v>1823</v>
      </c>
      <c r="R2472" s="23">
        <v>1869</v>
      </c>
      <c r="S2472" s="23">
        <v>1829</v>
      </c>
    </row>
    <row r="2473" spans="1:23" ht="15" thickBot="1">
      <c r="A2473" s="155">
        <v>2519</v>
      </c>
      <c r="B2473" s="147">
        <v>2527</v>
      </c>
      <c r="C2473" s="147">
        <v>777</v>
      </c>
      <c r="D2473" s="147">
        <v>793</v>
      </c>
      <c r="E2473" s="147">
        <v>809</v>
      </c>
      <c r="F2473" s="147">
        <v>825</v>
      </c>
      <c r="G2473" s="147">
        <v>841</v>
      </c>
      <c r="H2473" s="147">
        <v>857</v>
      </c>
      <c r="I2473" s="147">
        <v>873</v>
      </c>
      <c r="J2473" s="147">
        <v>889</v>
      </c>
      <c r="K2473" s="147">
        <v>905</v>
      </c>
      <c r="L2473" s="147">
        <v>921</v>
      </c>
      <c r="M2473" s="147">
        <v>937</v>
      </c>
      <c r="N2473" s="147">
        <v>953</v>
      </c>
      <c r="O2473" s="147">
        <v>516</v>
      </c>
      <c r="P2473" s="147">
        <v>1820</v>
      </c>
      <c r="Q2473" s="147">
        <v>1822</v>
      </c>
      <c r="R2473" s="147">
        <v>1868</v>
      </c>
      <c r="S2473" s="147">
        <v>1828</v>
      </c>
    </row>
    <row r="2474" spans="1:23" ht="15" thickBot="1">
      <c r="A2474" s="133" t="s">
        <v>3</v>
      </c>
      <c r="B2474" s="133"/>
      <c r="C2474" s="133"/>
      <c r="D2474" s="133"/>
      <c r="E2474" s="133"/>
      <c r="F2474" s="133"/>
      <c r="G2474" s="133"/>
      <c r="H2474" s="133"/>
      <c r="I2474" s="133"/>
      <c r="J2474" s="133"/>
      <c r="K2474" s="133"/>
      <c r="L2474" s="133"/>
      <c r="M2474" s="133"/>
      <c r="N2474" s="133"/>
      <c r="O2474" s="133"/>
      <c r="P2474" s="133"/>
      <c r="Q2474" s="133"/>
      <c r="R2474" s="133"/>
      <c r="S2474" s="133"/>
    </row>
    <row r="2475" spans="1:23">
      <c r="A2475" s="151">
        <v>1895</v>
      </c>
      <c r="B2475" s="148">
        <v>1031</v>
      </c>
      <c r="C2475" s="148">
        <v>1223</v>
      </c>
      <c r="D2475" s="148"/>
      <c r="E2475" s="148"/>
      <c r="F2475" s="148"/>
      <c r="G2475" s="148"/>
      <c r="H2475" s="148"/>
      <c r="I2475" s="148"/>
      <c r="J2475" s="148"/>
      <c r="K2475" s="148"/>
      <c r="L2475" s="148"/>
      <c r="M2475" s="148"/>
      <c r="N2475" s="148"/>
      <c r="O2475" s="148"/>
      <c r="P2475" s="152"/>
      <c r="Q2475" t="s">
        <v>1355</v>
      </c>
    </row>
    <row r="2476" spans="1:23">
      <c r="A2476" s="153">
        <v>1903</v>
      </c>
      <c r="B2476" s="23">
        <v>1039</v>
      </c>
      <c r="C2476" s="23">
        <v>1231</v>
      </c>
      <c r="D2476" s="23"/>
      <c r="E2476" s="23"/>
      <c r="F2476" s="23"/>
      <c r="G2476" s="23"/>
      <c r="H2476" s="23"/>
      <c r="I2476" s="23"/>
      <c r="J2476" s="23"/>
      <c r="K2476" s="23"/>
      <c r="L2476" s="23"/>
      <c r="M2476" s="23"/>
      <c r="N2476" s="23"/>
      <c r="O2476" s="23"/>
      <c r="P2476" s="154"/>
      <c r="Q2476" s="3" t="s">
        <v>3</v>
      </c>
    </row>
    <row r="2477" spans="1:23">
      <c r="A2477" s="153">
        <v>1911</v>
      </c>
      <c r="B2477" s="23">
        <v>1047</v>
      </c>
      <c r="C2477" s="23">
        <v>1239</v>
      </c>
      <c r="D2477" s="23"/>
      <c r="E2477" s="23"/>
      <c r="F2477" s="23"/>
      <c r="G2477" s="23"/>
      <c r="H2477" s="23"/>
      <c r="I2477" s="23"/>
      <c r="J2477" s="23"/>
      <c r="K2477" s="23"/>
      <c r="L2477" s="23"/>
      <c r="M2477" s="23"/>
      <c r="N2477" s="23"/>
      <c r="O2477" s="23"/>
      <c r="P2477" s="154"/>
      <c r="Q2477" s="3" t="s">
        <v>3</v>
      </c>
    </row>
    <row r="2478" spans="1:23">
      <c r="A2478" s="153">
        <v>1919</v>
      </c>
      <c r="B2478" s="23">
        <v>1055</v>
      </c>
      <c r="C2478" s="23"/>
      <c r="D2478" s="23"/>
      <c r="E2478" s="23"/>
      <c r="F2478" s="23"/>
      <c r="G2478" s="23"/>
      <c r="H2478" s="23"/>
      <c r="I2478" s="23"/>
      <c r="J2478" s="23"/>
      <c r="K2478" s="23"/>
      <c r="L2478" s="23"/>
      <c r="M2478" s="23"/>
      <c r="N2478" s="23"/>
      <c r="O2478" s="23"/>
      <c r="P2478" s="154"/>
      <c r="Q2478" s="3" t="s">
        <v>3</v>
      </c>
    </row>
    <row r="2479" spans="1:23">
      <c r="A2479" s="153">
        <v>2023</v>
      </c>
      <c r="B2479" s="23">
        <v>1063</v>
      </c>
      <c r="C2479" s="23"/>
      <c r="D2479" s="23"/>
      <c r="E2479" s="23"/>
      <c r="F2479" s="23"/>
      <c r="G2479" s="23"/>
      <c r="H2479" s="23"/>
      <c r="I2479" s="23"/>
      <c r="J2479" s="23"/>
      <c r="K2479" s="23"/>
      <c r="L2479" s="23"/>
      <c r="M2479" s="23"/>
      <c r="N2479" s="23"/>
      <c r="O2479" s="23"/>
      <c r="P2479" s="154"/>
      <c r="Q2479" s="3" t="s">
        <v>3</v>
      </c>
    </row>
    <row r="2480" spans="1:23">
      <c r="A2480" s="153">
        <v>2031</v>
      </c>
      <c r="B2480" s="23">
        <v>1071</v>
      </c>
      <c r="C2480" s="23"/>
      <c r="D2480" s="23"/>
      <c r="E2480" s="23"/>
      <c r="F2480" s="23"/>
      <c r="G2480" s="23"/>
      <c r="H2480" s="23"/>
      <c r="I2480" s="23"/>
      <c r="J2480" s="23"/>
      <c r="K2480" s="23"/>
      <c r="L2480" s="23"/>
      <c r="M2480" s="23"/>
      <c r="N2480" s="23"/>
      <c r="O2480" s="23"/>
      <c r="P2480" s="154"/>
      <c r="Q2480" s="3" t="s">
        <v>3</v>
      </c>
    </row>
    <row r="2481" spans="1:17">
      <c r="A2481" s="153">
        <v>2039</v>
      </c>
      <c r="B2481" s="23">
        <v>1079</v>
      </c>
      <c r="C2481" s="23"/>
      <c r="D2481" s="23"/>
      <c r="E2481" s="23"/>
      <c r="F2481" s="23"/>
      <c r="G2481" s="23"/>
      <c r="H2481" s="23"/>
      <c r="I2481" s="23"/>
      <c r="J2481" s="23"/>
      <c r="K2481" s="23"/>
      <c r="L2481" s="23"/>
      <c r="M2481" s="23"/>
      <c r="N2481" s="23"/>
      <c r="O2481" s="23"/>
      <c r="P2481" s="154"/>
      <c r="Q2481" s="3" t="s">
        <v>3</v>
      </c>
    </row>
    <row r="2482" spans="1:17" ht="15" thickBot="1">
      <c r="A2482" s="155">
        <v>2047</v>
      </c>
      <c r="B2482" s="147">
        <v>1087</v>
      </c>
      <c r="C2482" s="147"/>
      <c r="D2482" s="147"/>
      <c r="E2482" s="147"/>
      <c r="F2482" s="147"/>
      <c r="G2482" s="147"/>
      <c r="H2482" s="147"/>
      <c r="I2482" s="147"/>
      <c r="J2482" s="147"/>
      <c r="K2482" s="147"/>
      <c r="L2482" s="147"/>
      <c r="M2482" s="147"/>
      <c r="N2482" s="147"/>
      <c r="O2482" s="147"/>
      <c r="P2482" s="156"/>
      <c r="Q2482" s="3" t="s">
        <v>3</v>
      </c>
    </row>
    <row r="2483" spans="1:17" ht="15" thickBot="1">
      <c r="A2483" s="3" t="s">
        <v>3</v>
      </c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</row>
    <row r="2484" spans="1:17">
      <c r="A2484" s="151">
        <v>32</v>
      </c>
      <c r="B2484" s="148">
        <v>40</v>
      </c>
      <c r="C2484" s="148">
        <v>48</v>
      </c>
      <c r="D2484" s="148">
        <v>56</v>
      </c>
      <c r="E2484" s="148">
        <v>96</v>
      </c>
      <c r="F2484" s="148">
        <v>104</v>
      </c>
      <c r="G2484" s="148">
        <v>112</v>
      </c>
      <c r="H2484" s="148">
        <v>120</v>
      </c>
      <c r="I2484" s="148">
        <v>160</v>
      </c>
      <c r="J2484" s="148">
        <v>168</v>
      </c>
      <c r="K2484" s="148">
        <v>176</v>
      </c>
      <c r="L2484" s="148">
        <v>184</v>
      </c>
      <c r="M2484" s="148">
        <v>224</v>
      </c>
      <c r="N2484" s="148">
        <v>232</v>
      </c>
      <c r="O2484" s="148">
        <v>240</v>
      </c>
      <c r="P2484" s="152">
        <v>248</v>
      </c>
      <c r="Q2484" t="s">
        <v>1356</v>
      </c>
    </row>
    <row r="2485" spans="1:17">
      <c r="A2485" s="153">
        <v>33</v>
      </c>
      <c r="B2485" s="23">
        <v>41</v>
      </c>
      <c r="C2485" s="23">
        <v>49</v>
      </c>
      <c r="D2485" s="23">
        <v>57</v>
      </c>
      <c r="E2485" s="23">
        <v>97</v>
      </c>
      <c r="F2485" s="23">
        <v>105</v>
      </c>
      <c r="G2485" s="23">
        <v>113</v>
      </c>
      <c r="H2485" s="23">
        <v>121</v>
      </c>
      <c r="I2485" s="23">
        <v>161</v>
      </c>
      <c r="J2485" s="23">
        <v>169</v>
      </c>
      <c r="K2485" s="23">
        <v>177</v>
      </c>
      <c r="L2485" s="23">
        <v>185</v>
      </c>
      <c r="M2485" s="23">
        <v>225</v>
      </c>
      <c r="N2485" s="23">
        <v>233</v>
      </c>
      <c r="O2485" s="23">
        <v>241</v>
      </c>
      <c r="P2485" s="154">
        <v>249</v>
      </c>
      <c r="Q2485" s="3" t="s">
        <v>3</v>
      </c>
    </row>
    <row r="2486" spans="1:17">
      <c r="A2486" s="153">
        <v>34</v>
      </c>
      <c r="B2486" s="23">
        <v>42</v>
      </c>
      <c r="C2486" s="23">
        <v>50</v>
      </c>
      <c r="D2486" s="23">
        <v>58</v>
      </c>
      <c r="E2486" s="23">
        <v>98</v>
      </c>
      <c r="F2486" s="23">
        <v>106</v>
      </c>
      <c r="G2486" s="23">
        <v>114</v>
      </c>
      <c r="H2486" s="23">
        <v>122</v>
      </c>
      <c r="I2486" s="23">
        <v>162</v>
      </c>
      <c r="J2486" s="23">
        <v>170</v>
      </c>
      <c r="K2486" s="23">
        <v>178</v>
      </c>
      <c r="L2486" s="23">
        <v>186</v>
      </c>
      <c r="M2486" s="23">
        <v>226</v>
      </c>
      <c r="N2486" s="23">
        <v>234</v>
      </c>
      <c r="O2486" s="23">
        <v>242</v>
      </c>
      <c r="P2486" s="154">
        <v>250</v>
      </c>
      <c r="Q2486" s="3" t="s">
        <v>3</v>
      </c>
    </row>
    <row r="2487" spans="1:17">
      <c r="A2487" s="153">
        <v>35</v>
      </c>
      <c r="B2487" s="23">
        <v>43</v>
      </c>
      <c r="C2487" s="23">
        <v>51</v>
      </c>
      <c r="D2487" s="23">
        <v>59</v>
      </c>
      <c r="E2487" s="23">
        <v>99</v>
      </c>
      <c r="F2487" s="23">
        <v>107</v>
      </c>
      <c r="G2487" s="23">
        <v>115</v>
      </c>
      <c r="H2487" s="23">
        <v>123</v>
      </c>
      <c r="I2487" s="23">
        <v>163</v>
      </c>
      <c r="J2487" s="23">
        <v>171</v>
      </c>
      <c r="K2487" s="23">
        <v>179</v>
      </c>
      <c r="L2487" s="23">
        <v>187</v>
      </c>
      <c r="M2487" s="23">
        <v>227</v>
      </c>
      <c r="N2487" s="23">
        <v>235</v>
      </c>
      <c r="O2487" s="23">
        <v>243</v>
      </c>
      <c r="P2487" s="154">
        <v>251</v>
      </c>
      <c r="Q2487" s="3" t="s">
        <v>3</v>
      </c>
    </row>
    <row r="2488" spans="1:17">
      <c r="A2488" s="153">
        <v>36</v>
      </c>
      <c r="B2488" s="23">
        <v>44</v>
      </c>
      <c r="C2488" s="23">
        <v>52</v>
      </c>
      <c r="D2488" s="23">
        <v>60</v>
      </c>
      <c r="E2488" s="23">
        <v>100</v>
      </c>
      <c r="F2488" s="23">
        <v>108</v>
      </c>
      <c r="G2488" s="23">
        <v>116</v>
      </c>
      <c r="H2488" s="23">
        <v>124</v>
      </c>
      <c r="I2488" s="23">
        <v>164</v>
      </c>
      <c r="J2488" s="23">
        <v>172</v>
      </c>
      <c r="K2488" s="23">
        <v>180</v>
      </c>
      <c r="L2488" s="23">
        <v>188</v>
      </c>
      <c r="M2488" s="23">
        <v>228</v>
      </c>
      <c r="N2488" s="23">
        <v>236</v>
      </c>
      <c r="O2488" s="23">
        <v>244</v>
      </c>
      <c r="P2488" s="154">
        <v>252</v>
      </c>
      <c r="Q2488" s="3" t="s">
        <v>3</v>
      </c>
    </row>
    <row r="2489" spans="1:17">
      <c r="A2489" s="153">
        <v>37</v>
      </c>
      <c r="B2489" s="23">
        <v>45</v>
      </c>
      <c r="C2489" s="23">
        <v>53</v>
      </c>
      <c r="D2489" s="23">
        <v>61</v>
      </c>
      <c r="E2489" s="23">
        <v>101</v>
      </c>
      <c r="F2489" s="23">
        <v>109</v>
      </c>
      <c r="G2489" s="23">
        <v>117</v>
      </c>
      <c r="H2489" s="23">
        <v>125</v>
      </c>
      <c r="I2489" s="23">
        <v>165</v>
      </c>
      <c r="J2489" s="23">
        <v>173</v>
      </c>
      <c r="K2489" s="23">
        <v>181</v>
      </c>
      <c r="L2489" s="23">
        <v>189</v>
      </c>
      <c r="M2489" s="23">
        <v>229</v>
      </c>
      <c r="N2489" s="23">
        <v>237</v>
      </c>
      <c r="O2489" s="23">
        <v>245</v>
      </c>
      <c r="P2489" s="154">
        <v>253</v>
      </c>
      <c r="Q2489" s="3" t="s">
        <v>3</v>
      </c>
    </row>
    <row r="2490" spans="1:17">
      <c r="A2490" s="153">
        <v>38</v>
      </c>
      <c r="B2490" s="23">
        <v>46</v>
      </c>
      <c r="C2490" s="23">
        <v>54</v>
      </c>
      <c r="D2490" s="23">
        <v>62</v>
      </c>
      <c r="E2490" s="23">
        <v>102</v>
      </c>
      <c r="F2490" s="23">
        <v>110</v>
      </c>
      <c r="G2490" s="23">
        <v>118</v>
      </c>
      <c r="H2490" s="23">
        <v>126</v>
      </c>
      <c r="I2490" s="23">
        <v>166</v>
      </c>
      <c r="J2490" s="23">
        <v>174</v>
      </c>
      <c r="K2490" s="23">
        <v>182</v>
      </c>
      <c r="L2490" s="23">
        <v>190</v>
      </c>
      <c r="M2490" s="23">
        <v>230</v>
      </c>
      <c r="N2490" s="23">
        <v>238</v>
      </c>
      <c r="O2490" s="23">
        <v>246</v>
      </c>
      <c r="P2490" s="154">
        <v>254</v>
      </c>
      <c r="Q2490" s="3" t="s">
        <v>3</v>
      </c>
    </row>
    <row r="2491" spans="1:17" ht="15" thickBot="1">
      <c r="A2491" s="155">
        <v>39</v>
      </c>
      <c r="B2491" s="147">
        <v>47</v>
      </c>
      <c r="C2491" s="147">
        <v>55</v>
      </c>
      <c r="D2491" s="147">
        <v>63</v>
      </c>
      <c r="E2491" s="147">
        <v>103</v>
      </c>
      <c r="F2491" s="147">
        <v>111</v>
      </c>
      <c r="G2491" s="147">
        <v>119</v>
      </c>
      <c r="H2491" s="147">
        <v>127</v>
      </c>
      <c r="I2491" s="147">
        <v>167</v>
      </c>
      <c r="J2491" s="147">
        <v>175</v>
      </c>
      <c r="K2491" s="147">
        <v>183</v>
      </c>
      <c r="L2491" s="147">
        <v>191</v>
      </c>
      <c r="M2491" s="147">
        <v>231</v>
      </c>
      <c r="N2491" s="147">
        <v>239</v>
      </c>
      <c r="O2491" s="147">
        <v>247</v>
      </c>
      <c r="P2491" s="156">
        <v>255</v>
      </c>
      <c r="Q2491" s="3" t="s">
        <v>3</v>
      </c>
    </row>
    <row r="2492" spans="1:17" ht="15" thickBot="1">
      <c r="A2492" s="3" t="s">
        <v>3</v>
      </c>
      <c r="B2492" s="133"/>
      <c r="C2492" s="133"/>
      <c r="D2492" s="133"/>
      <c r="E2492" s="133"/>
      <c r="F2492" s="133"/>
      <c r="G2492" s="133"/>
      <c r="H2492" s="133"/>
      <c r="I2492" s="133"/>
      <c r="J2492" s="133"/>
      <c r="K2492" s="133"/>
      <c r="L2492" s="133"/>
      <c r="M2492" s="133"/>
      <c r="N2492" s="133"/>
      <c r="O2492" s="133"/>
      <c r="P2492" s="133"/>
    </row>
    <row r="2493" spans="1:17">
      <c r="A2493" s="151">
        <v>768</v>
      </c>
      <c r="B2493" s="148">
        <v>784</v>
      </c>
      <c r="C2493" s="148">
        <v>800</v>
      </c>
      <c r="D2493" s="148">
        <v>816</v>
      </c>
      <c r="E2493" s="148">
        <v>832</v>
      </c>
      <c r="F2493" s="148">
        <v>848</v>
      </c>
      <c r="G2493" s="148">
        <v>864</v>
      </c>
      <c r="H2493" s="148">
        <v>880</v>
      </c>
      <c r="I2493" s="148">
        <v>896</v>
      </c>
      <c r="J2493" s="148">
        <v>912</v>
      </c>
      <c r="K2493" s="148">
        <v>928</v>
      </c>
      <c r="L2493" s="148">
        <v>944</v>
      </c>
      <c r="M2493" s="152">
        <v>960</v>
      </c>
      <c r="N2493" s="3" t="s">
        <v>3</v>
      </c>
      <c r="Q2493" t="s">
        <v>1357</v>
      </c>
    </row>
    <row r="2494" spans="1:17">
      <c r="A2494" s="153">
        <v>770</v>
      </c>
      <c r="B2494" s="23">
        <v>786</v>
      </c>
      <c r="C2494" s="23">
        <v>802</v>
      </c>
      <c r="D2494" s="23">
        <v>818</v>
      </c>
      <c r="E2494" s="23">
        <v>834</v>
      </c>
      <c r="F2494" s="23">
        <v>850</v>
      </c>
      <c r="G2494" s="23">
        <v>866</v>
      </c>
      <c r="H2494" s="23">
        <v>882</v>
      </c>
      <c r="I2494" s="23">
        <v>898</v>
      </c>
      <c r="J2494" s="23">
        <v>914</v>
      </c>
      <c r="K2494" s="23">
        <v>930</v>
      </c>
      <c r="L2494" s="23">
        <v>946</v>
      </c>
      <c r="M2494" s="154">
        <v>962</v>
      </c>
      <c r="N2494" s="3" t="s">
        <v>3</v>
      </c>
    </row>
    <row r="2495" spans="1:17">
      <c r="A2495" s="153">
        <v>772</v>
      </c>
      <c r="B2495" s="23">
        <v>788</v>
      </c>
      <c r="C2495" s="23">
        <v>804</v>
      </c>
      <c r="D2495" s="23">
        <v>820</v>
      </c>
      <c r="E2495" s="23">
        <v>836</v>
      </c>
      <c r="F2495" s="23">
        <v>852</v>
      </c>
      <c r="G2495" s="23">
        <v>868</v>
      </c>
      <c r="H2495" s="23">
        <v>884</v>
      </c>
      <c r="I2495" s="23">
        <v>900</v>
      </c>
      <c r="J2495" s="23">
        <v>916</v>
      </c>
      <c r="K2495" s="23">
        <v>932</v>
      </c>
      <c r="L2495" s="23">
        <v>948</v>
      </c>
      <c r="M2495" s="154">
        <v>964</v>
      </c>
      <c r="N2495" s="3" t="s">
        <v>3</v>
      </c>
    </row>
    <row r="2496" spans="1:17">
      <c r="A2496" s="153">
        <v>774</v>
      </c>
      <c r="B2496" s="23">
        <v>790</v>
      </c>
      <c r="C2496" s="23">
        <v>806</v>
      </c>
      <c r="D2496" s="23">
        <v>822</v>
      </c>
      <c r="E2496" s="23">
        <v>838</v>
      </c>
      <c r="F2496" s="23">
        <v>854</v>
      </c>
      <c r="G2496" s="23">
        <v>870</v>
      </c>
      <c r="H2496" s="23">
        <v>886</v>
      </c>
      <c r="I2496" s="23">
        <v>902</v>
      </c>
      <c r="J2496" s="23">
        <v>918</v>
      </c>
      <c r="K2496" s="23">
        <v>934</v>
      </c>
      <c r="L2496" s="23">
        <v>950</v>
      </c>
      <c r="M2496" s="154">
        <v>966</v>
      </c>
      <c r="N2496" s="3" t="s">
        <v>3</v>
      </c>
    </row>
    <row r="2497" spans="1:17">
      <c r="A2497" s="153">
        <v>776</v>
      </c>
      <c r="B2497" s="23">
        <v>792</v>
      </c>
      <c r="C2497" s="23">
        <v>808</v>
      </c>
      <c r="D2497" s="23">
        <v>824</v>
      </c>
      <c r="E2497" s="23">
        <v>840</v>
      </c>
      <c r="F2497" s="23">
        <v>856</v>
      </c>
      <c r="G2497" s="23">
        <v>872</v>
      </c>
      <c r="H2497" s="23">
        <v>888</v>
      </c>
      <c r="I2497" s="23">
        <v>904</v>
      </c>
      <c r="J2497" s="23">
        <v>920</v>
      </c>
      <c r="K2497" s="23">
        <v>936</v>
      </c>
      <c r="L2497" s="23">
        <v>952</v>
      </c>
      <c r="M2497" s="154"/>
      <c r="N2497" s="3" t="s">
        <v>3</v>
      </c>
    </row>
    <row r="2498" spans="1:17">
      <c r="A2498" s="153">
        <v>778</v>
      </c>
      <c r="B2498" s="23">
        <v>794</v>
      </c>
      <c r="C2498" s="23">
        <v>810</v>
      </c>
      <c r="D2498" s="23">
        <v>826</v>
      </c>
      <c r="E2498" s="23">
        <v>842</v>
      </c>
      <c r="F2498" s="23">
        <v>858</v>
      </c>
      <c r="G2498" s="23">
        <v>874</v>
      </c>
      <c r="H2498" s="23">
        <v>890</v>
      </c>
      <c r="I2498" s="23">
        <v>906</v>
      </c>
      <c r="J2498" s="23">
        <v>922</v>
      </c>
      <c r="K2498" s="23">
        <v>938</v>
      </c>
      <c r="L2498" s="23">
        <v>954</v>
      </c>
      <c r="M2498" s="154"/>
      <c r="N2498" s="3" t="s">
        <v>3</v>
      </c>
    </row>
    <row r="2499" spans="1:17">
      <c r="A2499" s="153">
        <v>780</v>
      </c>
      <c r="B2499" s="23">
        <v>796</v>
      </c>
      <c r="C2499" s="23">
        <v>812</v>
      </c>
      <c r="D2499" s="23">
        <v>828</v>
      </c>
      <c r="E2499" s="23">
        <v>844</v>
      </c>
      <c r="F2499" s="23">
        <v>860</v>
      </c>
      <c r="G2499" s="23">
        <v>876</v>
      </c>
      <c r="H2499" s="23">
        <v>892</v>
      </c>
      <c r="I2499" s="23">
        <v>908</v>
      </c>
      <c r="J2499" s="23">
        <v>924</v>
      </c>
      <c r="K2499" s="23">
        <v>940</v>
      </c>
      <c r="L2499" s="23">
        <v>956</v>
      </c>
      <c r="M2499" s="154"/>
      <c r="N2499" s="3" t="s">
        <v>3</v>
      </c>
    </row>
    <row r="2500" spans="1:17" ht="15" thickBot="1">
      <c r="A2500" s="155">
        <v>782</v>
      </c>
      <c r="B2500" s="147">
        <v>798</v>
      </c>
      <c r="C2500" s="147">
        <v>814</v>
      </c>
      <c r="D2500" s="147">
        <v>830</v>
      </c>
      <c r="E2500" s="147">
        <v>846</v>
      </c>
      <c r="F2500" s="147">
        <v>862</v>
      </c>
      <c r="G2500" s="147">
        <v>878</v>
      </c>
      <c r="H2500" s="147">
        <v>894</v>
      </c>
      <c r="I2500" s="147">
        <v>910</v>
      </c>
      <c r="J2500" s="147">
        <v>926</v>
      </c>
      <c r="K2500" s="147">
        <v>942</v>
      </c>
      <c r="L2500" s="147">
        <v>958</v>
      </c>
      <c r="M2500" s="156"/>
      <c r="N2500" s="3" t="s">
        <v>3</v>
      </c>
    </row>
    <row r="2501" spans="1:17" ht="15" thickBot="1">
      <c r="A2501" s="3" t="s">
        <v>3</v>
      </c>
      <c r="B2501" s="133"/>
      <c r="C2501" s="133"/>
      <c r="D2501" s="133"/>
      <c r="E2501" s="133"/>
      <c r="F2501" s="133"/>
      <c r="G2501" s="133"/>
      <c r="H2501" s="133"/>
      <c r="I2501" s="133"/>
      <c r="J2501" s="133"/>
      <c r="K2501" s="133"/>
      <c r="L2501" s="133"/>
      <c r="M2501" s="133"/>
    </row>
    <row r="2502" spans="1:17">
      <c r="A2502" s="151">
        <v>608</v>
      </c>
      <c r="B2502" s="148">
        <v>1736</v>
      </c>
      <c r="C2502" s="148">
        <v>992</v>
      </c>
      <c r="D2502" s="148">
        <v>744</v>
      </c>
      <c r="E2502" s="148">
        <v>1627</v>
      </c>
      <c r="F2502" s="148">
        <v>616</v>
      </c>
      <c r="G2502" s="148">
        <v>624</v>
      </c>
      <c r="H2502" s="148">
        <v>632</v>
      </c>
      <c r="I2502" s="148">
        <v>752</v>
      </c>
      <c r="J2502" s="152"/>
      <c r="K2502" s="3" t="s">
        <v>3</v>
      </c>
      <c r="Q2502" t="s">
        <v>1358</v>
      </c>
    </row>
    <row r="2503" spans="1:17">
      <c r="A2503" s="153">
        <v>609</v>
      </c>
      <c r="B2503" s="23">
        <v>1737</v>
      </c>
      <c r="C2503" s="23">
        <v>996</v>
      </c>
      <c r="D2503" s="23">
        <v>745</v>
      </c>
      <c r="E2503" s="23">
        <v>1628</v>
      </c>
      <c r="F2503" s="23">
        <v>617</v>
      </c>
      <c r="G2503" s="23">
        <v>625</v>
      </c>
      <c r="H2503" s="23">
        <v>633</v>
      </c>
      <c r="I2503" s="23">
        <v>756</v>
      </c>
      <c r="J2503" s="154"/>
      <c r="K2503" s="3" t="s">
        <v>3</v>
      </c>
    </row>
    <row r="2504" spans="1:17">
      <c r="A2504" s="153">
        <v>610</v>
      </c>
      <c r="B2504" s="23">
        <v>1738</v>
      </c>
      <c r="C2504" s="23">
        <v>1000</v>
      </c>
      <c r="D2504" s="23">
        <v>746</v>
      </c>
      <c r="E2504" s="23">
        <v>1629</v>
      </c>
      <c r="F2504" s="23">
        <v>618</v>
      </c>
      <c r="G2504" s="23">
        <v>626</v>
      </c>
      <c r="H2504" s="23">
        <v>634</v>
      </c>
      <c r="I2504" s="23">
        <v>760</v>
      </c>
      <c r="J2504" s="154"/>
      <c r="K2504" s="3" t="s">
        <v>3</v>
      </c>
    </row>
    <row r="2505" spans="1:17">
      <c r="A2505" s="153">
        <v>611</v>
      </c>
      <c r="B2505" s="23">
        <v>1739</v>
      </c>
      <c r="C2505" s="23">
        <v>1004</v>
      </c>
      <c r="D2505" s="23">
        <v>747</v>
      </c>
      <c r="E2505" s="23">
        <v>1630</v>
      </c>
      <c r="F2505" s="23">
        <v>619</v>
      </c>
      <c r="G2505" s="23">
        <v>627</v>
      </c>
      <c r="H2505" s="23">
        <v>635</v>
      </c>
      <c r="I2505" s="23">
        <v>764</v>
      </c>
      <c r="J2505" s="154"/>
      <c r="K2505" s="3" t="s">
        <v>3</v>
      </c>
    </row>
    <row r="2506" spans="1:17">
      <c r="A2506" s="153">
        <v>612</v>
      </c>
      <c r="B2506" s="23">
        <v>1740</v>
      </c>
      <c r="C2506" s="23">
        <v>1008</v>
      </c>
      <c r="D2506" s="23">
        <v>748</v>
      </c>
      <c r="E2506" s="23">
        <v>976</v>
      </c>
      <c r="F2506" s="23">
        <v>620</v>
      </c>
      <c r="G2506" s="23">
        <v>628</v>
      </c>
      <c r="H2506" s="23">
        <v>636</v>
      </c>
      <c r="I2506" s="23"/>
      <c r="J2506" s="154"/>
      <c r="K2506" s="3" t="s">
        <v>3</v>
      </c>
    </row>
    <row r="2507" spans="1:17">
      <c r="A2507" s="153">
        <v>613</v>
      </c>
      <c r="B2507" s="23">
        <v>1741</v>
      </c>
      <c r="C2507" s="23">
        <v>1012</v>
      </c>
      <c r="D2507" s="23">
        <v>749</v>
      </c>
      <c r="E2507" s="23">
        <v>980</v>
      </c>
      <c r="F2507" s="23">
        <v>621</v>
      </c>
      <c r="G2507" s="23">
        <v>629</v>
      </c>
      <c r="H2507" s="23">
        <v>637</v>
      </c>
      <c r="I2507" s="23"/>
      <c r="J2507" s="154"/>
      <c r="K2507" s="3" t="s">
        <v>3</v>
      </c>
    </row>
    <row r="2508" spans="1:17">
      <c r="A2508" s="153">
        <v>614</v>
      </c>
      <c r="B2508" s="23">
        <v>1742</v>
      </c>
      <c r="C2508" s="23">
        <v>1016</v>
      </c>
      <c r="D2508" s="23">
        <v>750</v>
      </c>
      <c r="E2508" s="23">
        <v>984</v>
      </c>
      <c r="F2508" s="23">
        <v>622</v>
      </c>
      <c r="G2508" s="23">
        <v>630</v>
      </c>
      <c r="H2508" s="23">
        <v>638</v>
      </c>
      <c r="I2508" s="23"/>
      <c r="J2508" s="154"/>
      <c r="K2508" s="3" t="s">
        <v>3</v>
      </c>
    </row>
    <row r="2509" spans="1:17" ht="15" thickBot="1">
      <c r="A2509" s="155">
        <v>615</v>
      </c>
      <c r="B2509" s="147">
        <v>1743</v>
      </c>
      <c r="C2509" s="147">
        <v>1020</v>
      </c>
      <c r="D2509" s="147">
        <v>751</v>
      </c>
      <c r="E2509" s="147">
        <v>988</v>
      </c>
      <c r="F2509" s="147">
        <v>623</v>
      </c>
      <c r="G2509" s="147">
        <v>631</v>
      </c>
      <c r="H2509" s="147">
        <v>639</v>
      </c>
      <c r="I2509" s="147"/>
      <c r="J2509" s="156"/>
      <c r="K2509" s="3" t="s">
        <v>3</v>
      </c>
    </row>
    <row r="2510" spans="1:17" ht="15" thickBot="1">
      <c r="A2510" s="3" t="s">
        <v>3</v>
      </c>
      <c r="B2510" s="3"/>
      <c r="C2510" s="3"/>
      <c r="D2510" s="3"/>
      <c r="E2510" s="3"/>
      <c r="F2510" s="3"/>
      <c r="G2510" s="3"/>
      <c r="H2510" s="3"/>
      <c r="I2510" s="3"/>
      <c r="J2510" s="3"/>
    </row>
    <row r="2511" spans="1:17">
      <c r="A2511" s="151">
        <v>544</v>
      </c>
      <c r="B2511" s="148">
        <v>560</v>
      </c>
      <c r="C2511" s="148"/>
      <c r="D2511" s="148"/>
      <c r="E2511" s="148"/>
      <c r="F2511" s="148"/>
      <c r="G2511" s="148"/>
      <c r="H2511" s="152"/>
      <c r="I2511" s="3" t="s">
        <v>3</v>
      </c>
      <c r="Q2511" t="s">
        <v>1359</v>
      </c>
    </row>
    <row r="2512" spans="1:17">
      <c r="A2512" s="153">
        <v>545</v>
      </c>
      <c r="B2512" s="23">
        <v>561</v>
      </c>
      <c r="C2512" s="23"/>
      <c r="D2512" s="23"/>
      <c r="E2512" s="23"/>
      <c r="F2512" s="23"/>
      <c r="G2512" s="23"/>
      <c r="H2512" s="154"/>
      <c r="I2512" s="3" t="s">
        <v>3</v>
      </c>
    </row>
    <row r="2513" spans="1:17">
      <c r="A2513" s="153">
        <v>546</v>
      </c>
      <c r="B2513" s="23">
        <v>562</v>
      </c>
      <c r="C2513" s="23"/>
      <c r="D2513" s="23"/>
      <c r="E2513" s="23"/>
      <c r="F2513" s="23"/>
      <c r="G2513" s="23"/>
      <c r="H2513" s="154"/>
      <c r="I2513" s="3" t="s">
        <v>3</v>
      </c>
    </row>
    <row r="2514" spans="1:17">
      <c r="A2514" s="153">
        <v>547</v>
      </c>
      <c r="B2514" s="23">
        <v>563</v>
      </c>
      <c r="C2514" s="23"/>
      <c r="D2514" s="23"/>
      <c r="E2514" s="23"/>
      <c r="F2514" s="23"/>
      <c r="G2514" s="23"/>
      <c r="H2514" s="154"/>
      <c r="I2514" s="3" t="s">
        <v>3</v>
      </c>
    </row>
    <row r="2515" spans="1:17">
      <c r="A2515" s="153">
        <v>548</v>
      </c>
      <c r="B2515" s="23">
        <v>564</v>
      </c>
      <c r="C2515" s="23"/>
      <c r="D2515" s="23"/>
      <c r="E2515" s="23"/>
      <c r="F2515" s="23"/>
      <c r="G2515" s="23"/>
      <c r="H2515" s="154"/>
      <c r="I2515" s="3" t="s">
        <v>3</v>
      </c>
    </row>
    <row r="2516" spans="1:17">
      <c r="A2516" s="153">
        <v>549</v>
      </c>
      <c r="B2516" s="23">
        <v>565</v>
      </c>
      <c r="C2516" s="23"/>
      <c r="D2516" s="23"/>
      <c r="E2516" s="23"/>
      <c r="F2516" s="23"/>
      <c r="G2516" s="23"/>
      <c r="H2516" s="154"/>
      <c r="I2516" s="3" t="s">
        <v>3</v>
      </c>
    </row>
    <row r="2517" spans="1:17">
      <c r="A2517" s="153">
        <v>550</v>
      </c>
      <c r="B2517" s="23">
        <v>566</v>
      </c>
      <c r="C2517" s="23"/>
      <c r="D2517" s="23"/>
      <c r="E2517" s="23"/>
      <c r="F2517" s="23"/>
      <c r="G2517" s="23"/>
      <c r="H2517" s="154"/>
      <c r="I2517" s="3" t="s">
        <v>3</v>
      </c>
    </row>
    <row r="2518" spans="1:17" ht="15" thickBot="1">
      <c r="A2518" s="155">
        <v>551</v>
      </c>
      <c r="B2518" s="147">
        <v>567</v>
      </c>
      <c r="C2518" s="147"/>
      <c r="D2518" s="147"/>
      <c r="E2518" s="147"/>
      <c r="F2518" s="147"/>
      <c r="G2518" s="147"/>
      <c r="H2518" s="156"/>
      <c r="I2518" s="3" t="s">
        <v>3</v>
      </c>
    </row>
    <row r="2519" spans="1:17" ht="15" thickBot="1">
      <c r="A2519" s="3" t="s">
        <v>3</v>
      </c>
      <c r="B2519" s="3"/>
      <c r="C2519" s="3"/>
      <c r="D2519" s="3"/>
      <c r="E2519" s="3"/>
      <c r="F2519" s="3"/>
      <c r="G2519" s="3"/>
      <c r="H2519" s="3"/>
    </row>
    <row r="2520" spans="1:17">
      <c r="A2520" s="151">
        <v>1031</v>
      </c>
      <c r="B2520" s="148">
        <v>1095</v>
      </c>
      <c r="C2520" s="148">
        <v>544</v>
      </c>
      <c r="D2520" s="148">
        <v>560</v>
      </c>
      <c r="E2520" s="148">
        <v>1927</v>
      </c>
      <c r="F2520" s="148">
        <v>1991</v>
      </c>
      <c r="G2520" s="148"/>
      <c r="H2520" s="152"/>
      <c r="I2520" s="3" t="s">
        <v>3</v>
      </c>
      <c r="Q2520" t="s">
        <v>1360</v>
      </c>
    </row>
    <row r="2521" spans="1:17">
      <c r="A2521" s="153">
        <v>1039</v>
      </c>
      <c r="B2521" s="23">
        <v>1103</v>
      </c>
      <c r="C2521" s="23">
        <v>545</v>
      </c>
      <c r="D2521" s="23">
        <v>561</v>
      </c>
      <c r="E2521" s="23">
        <v>1935</v>
      </c>
      <c r="F2521" s="23">
        <v>1999</v>
      </c>
      <c r="G2521" s="23"/>
      <c r="H2521" s="154"/>
      <c r="I2521" s="3" t="s">
        <v>3</v>
      </c>
    </row>
    <row r="2522" spans="1:17">
      <c r="A2522" s="153">
        <v>1047</v>
      </c>
      <c r="B2522" s="23">
        <v>1111</v>
      </c>
      <c r="C2522" s="23">
        <v>546</v>
      </c>
      <c r="D2522" s="23">
        <v>562</v>
      </c>
      <c r="E2522" s="23">
        <v>1943</v>
      </c>
      <c r="F2522" s="23">
        <v>2007</v>
      </c>
      <c r="G2522" s="23"/>
      <c r="H2522" s="154"/>
      <c r="I2522" s="3" t="s">
        <v>3</v>
      </c>
    </row>
    <row r="2523" spans="1:17">
      <c r="A2523" s="153">
        <v>1055</v>
      </c>
      <c r="B2523" s="23">
        <v>1119</v>
      </c>
      <c r="C2523" s="23">
        <v>547</v>
      </c>
      <c r="D2523" s="23">
        <v>563</v>
      </c>
      <c r="E2523" s="23">
        <v>1951</v>
      </c>
      <c r="F2523" s="23">
        <v>2015</v>
      </c>
      <c r="G2523" s="23"/>
      <c r="H2523" s="154"/>
      <c r="I2523" s="3" t="s">
        <v>3</v>
      </c>
    </row>
    <row r="2524" spans="1:17">
      <c r="A2524" s="153">
        <v>1063</v>
      </c>
      <c r="B2524" s="23">
        <v>1127</v>
      </c>
      <c r="C2524" s="23">
        <v>548</v>
      </c>
      <c r="D2524" s="23">
        <v>564</v>
      </c>
      <c r="E2524" s="23">
        <v>1959</v>
      </c>
      <c r="F2524" s="23"/>
      <c r="G2524" s="23"/>
      <c r="H2524" s="154"/>
      <c r="I2524" s="3" t="s">
        <v>3</v>
      </c>
    </row>
    <row r="2525" spans="1:17">
      <c r="A2525" s="153">
        <v>1071</v>
      </c>
      <c r="B2525" s="23">
        <v>1135</v>
      </c>
      <c r="C2525" s="23">
        <v>549</v>
      </c>
      <c r="D2525" s="23">
        <v>565</v>
      </c>
      <c r="E2525" s="23">
        <v>1967</v>
      </c>
      <c r="F2525" s="23"/>
      <c r="G2525" s="23"/>
      <c r="H2525" s="154"/>
      <c r="I2525" s="3" t="s">
        <v>3</v>
      </c>
    </row>
    <row r="2526" spans="1:17">
      <c r="A2526" s="153">
        <v>1079</v>
      </c>
      <c r="B2526" s="23">
        <v>1143</v>
      </c>
      <c r="C2526" s="23">
        <v>550</v>
      </c>
      <c r="D2526" s="23">
        <v>566</v>
      </c>
      <c r="E2526" s="23">
        <v>1975</v>
      </c>
      <c r="F2526" s="23"/>
      <c r="G2526" s="23"/>
      <c r="H2526" s="154"/>
      <c r="I2526" s="3" t="s">
        <v>3</v>
      </c>
    </row>
    <row r="2527" spans="1:17" ht="15" thickBot="1">
      <c r="A2527" s="155">
        <v>1087</v>
      </c>
      <c r="B2527" s="147">
        <v>1151</v>
      </c>
      <c r="C2527" s="147">
        <v>551</v>
      </c>
      <c r="D2527" s="147">
        <v>567</v>
      </c>
      <c r="E2527" s="147">
        <v>1983</v>
      </c>
      <c r="F2527" s="147"/>
      <c r="G2527" s="147"/>
      <c r="H2527" s="156"/>
      <c r="I2527" s="3" t="s">
        <v>3</v>
      </c>
    </row>
    <row r="2528" spans="1:17" ht="15" thickBot="1">
      <c r="A2528" s="3" t="s">
        <v>3</v>
      </c>
      <c r="B2528" s="3"/>
      <c r="C2528" s="3"/>
      <c r="D2528" s="3"/>
      <c r="E2528" s="3"/>
      <c r="F2528" s="3"/>
      <c r="G2528" s="3"/>
      <c r="H2528" s="3"/>
    </row>
    <row r="2529" spans="1:17">
      <c r="A2529" s="151">
        <v>1536</v>
      </c>
      <c r="B2529" s="148">
        <v>1544</v>
      </c>
      <c r="C2529" s="148">
        <v>1552</v>
      </c>
      <c r="D2529" s="148">
        <v>1560</v>
      </c>
      <c r="E2529" s="148">
        <v>1568</v>
      </c>
      <c r="F2529" s="148">
        <v>1576</v>
      </c>
      <c r="G2529" s="148">
        <v>1584</v>
      </c>
      <c r="H2529" s="148">
        <v>1592</v>
      </c>
      <c r="I2529" s="148">
        <v>1895</v>
      </c>
      <c r="J2529" s="148">
        <v>2512</v>
      </c>
      <c r="K2529" s="148">
        <v>2520</v>
      </c>
      <c r="L2529" s="148">
        <v>2192</v>
      </c>
      <c r="M2529" s="148"/>
      <c r="N2529" s="148"/>
      <c r="O2529" s="148"/>
      <c r="P2529" s="152"/>
      <c r="Q2529" t="s">
        <v>1361</v>
      </c>
    </row>
    <row r="2530" spans="1:17">
      <c r="A2530" s="153">
        <v>1537</v>
      </c>
      <c r="B2530" s="23">
        <v>1545</v>
      </c>
      <c r="C2530" s="23">
        <v>1553</v>
      </c>
      <c r="D2530" s="23">
        <v>1561</v>
      </c>
      <c r="E2530" s="23">
        <v>1569</v>
      </c>
      <c r="F2530" s="23">
        <v>1577</v>
      </c>
      <c r="G2530" s="23">
        <v>1585</v>
      </c>
      <c r="H2530" s="23">
        <v>1593</v>
      </c>
      <c r="I2530" s="23">
        <v>1896</v>
      </c>
      <c r="J2530" s="23">
        <v>2513</v>
      </c>
      <c r="K2530" s="23">
        <v>2521</v>
      </c>
      <c r="L2530" s="23">
        <v>2193</v>
      </c>
      <c r="M2530" s="23"/>
      <c r="N2530" s="23"/>
      <c r="O2530" s="23"/>
      <c r="P2530" s="154"/>
      <c r="Q2530" s="3" t="s">
        <v>3</v>
      </c>
    </row>
    <row r="2531" spans="1:17">
      <c r="A2531" s="153">
        <v>1538</v>
      </c>
      <c r="B2531" s="23">
        <v>1546</v>
      </c>
      <c r="C2531" s="23">
        <v>1554</v>
      </c>
      <c r="D2531" s="23">
        <v>1562</v>
      </c>
      <c r="E2531" s="23">
        <v>1570</v>
      </c>
      <c r="F2531" s="23">
        <v>1578</v>
      </c>
      <c r="G2531" s="23">
        <v>1586</v>
      </c>
      <c r="H2531" s="23">
        <v>1594</v>
      </c>
      <c r="I2531" s="23">
        <v>1897</v>
      </c>
      <c r="J2531" s="23">
        <v>2514</v>
      </c>
      <c r="K2531" s="23">
        <v>2522</v>
      </c>
      <c r="L2531" s="23">
        <v>2194</v>
      </c>
      <c r="M2531" s="23"/>
      <c r="N2531" s="23"/>
      <c r="O2531" s="23"/>
      <c r="P2531" s="154"/>
      <c r="Q2531" s="3" t="s">
        <v>3</v>
      </c>
    </row>
    <row r="2532" spans="1:17">
      <c r="A2532" s="153">
        <v>1539</v>
      </c>
      <c r="B2532" s="23">
        <v>1547</v>
      </c>
      <c r="C2532" s="23">
        <v>1555</v>
      </c>
      <c r="D2532" s="23">
        <v>1563</v>
      </c>
      <c r="E2532" s="23">
        <v>1571</v>
      </c>
      <c r="F2532" s="23">
        <v>1579</v>
      </c>
      <c r="G2532" s="23">
        <v>1587</v>
      </c>
      <c r="H2532" s="23">
        <v>1595</v>
      </c>
      <c r="I2532" s="23">
        <v>1898</v>
      </c>
      <c r="J2532" s="23">
        <v>2515</v>
      </c>
      <c r="K2532" s="23">
        <v>2523</v>
      </c>
      <c r="L2532" s="23">
        <v>2195</v>
      </c>
      <c r="M2532" s="23"/>
      <c r="N2532" s="23"/>
      <c r="O2532" s="23"/>
      <c r="P2532" s="154"/>
      <c r="Q2532" s="3" t="s">
        <v>3</v>
      </c>
    </row>
    <row r="2533" spans="1:17">
      <c r="A2533" s="153">
        <v>1540</v>
      </c>
      <c r="B2533" s="23">
        <v>1548</v>
      </c>
      <c r="C2533" s="23">
        <v>1556</v>
      </c>
      <c r="D2533" s="23">
        <v>1564</v>
      </c>
      <c r="E2533" s="23">
        <v>1572</v>
      </c>
      <c r="F2533" s="23">
        <v>1580</v>
      </c>
      <c r="G2533" s="23">
        <v>1588</v>
      </c>
      <c r="H2533" s="23">
        <v>1596</v>
      </c>
      <c r="I2533" s="23">
        <v>1899</v>
      </c>
      <c r="J2533" s="23">
        <v>2516</v>
      </c>
      <c r="K2533" s="23">
        <v>2524</v>
      </c>
      <c r="L2533" s="23">
        <v>2196</v>
      </c>
      <c r="M2533" s="23"/>
      <c r="N2533" s="23"/>
      <c r="O2533" s="23"/>
      <c r="P2533" s="154"/>
      <c r="Q2533" s="3" t="s">
        <v>3</v>
      </c>
    </row>
    <row r="2534" spans="1:17">
      <c r="A2534" s="153">
        <v>1541</v>
      </c>
      <c r="B2534" s="23">
        <v>1549</v>
      </c>
      <c r="C2534" s="23">
        <v>1557</v>
      </c>
      <c r="D2534" s="23">
        <v>1565</v>
      </c>
      <c r="E2534" s="23">
        <v>1573</v>
      </c>
      <c r="F2534" s="23">
        <v>1581</v>
      </c>
      <c r="G2534" s="23">
        <v>1589</v>
      </c>
      <c r="H2534" s="23">
        <v>1597</v>
      </c>
      <c r="I2534" s="23">
        <v>1900</v>
      </c>
      <c r="J2534" s="23">
        <v>2517</v>
      </c>
      <c r="K2534" s="23">
        <v>2525</v>
      </c>
      <c r="L2534" s="23">
        <v>2197</v>
      </c>
      <c r="M2534" s="23"/>
      <c r="N2534" s="23"/>
      <c r="O2534" s="23"/>
      <c r="P2534" s="154"/>
      <c r="Q2534" s="3" t="s">
        <v>3</v>
      </c>
    </row>
    <row r="2535" spans="1:17">
      <c r="A2535" s="153">
        <v>1542</v>
      </c>
      <c r="B2535" s="23">
        <v>1550</v>
      </c>
      <c r="C2535" s="23">
        <v>1558</v>
      </c>
      <c r="D2535" s="23">
        <v>1566</v>
      </c>
      <c r="E2535" s="23">
        <v>1574</v>
      </c>
      <c r="F2535" s="23">
        <v>1582</v>
      </c>
      <c r="G2535" s="23">
        <v>1590</v>
      </c>
      <c r="H2535" s="23">
        <v>1598</v>
      </c>
      <c r="I2535" s="23">
        <v>1901</v>
      </c>
      <c r="J2535" s="23">
        <v>2518</v>
      </c>
      <c r="K2535" s="23">
        <v>2526</v>
      </c>
      <c r="L2535" s="23">
        <v>2198</v>
      </c>
      <c r="M2535" s="23"/>
      <c r="N2535" s="23"/>
      <c r="O2535" s="23"/>
      <c r="P2535" s="154"/>
      <c r="Q2535" s="3" t="s">
        <v>3</v>
      </c>
    </row>
    <row r="2536" spans="1:17" ht="15" thickBot="1">
      <c r="A2536" s="155">
        <v>1543</v>
      </c>
      <c r="B2536" s="147">
        <v>1551</v>
      </c>
      <c r="C2536" s="147">
        <v>1559</v>
      </c>
      <c r="D2536" s="147">
        <v>1567</v>
      </c>
      <c r="E2536" s="147">
        <v>1575</v>
      </c>
      <c r="F2536" s="147">
        <v>1583</v>
      </c>
      <c r="G2536" s="147">
        <v>1591</v>
      </c>
      <c r="H2536" s="147">
        <v>1599</v>
      </c>
      <c r="I2536" s="147">
        <v>1902</v>
      </c>
      <c r="J2536" s="147">
        <v>2519</v>
      </c>
      <c r="K2536" s="147">
        <v>2527</v>
      </c>
      <c r="L2536" s="147">
        <v>2199</v>
      </c>
      <c r="M2536" s="147"/>
      <c r="N2536" s="147"/>
      <c r="O2536" s="147"/>
      <c r="P2536" s="156"/>
      <c r="Q2536" s="3" t="s">
        <v>3</v>
      </c>
    </row>
    <row r="2537" spans="1:17" ht="15" thickBot="1">
      <c r="A2537" s="3" t="s">
        <v>3</v>
      </c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</row>
    <row r="2538" spans="1:17">
      <c r="A2538" s="151">
        <v>1895</v>
      </c>
      <c r="B2538" s="148"/>
      <c r="C2538" s="148"/>
      <c r="D2538" s="148"/>
      <c r="E2538" s="148"/>
      <c r="F2538" s="148"/>
      <c r="G2538" s="148"/>
      <c r="H2538" s="148"/>
      <c r="I2538" s="148"/>
      <c r="J2538" s="148"/>
      <c r="K2538" s="148"/>
      <c r="L2538" s="148"/>
      <c r="M2538" s="148"/>
      <c r="N2538" s="148"/>
      <c r="O2538" s="148"/>
      <c r="P2538" s="152"/>
      <c r="Q2538" t="s">
        <v>1362</v>
      </c>
    </row>
    <row r="2539" spans="1:17">
      <c r="A2539" s="153">
        <v>1903</v>
      </c>
      <c r="B2539" s="23"/>
      <c r="C2539" s="23"/>
      <c r="D2539" s="23"/>
      <c r="E2539" s="23"/>
      <c r="F2539" s="23"/>
      <c r="G2539" s="23"/>
      <c r="H2539" s="23"/>
      <c r="I2539" s="23"/>
      <c r="J2539" s="23"/>
      <c r="K2539" s="23"/>
      <c r="L2539" s="23"/>
      <c r="M2539" s="23"/>
      <c r="N2539" s="23"/>
      <c r="O2539" s="23"/>
      <c r="P2539" s="154"/>
      <c r="Q2539" s="3" t="s">
        <v>3</v>
      </c>
    </row>
    <row r="2540" spans="1:17">
      <c r="A2540" s="153">
        <v>1911</v>
      </c>
      <c r="B2540" s="23"/>
      <c r="C2540" s="23"/>
      <c r="D2540" s="23"/>
      <c r="E2540" s="23"/>
      <c r="F2540" s="23"/>
      <c r="G2540" s="23"/>
      <c r="H2540" s="23"/>
      <c r="I2540" s="23"/>
      <c r="J2540" s="23"/>
      <c r="K2540" s="23"/>
      <c r="L2540" s="23"/>
      <c r="M2540" s="23"/>
      <c r="N2540" s="23"/>
      <c r="O2540" s="23"/>
      <c r="P2540" s="154"/>
      <c r="Q2540" s="3" t="s">
        <v>3</v>
      </c>
    </row>
    <row r="2541" spans="1:17">
      <c r="A2541" s="153">
        <v>1919</v>
      </c>
      <c r="B2541" s="23"/>
      <c r="C2541" s="23"/>
      <c r="D2541" s="23"/>
      <c r="E2541" s="23"/>
      <c r="F2541" s="23"/>
      <c r="G2541" s="23"/>
      <c r="H2541" s="23"/>
      <c r="I2541" s="23"/>
      <c r="J2541" s="23"/>
      <c r="K2541" s="23"/>
      <c r="L2541" s="23"/>
      <c r="M2541" s="23"/>
      <c r="N2541" s="23"/>
      <c r="O2541" s="23"/>
      <c r="P2541" s="154"/>
      <c r="Q2541" s="3" t="s">
        <v>3</v>
      </c>
    </row>
    <row r="2542" spans="1:17">
      <c r="A2542" s="153">
        <v>2023</v>
      </c>
      <c r="B2542" s="23"/>
      <c r="C2542" s="23"/>
      <c r="D2542" s="23"/>
      <c r="E2542" s="23"/>
      <c r="F2542" s="23"/>
      <c r="G2542" s="23"/>
      <c r="H2542" s="23"/>
      <c r="I2542" s="23"/>
      <c r="J2542" s="23"/>
      <c r="K2542" s="23"/>
      <c r="L2542" s="23"/>
      <c r="M2542" s="23"/>
      <c r="N2542" s="23"/>
      <c r="O2542" s="23"/>
      <c r="P2542" s="154"/>
      <c r="Q2542" s="3" t="s">
        <v>3</v>
      </c>
    </row>
    <row r="2543" spans="1:17">
      <c r="A2543" s="153">
        <v>2031</v>
      </c>
      <c r="B2543" s="23"/>
      <c r="C2543" s="23"/>
      <c r="D2543" s="23"/>
      <c r="E2543" s="23"/>
      <c r="F2543" s="23"/>
      <c r="G2543" s="23"/>
      <c r="H2543" s="23"/>
      <c r="I2543" s="23"/>
      <c r="J2543" s="23"/>
      <c r="K2543" s="23"/>
      <c r="L2543" s="23"/>
      <c r="M2543" s="23"/>
      <c r="N2543" s="23"/>
      <c r="O2543" s="23"/>
      <c r="P2543" s="154"/>
      <c r="Q2543" s="3" t="s">
        <v>3</v>
      </c>
    </row>
    <row r="2544" spans="1:17">
      <c r="A2544" s="153">
        <v>2039</v>
      </c>
      <c r="B2544" s="23"/>
      <c r="C2544" s="23"/>
      <c r="D2544" s="23"/>
      <c r="E2544" s="23"/>
      <c r="F2544" s="23"/>
      <c r="G2544" s="23"/>
      <c r="H2544" s="23"/>
      <c r="I2544" s="23"/>
      <c r="J2544" s="23"/>
      <c r="K2544" s="23"/>
      <c r="L2544" s="23"/>
      <c r="M2544" s="23"/>
      <c r="N2544" s="23"/>
      <c r="O2544" s="23"/>
      <c r="P2544" s="154"/>
      <c r="Q2544" s="3" t="s">
        <v>3</v>
      </c>
    </row>
    <row r="2545" spans="1:17" ht="15" thickBot="1">
      <c r="A2545" s="155">
        <v>2047</v>
      </c>
      <c r="B2545" s="147"/>
      <c r="C2545" s="147"/>
      <c r="D2545" s="147"/>
      <c r="E2545" s="147"/>
      <c r="F2545" s="147"/>
      <c r="G2545" s="147"/>
      <c r="H2545" s="147"/>
      <c r="I2545" s="147"/>
      <c r="J2545" s="147"/>
      <c r="K2545" s="147"/>
      <c r="L2545" s="147"/>
      <c r="M2545" s="147"/>
      <c r="N2545" s="147"/>
      <c r="O2545" s="147"/>
      <c r="P2545" s="156"/>
      <c r="Q2545" s="3" t="s">
        <v>3</v>
      </c>
    </row>
    <row r="2546" spans="1:17" ht="15" thickBot="1">
      <c r="A2546" s="3" t="s">
        <v>3</v>
      </c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</row>
    <row r="2547" spans="1:17">
      <c r="A2547" s="151">
        <v>669</v>
      </c>
      <c r="B2547" s="148">
        <v>1191</v>
      </c>
      <c r="C2547" s="148">
        <v>1676</v>
      </c>
      <c r="D2547" s="148">
        <v>1799</v>
      </c>
      <c r="E2547" s="148">
        <v>1798</v>
      </c>
      <c r="F2547" s="148">
        <v>1823</v>
      </c>
      <c r="G2547" s="148">
        <v>1831</v>
      </c>
      <c r="H2547" s="148">
        <v>1839</v>
      </c>
      <c r="I2547" s="148">
        <v>1847</v>
      </c>
      <c r="J2547" s="148">
        <v>1855</v>
      </c>
      <c r="K2547" s="148"/>
      <c r="L2547" s="148"/>
      <c r="M2547" s="148"/>
      <c r="N2547" s="148"/>
      <c r="O2547" s="148"/>
      <c r="P2547" s="152"/>
      <c r="Q2547" t="s">
        <v>1363</v>
      </c>
    </row>
    <row r="2548" spans="1:17">
      <c r="A2548" s="153">
        <v>679</v>
      </c>
      <c r="B2548" s="23">
        <v>1175</v>
      </c>
      <c r="C2548" s="23">
        <v>1675</v>
      </c>
      <c r="D2548" s="23">
        <v>1797</v>
      </c>
      <c r="E2548" s="23">
        <v>1806</v>
      </c>
      <c r="F2548" s="23">
        <v>1822</v>
      </c>
      <c r="G2548" s="23">
        <v>1830</v>
      </c>
      <c r="H2548" s="23">
        <v>1838</v>
      </c>
      <c r="I2548" s="23">
        <v>1846</v>
      </c>
      <c r="J2548" s="23">
        <v>1854</v>
      </c>
      <c r="K2548" s="23"/>
      <c r="L2548" s="23"/>
      <c r="M2548" s="23"/>
      <c r="N2548" s="23"/>
      <c r="O2548" s="23"/>
      <c r="P2548" s="154"/>
      <c r="Q2548" s="3" t="s">
        <v>3</v>
      </c>
    </row>
    <row r="2549" spans="1:17">
      <c r="A2549" s="153">
        <v>678</v>
      </c>
      <c r="B2549" s="23">
        <v>1183</v>
      </c>
      <c r="C2549" s="23">
        <v>1674</v>
      </c>
      <c r="D2549" s="23">
        <v>1796</v>
      </c>
      <c r="E2549" s="23">
        <v>1805</v>
      </c>
      <c r="F2549" s="23">
        <v>1821</v>
      </c>
      <c r="G2549" s="23">
        <v>1829</v>
      </c>
      <c r="H2549" s="23">
        <v>1837</v>
      </c>
      <c r="I2549" s="23">
        <v>1845</v>
      </c>
      <c r="J2549" s="23">
        <v>1853</v>
      </c>
      <c r="K2549" s="23"/>
      <c r="L2549" s="23"/>
      <c r="M2549" s="23"/>
      <c r="N2549" s="23"/>
      <c r="O2549" s="23"/>
      <c r="P2549" s="154"/>
      <c r="Q2549" s="3" t="s">
        <v>3</v>
      </c>
    </row>
    <row r="2550" spans="1:17">
      <c r="A2550" s="153">
        <v>677</v>
      </c>
      <c r="B2550" s="23">
        <v>1223</v>
      </c>
      <c r="C2550" s="23">
        <v>735</v>
      </c>
      <c r="D2550" s="23">
        <v>1795</v>
      </c>
      <c r="E2550" s="23">
        <v>1804</v>
      </c>
      <c r="F2550" s="23">
        <v>1820</v>
      </c>
      <c r="G2550" s="23">
        <v>1828</v>
      </c>
      <c r="H2550" s="23">
        <v>1836</v>
      </c>
      <c r="I2550" s="23">
        <v>1844</v>
      </c>
      <c r="J2550" s="23">
        <v>1852</v>
      </c>
      <c r="K2550" s="23"/>
      <c r="L2550" s="23"/>
      <c r="M2550" s="23"/>
      <c r="N2550" s="23"/>
      <c r="O2550" s="23"/>
      <c r="P2550" s="154"/>
      <c r="Q2550" s="3" t="s">
        <v>3</v>
      </c>
    </row>
    <row r="2551" spans="1:17">
      <c r="A2551" s="153">
        <v>2296</v>
      </c>
      <c r="B2551" s="23">
        <v>1231</v>
      </c>
      <c r="C2551" s="23">
        <v>734</v>
      </c>
      <c r="D2551" s="23">
        <v>1794</v>
      </c>
      <c r="E2551" s="23">
        <v>1872</v>
      </c>
      <c r="F2551" s="23">
        <v>1819</v>
      </c>
      <c r="G2551" s="23">
        <v>1827</v>
      </c>
      <c r="H2551" s="23">
        <v>1835</v>
      </c>
      <c r="I2551" s="23">
        <v>1843</v>
      </c>
      <c r="J2551" s="23">
        <v>1851</v>
      </c>
      <c r="K2551" s="23"/>
      <c r="L2551" s="23"/>
      <c r="M2551" s="23"/>
      <c r="N2551" s="23"/>
      <c r="O2551" s="23"/>
      <c r="P2551" s="154"/>
      <c r="Q2551" s="3" t="s">
        <v>3</v>
      </c>
    </row>
    <row r="2552" spans="1:17">
      <c r="A2552" s="153">
        <v>2298</v>
      </c>
      <c r="B2552" s="23">
        <v>1239</v>
      </c>
      <c r="C2552" s="23">
        <v>733</v>
      </c>
      <c r="D2552" s="23">
        <v>1802</v>
      </c>
      <c r="E2552" s="23">
        <v>1802</v>
      </c>
      <c r="F2552" s="23">
        <v>1818</v>
      </c>
      <c r="G2552" s="23">
        <v>1826</v>
      </c>
      <c r="H2552" s="23">
        <v>1834</v>
      </c>
      <c r="I2552" s="23">
        <v>1842</v>
      </c>
      <c r="J2552" s="23">
        <v>1850</v>
      </c>
      <c r="K2552" s="23"/>
      <c r="L2552" s="23"/>
      <c r="M2552" s="23"/>
      <c r="N2552" s="23"/>
      <c r="O2552" s="23"/>
      <c r="P2552" s="154"/>
      <c r="Q2552" s="3" t="s">
        <v>3</v>
      </c>
    </row>
    <row r="2553" spans="1:17">
      <c r="A2553" s="153">
        <v>2297</v>
      </c>
      <c r="B2553" s="23">
        <v>1679</v>
      </c>
      <c r="C2553" s="23">
        <v>728</v>
      </c>
      <c r="D2553" s="23">
        <v>1792</v>
      </c>
      <c r="E2553" s="23">
        <v>1801</v>
      </c>
      <c r="F2553" s="23">
        <v>1817</v>
      </c>
      <c r="G2553" s="23">
        <v>1825</v>
      </c>
      <c r="H2553" s="23">
        <v>1833</v>
      </c>
      <c r="I2553" s="23">
        <v>1841</v>
      </c>
      <c r="J2553" s="23">
        <v>1849</v>
      </c>
      <c r="K2553" s="23"/>
      <c r="L2553" s="23"/>
      <c r="M2553" s="23"/>
      <c r="N2553" s="23"/>
      <c r="O2553" s="23"/>
      <c r="P2553" s="154"/>
      <c r="Q2553" s="3" t="s">
        <v>3</v>
      </c>
    </row>
    <row r="2554" spans="1:17" ht="15" thickBot="1">
      <c r="A2554" s="155">
        <v>2302</v>
      </c>
      <c r="B2554" s="147">
        <v>1678</v>
      </c>
      <c r="C2554" s="147">
        <v>2299</v>
      </c>
      <c r="D2554" s="147">
        <v>1807</v>
      </c>
      <c r="E2554" s="147">
        <v>1800</v>
      </c>
      <c r="F2554" s="147">
        <v>1816</v>
      </c>
      <c r="G2554" s="147">
        <v>1824</v>
      </c>
      <c r="H2554" s="147">
        <v>1832</v>
      </c>
      <c r="I2554" s="147">
        <v>1840</v>
      </c>
      <c r="J2554" s="147">
        <v>1848</v>
      </c>
      <c r="K2554" s="147"/>
      <c r="L2554" s="147"/>
      <c r="M2554" s="147"/>
      <c r="N2554" s="147"/>
      <c r="O2554" s="147"/>
      <c r="P2554" s="156"/>
      <c r="Q2554" s="3" t="s">
        <v>3</v>
      </c>
    </row>
    <row r="2555" spans="1:17" ht="15" thickBot="1">
      <c r="A2555" s="3" t="s">
        <v>3</v>
      </c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</row>
    <row r="2556" spans="1:17">
      <c r="A2556" s="151">
        <v>1191</v>
      </c>
      <c r="B2556" s="148"/>
      <c r="C2556" s="148"/>
      <c r="D2556" s="148"/>
      <c r="E2556" s="148"/>
      <c r="F2556" s="148"/>
      <c r="G2556" s="148"/>
      <c r="H2556" s="148"/>
      <c r="I2556" s="148"/>
      <c r="J2556" s="148"/>
      <c r="K2556" s="148"/>
      <c r="L2556" s="148"/>
      <c r="M2556" s="148"/>
      <c r="N2556" s="148"/>
      <c r="O2556" s="148"/>
      <c r="P2556" s="152"/>
      <c r="Q2556" t="s">
        <v>1364</v>
      </c>
    </row>
    <row r="2557" spans="1:17">
      <c r="A2557" s="153">
        <v>1175</v>
      </c>
      <c r="B2557" s="23"/>
      <c r="C2557" s="23"/>
      <c r="D2557" s="23"/>
      <c r="E2557" s="23"/>
      <c r="F2557" s="23"/>
      <c r="G2557" s="23"/>
      <c r="H2557" s="23"/>
      <c r="I2557" s="23"/>
      <c r="J2557" s="23"/>
      <c r="K2557" s="23"/>
      <c r="L2557" s="23"/>
      <c r="M2557" s="23"/>
      <c r="N2557" s="23"/>
      <c r="O2557" s="23"/>
      <c r="P2557" s="154"/>
      <c r="Q2557" s="3" t="s">
        <v>3</v>
      </c>
    </row>
    <row r="2558" spans="1:17">
      <c r="A2558" s="153">
        <v>1183</v>
      </c>
      <c r="B2558" s="23"/>
      <c r="C2558" s="23"/>
      <c r="D2558" s="23"/>
      <c r="E2558" s="23"/>
      <c r="F2558" s="23"/>
      <c r="G2558" s="23"/>
      <c r="H2558" s="23"/>
      <c r="I2558" s="23"/>
      <c r="J2558" s="23"/>
      <c r="K2558" s="23"/>
      <c r="L2558" s="23"/>
      <c r="M2558" s="23"/>
      <c r="N2558" s="23"/>
      <c r="O2558" s="23"/>
      <c r="P2558" s="154"/>
      <c r="Q2558" s="3" t="s">
        <v>3</v>
      </c>
    </row>
    <row r="2559" spans="1:17">
      <c r="A2559" s="153">
        <v>1223</v>
      </c>
      <c r="B2559" s="23"/>
      <c r="C2559" s="23"/>
      <c r="D2559" s="23"/>
      <c r="E2559" s="23"/>
      <c r="F2559" s="23"/>
      <c r="G2559" s="23"/>
      <c r="H2559" s="23"/>
      <c r="I2559" s="23"/>
      <c r="J2559" s="23"/>
      <c r="K2559" s="23"/>
      <c r="L2559" s="23"/>
      <c r="M2559" s="23"/>
      <c r="N2559" s="23"/>
      <c r="O2559" s="23"/>
      <c r="P2559" s="154"/>
      <c r="Q2559" s="3" t="s">
        <v>3</v>
      </c>
    </row>
    <row r="2560" spans="1:17">
      <c r="A2560" s="153">
        <v>1231</v>
      </c>
      <c r="B2560" s="23"/>
      <c r="C2560" s="23"/>
      <c r="D2560" s="23"/>
      <c r="E2560" s="23"/>
      <c r="F2560" s="23"/>
      <c r="G2560" s="23"/>
      <c r="H2560" s="23"/>
      <c r="I2560" s="23"/>
      <c r="J2560" s="23"/>
      <c r="K2560" s="23"/>
      <c r="L2560" s="23"/>
      <c r="M2560" s="23"/>
      <c r="N2560" s="23"/>
      <c r="O2560" s="23"/>
      <c r="P2560" s="154"/>
      <c r="Q2560" s="3" t="s">
        <v>3</v>
      </c>
    </row>
    <row r="2561" spans="1:17">
      <c r="A2561" s="153">
        <v>1239</v>
      </c>
      <c r="B2561" s="23"/>
      <c r="C2561" s="23"/>
      <c r="D2561" s="23"/>
      <c r="E2561" s="23"/>
      <c r="F2561" s="23"/>
      <c r="G2561" s="23"/>
      <c r="H2561" s="23"/>
      <c r="I2561" s="23"/>
      <c r="J2561" s="23"/>
      <c r="K2561" s="23"/>
      <c r="L2561" s="23"/>
      <c r="M2561" s="23"/>
      <c r="N2561" s="23"/>
      <c r="O2561" s="23"/>
      <c r="P2561" s="154"/>
      <c r="Q2561" s="3" t="s">
        <v>3</v>
      </c>
    </row>
    <row r="2562" spans="1:17">
      <c r="A2562" s="153"/>
      <c r="B2562" s="23"/>
      <c r="C2562" s="23"/>
      <c r="D2562" s="23"/>
      <c r="E2562" s="23"/>
      <c r="F2562" s="23"/>
      <c r="G2562" s="23"/>
      <c r="H2562" s="23"/>
      <c r="I2562" s="23"/>
      <c r="J2562" s="23"/>
      <c r="K2562" s="23"/>
      <c r="L2562" s="23"/>
      <c r="M2562" s="23"/>
      <c r="N2562" s="23"/>
      <c r="O2562" s="23"/>
      <c r="P2562" s="154"/>
      <c r="Q2562" s="3" t="s">
        <v>3</v>
      </c>
    </row>
    <row r="2563" spans="1:17" ht="15" thickBot="1">
      <c r="A2563" s="155"/>
      <c r="B2563" s="147"/>
      <c r="C2563" s="147"/>
      <c r="D2563" s="147"/>
      <c r="E2563" s="147"/>
      <c r="F2563" s="147"/>
      <c r="G2563" s="147"/>
      <c r="H2563" s="147"/>
      <c r="I2563" s="147"/>
      <c r="J2563" s="147"/>
      <c r="K2563" s="147"/>
      <c r="L2563" s="147"/>
      <c r="M2563" s="147"/>
      <c r="N2563" s="147"/>
      <c r="O2563" s="147"/>
      <c r="P2563" s="156"/>
      <c r="Q2563" s="3" t="s">
        <v>3</v>
      </c>
    </row>
    <row r="2564" spans="1:17">
      <c r="A2564" t="s">
        <v>1365</v>
      </c>
      <c r="B2564"/>
    </row>
    <row r="2565" spans="1:17">
      <c r="A2565" s="23">
        <v>0</v>
      </c>
      <c r="B2565" s="23">
        <v>0</v>
      </c>
      <c r="C2565" s="23">
        <v>0</v>
      </c>
      <c r="D2565" t="s">
        <v>32</v>
      </c>
      <c r="F2565" t="s">
        <v>1366</v>
      </c>
    </row>
    <row r="2566" spans="1:17">
      <c r="A2566" s="23">
        <v>0</v>
      </c>
      <c r="B2566" s="23">
        <v>0</v>
      </c>
      <c r="C2566" s="23">
        <v>0</v>
      </c>
      <c r="D2566" t="s">
        <v>32</v>
      </c>
      <c r="F2566" t="s">
        <v>1367</v>
      </c>
    </row>
    <row r="2567" spans="1:17">
      <c r="A2567" s="23">
        <v>0</v>
      </c>
      <c r="B2567" s="23">
        <v>0</v>
      </c>
      <c r="C2567" s="23">
        <v>0</v>
      </c>
      <c r="D2567" t="s">
        <v>32</v>
      </c>
      <c r="F2567" t="s">
        <v>1368</v>
      </c>
    </row>
    <row r="2568" spans="1:17">
      <c r="A2568" s="23">
        <v>0</v>
      </c>
      <c r="B2568" s="23">
        <v>0</v>
      </c>
      <c r="C2568" s="23">
        <v>0</v>
      </c>
      <c r="D2568" t="s">
        <v>32</v>
      </c>
      <c r="F2568" t="s">
        <v>1369</v>
      </c>
    </row>
    <row r="2569" spans="1:17">
      <c r="A2569" s="23">
        <v>0</v>
      </c>
      <c r="B2569" s="23">
        <v>0</v>
      </c>
      <c r="C2569" s="23">
        <v>0</v>
      </c>
      <c r="D2569" t="s">
        <v>32</v>
      </c>
      <c r="F2569" t="s">
        <v>1370</v>
      </c>
    </row>
    <row r="2570" spans="1:17">
      <c r="A2570" s="23">
        <v>88</v>
      </c>
      <c r="B2570" t="s">
        <v>32</v>
      </c>
      <c r="F2570" t="s">
        <v>1452</v>
      </c>
    </row>
    <row r="2571" spans="1:17">
      <c r="A2571" s="23"/>
      <c r="B2571" t="s">
        <v>32</v>
      </c>
      <c r="C2571" s="133"/>
      <c r="F2571" t="s">
        <v>11</v>
      </c>
    </row>
    <row r="2572" spans="1:17">
      <c r="A2572" s="23"/>
      <c r="B2572" t="s">
        <v>32</v>
      </c>
      <c r="C2572" s="133"/>
      <c r="F2572" t="s">
        <v>11</v>
      </c>
    </row>
    <row r="2573" spans="1:17">
      <c r="A2573" t="s">
        <v>1371</v>
      </c>
      <c r="B2573"/>
    </row>
    <row r="2574" spans="1:17" ht="15" thickBot="1">
      <c r="A2574" t="s">
        <v>38</v>
      </c>
      <c r="B2574" t="s">
        <v>1372</v>
      </c>
      <c r="C2574" t="s">
        <v>1373</v>
      </c>
    </row>
    <row r="2575" spans="1:17">
      <c r="A2575" s="151">
        <v>1</v>
      </c>
      <c r="B2575" s="148">
        <v>2</v>
      </c>
      <c r="C2575" s="148">
        <v>3</v>
      </c>
      <c r="D2575" s="148">
        <v>4</v>
      </c>
      <c r="E2575" s="148">
        <v>5</v>
      </c>
      <c r="F2575" s="148">
        <v>6</v>
      </c>
      <c r="G2575" s="148">
        <v>7</v>
      </c>
      <c r="H2575" s="152">
        <v>8</v>
      </c>
      <c r="I2575" t="s">
        <v>32</v>
      </c>
      <c r="Q2575" t="s">
        <v>1374</v>
      </c>
    </row>
    <row r="2576" spans="1:17">
      <c r="A2576" s="153">
        <v>9</v>
      </c>
      <c r="B2576" s="23">
        <v>10</v>
      </c>
      <c r="C2576" s="23">
        <v>11</v>
      </c>
      <c r="D2576" s="23">
        <v>12</v>
      </c>
      <c r="E2576" s="23">
        <v>201</v>
      </c>
      <c r="F2576" s="23">
        <v>202</v>
      </c>
      <c r="G2576" s="23">
        <v>203</v>
      </c>
      <c r="H2576" s="154">
        <v>204</v>
      </c>
      <c r="I2576" t="s">
        <v>32</v>
      </c>
      <c r="Q2576" t="s">
        <v>1375</v>
      </c>
    </row>
    <row r="2577" spans="1:18">
      <c r="A2577" s="153">
        <v>14</v>
      </c>
      <c r="B2577" s="23">
        <v>15</v>
      </c>
      <c r="C2577" s="23">
        <v>31</v>
      </c>
      <c r="D2577" s="23">
        <v>32</v>
      </c>
      <c r="E2577" s="23">
        <v>33</v>
      </c>
      <c r="F2577" s="23">
        <v>34</v>
      </c>
      <c r="G2577" s="23">
        <v>35</v>
      </c>
      <c r="H2577" s="154">
        <v>36</v>
      </c>
      <c r="I2577" t="s">
        <v>32</v>
      </c>
      <c r="Q2577" t="s">
        <v>1376</v>
      </c>
    </row>
    <row r="2578" spans="1:18">
      <c r="A2578" s="153">
        <v>37</v>
      </c>
      <c r="B2578" s="23">
        <v>38</v>
      </c>
      <c r="C2578" s="23">
        <v>39</v>
      </c>
      <c r="D2578" s="23">
        <v>40</v>
      </c>
      <c r="E2578" s="23">
        <v>41</v>
      </c>
      <c r="F2578" s="23">
        <v>42</v>
      </c>
      <c r="G2578" s="23">
        <v>43</v>
      </c>
      <c r="H2578" s="154">
        <v>44</v>
      </c>
      <c r="I2578" t="s">
        <v>32</v>
      </c>
      <c r="Q2578" t="s">
        <v>1377</v>
      </c>
    </row>
    <row r="2579" spans="1:18">
      <c r="A2579" s="153">
        <v>45</v>
      </c>
      <c r="B2579" s="23">
        <v>46</v>
      </c>
      <c r="C2579" s="23">
        <v>47</v>
      </c>
      <c r="D2579" s="23"/>
      <c r="E2579" s="23"/>
      <c r="F2579" s="23"/>
      <c r="G2579" s="23"/>
      <c r="H2579" s="154"/>
      <c r="I2579" t="s">
        <v>32</v>
      </c>
      <c r="Q2579" t="s">
        <v>1378</v>
      </c>
    </row>
    <row r="2580" spans="1:18">
      <c r="A2580" s="153"/>
      <c r="B2580" s="23"/>
      <c r="C2580" s="23"/>
      <c r="D2580" s="23"/>
      <c r="E2580" s="23"/>
      <c r="F2580" s="23"/>
      <c r="G2580" s="23"/>
      <c r="H2580" s="154"/>
      <c r="I2580" t="s">
        <v>32</v>
      </c>
      <c r="Q2580" t="s">
        <v>1379</v>
      </c>
    </row>
    <row r="2581" spans="1:18">
      <c r="A2581" s="153"/>
      <c r="B2581" s="23"/>
      <c r="C2581" s="23"/>
      <c r="D2581" s="23"/>
      <c r="E2581" s="23"/>
      <c r="F2581" s="23"/>
      <c r="G2581" s="23"/>
      <c r="H2581" s="154"/>
      <c r="I2581" t="s">
        <v>32</v>
      </c>
      <c r="Q2581" t="s">
        <v>1380</v>
      </c>
    </row>
    <row r="2582" spans="1:18">
      <c r="A2582" s="153"/>
      <c r="B2582" s="23"/>
      <c r="C2582" s="23"/>
      <c r="D2582" s="23"/>
      <c r="E2582" s="23"/>
      <c r="F2582" s="23"/>
      <c r="G2582" s="23"/>
      <c r="H2582" s="154"/>
      <c r="I2582" t="s">
        <v>32</v>
      </c>
      <c r="Q2582" t="s">
        <v>1381</v>
      </c>
    </row>
    <row r="2583" spans="1:18">
      <c r="A2583" s="153"/>
      <c r="B2583" s="23"/>
      <c r="C2583" s="23"/>
      <c r="D2583" s="23"/>
      <c r="E2583" s="23"/>
      <c r="F2583" s="23"/>
      <c r="G2583" s="23"/>
      <c r="H2583" s="154"/>
      <c r="I2583" t="s">
        <v>32</v>
      </c>
      <c r="Q2583" t="s">
        <v>1382</v>
      </c>
    </row>
    <row r="2584" spans="1:18">
      <c r="A2584" s="153"/>
      <c r="B2584" s="23"/>
      <c r="C2584" s="23"/>
      <c r="D2584" s="23"/>
      <c r="E2584" s="23"/>
      <c r="F2584" s="23"/>
      <c r="G2584" s="23"/>
      <c r="H2584" s="154"/>
      <c r="I2584" t="s">
        <v>32</v>
      </c>
      <c r="Q2584" t="s">
        <v>1383</v>
      </c>
    </row>
    <row r="2585" spans="1:18" ht="15" thickBot="1">
      <c r="A2585" s="155"/>
      <c r="B2585" s="147"/>
      <c r="C2585" s="147"/>
      <c r="D2585" s="147"/>
      <c r="E2585" s="147"/>
      <c r="F2585" s="147"/>
      <c r="G2585" s="147"/>
      <c r="H2585" s="156"/>
      <c r="I2585" t="s">
        <v>32</v>
      </c>
      <c r="Q2585" t="s">
        <v>1384</v>
      </c>
    </row>
    <row r="2586" spans="1:18">
      <c r="A2586" t="s">
        <v>1385</v>
      </c>
      <c r="B2586"/>
      <c r="C2586" t="s">
        <v>1386</v>
      </c>
      <c r="E2586" t="s">
        <v>996</v>
      </c>
      <c r="G2586" t="s">
        <v>997</v>
      </c>
      <c r="I2586" t="s">
        <v>998</v>
      </c>
      <c r="K2586" t="s">
        <v>999</v>
      </c>
      <c r="M2586" t="s">
        <v>1000</v>
      </c>
      <c r="O2586" t="s">
        <v>1001</v>
      </c>
    </row>
    <row r="2587" spans="1:18" ht="15" thickBot="1">
      <c r="A2587" t="s">
        <v>1387</v>
      </c>
      <c r="B2587" t="s">
        <v>1388</v>
      </c>
      <c r="C2587" t="s">
        <v>1387</v>
      </c>
      <c r="D2587" t="s">
        <v>1388</v>
      </c>
      <c r="E2587" t="s">
        <v>1387</v>
      </c>
      <c r="F2587" t="s">
        <v>1388</v>
      </c>
      <c r="G2587" t="s">
        <v>1387</v>
      </c>
      <c r="H2587" t="s">
        <v>1388</v>
      </c>
      <c r="I2587" t="s">
        <v>1387</v>
      </c>
      <c r="J2587" t="s">
        <v>1388</v>
      </c>
      <c r="K2587" t="s">
        <v>1387</v>
      </c>
      <c r="L2587" t="s">
        <v>1388</v>
      </c>
      <c r="M2587" t="s">
        <v>1387</v>
      </c>
      <c r="N2587" t="s">
        <v>1388</v>
      </c>
      <c r="O2587" t="s">
        <v>1387</v>
      </c>
      <c r="P2587" t="s">
        <v>1388</v>
      </c>
      <c r="Q2587" t="s">
        <v>1389</v>
      </c>
    </row>
    <row r="2588" spans="1:18">
      <c r="A2588" s="151">
        <v>2608</v>
      </c>
      <c r="B2588" s="148">
        <v>2610</v>
      </c>
      <c r="C2588" s="148">
        <v>2611</v>
      </c>
      <c r="D2588" s="148">
        <v>2613</v>
      </c>
      <c r="E2588" s="148">
        <v>2614</v>
      </c>
      <c r="F2588" s="148">
        <v>2616</v>
      </c>
      <c r="G2588" s="148">
        <v>2617</v>
      </c>
      <c r="H2588" s="148">
        <v>2619</v>
      </c>
      <c r="I2588" s="148">
        <v>2620</v>
      </c>
      <c r="J2588" s="148">
        <v>2622</v>
      </c>
      <c r="K2588" s="148">
        <v>2623</v>
      </c>
      <c r="L2588" s="148">
        <v>2625</v>
      </c>
      <c r="M2588" s="148">
        <v>2626</v>
      </c>
      <c r="N2588" s="148">
        <v>2628</v>
      </c>
      <c r="O2588" s="148">
        <v>2629</v>
      </c>
      <c r="P2588" s="148">
        <v>2631</v>
      </c>
      <c r="Q2588" s="152">
        <v>1</v>
      </c>
      <c r="R2588" t="s">
        <v>406</v>
      </c>
    </row>
    <row r="2589" spans="1:18">
      <c r="A2589" s="153">
        <v>2632</v>
      </c>
      <c r="B2589" s="23">
        <v>2634</v>
      </c>
      <c r="C2589" s="23">
        <v>2635</v>
      </c>
      <c r="D2589" s="23">
        <v>2637</v>
      </c>
      <c r="E2589" s="23">
        <v>2638</v>
      </c>
      <c r="F2589" s="23">
        <v>2640</v>
      </c>
      <c r="G2589" s="23">
        <v>2641</v>
      </c>
      <c r="H2589" s="23">
        <v>2643</v>
      </c>
      <c r="I2589" s="23">
        <v>2644</v>
      </c>
      <c r="J2589" s="23">
        <v>2646</v>
      </c>
      <c r="K2589" s="23">
        <v>2647</v>
      </c>
      <c r="L2589" s="23">
        <v>2649</v>
      </c>
      <c r="M2589" s="23">
        <v>2650</v>
      </c>
      <c r="N2589" s="23">
        <v>2652</v>
      </c>
      <c r="O2589" s="23">
        <v>2653</v>
      </c>
      <c r="P2589" s="23">
        <v>2655</v>
      </c>
      <c r="Q2589" s="154">
        <v>2</v>
      </c>
      <c r="R2589" t="s">
        <v>407</v>
      </c>
    </row>
    <row r="2590" spans="1:18">
      <c r="A2590" s="153">
        <v>2656</v>
      </c>
      <c r="B2590" s="23">
        <v>2658</v>
      </c>
      <c r="C2590" s="23">
        <v>2659</v>
      </c>
      <c r="D2590" s="23">
        <v>2661</v>
      </c>
      <c r="E2590" s="23">
        <v>2662</v>
      </c>
      <c r="F2590" s="23">
        <v>2664</v>
      </c>
      <c r="G2590" s="23">
        <v>2665</v>
      </c>
      <c r="H2590" s="23">
        <v>2667</v>
      </c>
      <c r="I2590" s="23">
        <v>2668</v>
      </c>
      <c r="J2590" s="23">
        <v>2670</v>
      </c>
      <c r="K2590" s="23">
        <v>2671</v>
      </c>
      <c r="L2590" s="23">
        <v>2673</v>
      </c>
      <c r="M2590" s="23">
        <v>2674</v>
      </c>
      <c r="N2590" s="23">
        <v>2676</v>
      </c>
      <c r="O2590" s="23">
        <v>2677</v>
      </c>
      <c r="P2590" s="23">
        <v>2679</v>
      </c>
      <c r="Q2590" s="154">
        <v>3</v>
      </c>
      <c r="R2590" t="s">
        <v>408</v>
      </c>
    </row>
    <row r="2591" spans="1:18">
      <c r="A2591" s="153">
        <v>2680</v>
      </c>
      <c r="B2591" s="23">
        <v>2682</v>
      </c>
      <c r="C2591" s="23">
        <v>2683</v>
      </c>
      <c r="D2591" s="23">
        <v>2685</v>
      </c>
      <c r="E2591" s="23">
        <v>2686</v>
      </c>
      <c r="F2591" s="23">
        <v>2688</v>
      </c>
      <c r="G2591" s="23">
        <v>2689</v>
      </c>
      <c r="H2591" s="23">
        <v>2691</v>
      </c>
      <c r="I2591" s="23">
        <v>2692</v>
      </c>
      <c r="J2591" s="23">
        <v>2694</v>
      </c>
      <c r="K2591" s="23">
        <v>2695</v>
      </c>
      <c r="L2591" s="23">
        <v>2697</v>
      </c>
      <c r="M2591" s="23">
        <v>2698</v>
      </c>
      <c r="N2591" s="23">
        <v>2700</v>
      </c>
      <c r="O2591" s="23">
        <v>2701</v>
      </c>
      <c r="P2591" s="23">
        <v>2703</v>
      </c>
      <c r="Q2591" s="154">
        <v>4</v>
      </c>
      <c r="R2591" t="s">
        <v>409</v>
      </c>
    </row>
    <row r="2592" spans="1:18">
      <c r="A2592" s="153">
        <v>2704</v>
      </c>
      <c r="B2592" s="23">
        <v>2706</v>
      </c>
      <c r="C2592" s="23">
        <v>2707</v>
      </c>
      <c r="D2592" s="23">
        <v>2709</v>
      </c>
      <c r="E2592" s="23">
        <v>2710</v>
      </c>
      <c r="F2592" s="23">
        <v>2712</v>
      </c>
      <c r="G2592" s="23">
        <v>2713</v>
      </c>
      <c r="H2592" s="23">
        <v>2715</v>
      </c>
      <c r="I2592" s="23">
        <v>2716</v>
      </c>
      <c r="J2592" s="23">
        <v>2718</v>
      </c>
      <c r="K2592" s="23">
        <v>2719</v>
      </c>
      <c r="L2592" s="23">
        <v>2721</v>
      </c>
      <c r="M2592" s="23">
        <v>2722</v>
      </c>
      <c r="N2592" s="23">
        <v>2724</v>
      </c>
      <c r="O2592" s="23">
        <v>2725</v>
      </c>
      <c r="P2592" s="23">
        <v>2727</v>
      </c>
      <c r="Q2592" s="154">
        <v>5</v>
      </c>
      <c r="R2592" t="s">
        <v>410</v>
      </c>
    </row>
    <row r="2593" spans="1:18">
      <c r="A2593" s="153">
        <v>2728</v>
      </c>
      <c r="B2593" s="23">
        <v>2730</v>
      </c>
      <c r="C2593" s="23">
        <v>2731</v>
      </c>
      <c r="D2593" s="23">
        <v>2733</v>
      </c>
      <c r="E2593" s="23">
        <v>2734</v>
      </c>
      <c r="F2593" s="23">
        <v>2736</v>
      </c>
      <c r="G2593" s="23">
        <v>2737</v>
      </c>
      <c r="H2593" s="23">
        <v>2739</v>
      </c>
      <c r="I2593" s="23">
        <v>2740</v>
      </c>
      <c r="J2593" s="23">
        <v>2742</v>
      </c>
      <c r="K2593" s="23">
        <v>2743</v>
      </c>
      <c r="L2593" s="23">
        <v>2745</v>
      </c>
      <c r="M2593" s="23">
        <v>2746</v>
      </c>
      <c r="N2593" s="23">
        <v>2748</v>
      </c>
      <c r="O2593" s="23">
        <v>2749</v>
      </c>
      <c r="P2593" s="23">
        <v>2751</v>
      </c>
      <c r="Q2593" s="154">
        <v>6</v>
      </c>
      <c r="R2593" t="s">
        <v>411</v>
      </c>
    </row>
    <row r="2594" spans="1:18">
      <c r="A2594" s="153">
        <v>2752</v>
      </c>
      <c r="B2594" s="23">
        <v>2754</v>
      </c>
      <c r="C2594" s="23">
        <v>2755</v>
      </c>
      <c r="D2594" s="23">
        <v>2757</v>
      </c>
      <c r="E2594" s="23">
        <v>2758</v>
      </c>
      <c r="F2594" s="23">
        <v>2760</v>
      </c>
      <c r="G2594" s="23">
        <v>2761</v>
      </c>
      <c r="H2594" s="23">
        <v>2763</v>
      </c>
      <c r="I2594" s="23">
        <v>2764</v>
      </c>
      <c r="J2594" s="23">
        <v>2766</v>
      </c>
      <c r="K2594" s="23">
        <v>2767</v>
      </c>
      <c r="L2594" s="23">
        <v>2769</v>
      </c>
      <c r="M2594" s="23">
        <v>2770</v>
      </c>
      <c r="N2594" s="23">
        <v>2772</v>
      </c>
      <c r="O2594" s="23">
        <v>2773</v>
      </c>
      <c r="P2594" s="23">
        <v>2775</v>
      </c>
      <c r="Q2594" s="154">
        <v>7</v>
      </c>
      <c r="R2594" t="s">
        <v>412</v>
      </c>
    </row>
    <row r="2595" spans="1:18">
      <c r="A2595" s="153">
        <v>2776</v>
      </c>
      <c r="B2595" s="23">
        <v>2778</v>
      </c>
      <c r="C2595" s="23">
        <v>2779</v>
      </c>
      <c r="D2595" s="23">
        <v>2781</v>
      </c>
      <c r="E2595" s="23">
        <v>2782</v>
      </c>
      <c r="F2595" s="23">
        <v>2784</v>
      </c>
      <c r="G2595" s="23">
        <v>2785</v>
      </c>
      <c r="H2595" s="23">
        <v>2787</v>
      </c>
      <c r="I2595" s="23">
        <v>2788</v>
      </c>
      <c r="J2595" s="23">
        <v>2790</v>
      </c>
      <c r="K2595" s="23">
        <v>2791</v>
      </c>
      <c r="L2595" s="23">
        <v>2793</v>
      </c>
      <c r="M2595" s="23">
        <v>2794</v>
      </c>
      <c r="N2595" s="23">
        <v>2796</v>
      </c>
      <c r="O2595" s="23">
        <v>2797</v>
      </c>
      <c r="P2595" s="23">
        <v>2799</v>
      </c>
      <c r="Q2595" s="154">
        <v>8</v>
      </c>
      <c r="R2595" t="s">
        <v>413</v>
      </c>
    </row>
    <row r="2596" spans="1:18">
      <c r="A2596" s="153">
        <v>2800</v>
      </c>
      <c r="B2596" s="23">
        <v>2802</v>
      </c>
      <c r="C2596" s="23">
        <v>2803</v>
      </c>
      <c r="D2596" s="23">
        <v>2805</v>
      </c>
      <c r="E2596" s="23">
        <v>2806</v>
      </c>
      <c r="F2596" s="23">
        <v>2808</v>
      </c>
      <c r="G2596" s="23">
        <v>2809</v>
      </c>
      <c r="H2596" s="23">
        <v>2811</v>
      </c>
      <c r="I2596" s="23">
        <v>2812</v>
      </c>
      <c r="J2596" s="23">
        <v>2814</v>
      </c>
      <c r="K2596" s="23">
        <v>2815</v>
      </c>
      <c r="L2596" s="23">
        <v>2817</v>
      </c>
      <c r="M2596" s="23">
        <v>2818</v>
      </c>
      <c r="N2596" s="23">
        <v>2820</v>
      </c>
      <c r="O2596" s="23">
        <v>2821</v>
      </c>
      <c r="P2596" s="23">
        <v>2823</v>
      </c>
      <c r="Q2596" s="154">
        <v>9</v>
      </c>
      <c r="R2596" t="s">
        <v>414</v>
      </c>
    </row>
    <row r="2597" spans="1:18">
      <c r="A2597" s="153">
        <v>2824</v>
      </c>
      <c r="B2597" s="23">
        <v>2826</v>
      </c>
      <c r="C2597" s="23">
        <v>2827</v>
      </c>
      <c r="D2597" s="23">
        <v>2829</v>
      </c>
      <c r="E2597" s="23">
        <v>2830</v>
      </c>
      <c r="F2597" s="23">
        <v>2832</v>
      </c>
      <c r="G2597" s="23">
        <v>2833</v>
      </c>
      <c r="H2597" s="23">
        <v>2835</v>
      </c>
      <c r="I2597" s="23">
        <v>2836</v>
      </c>
      <c r="J2597" s="23">
        <v>2838</v>
      </c>
      <c r="K2597" s="23">
        <v>2839</v>
      </c>
      <c r="L2597" s="23">
        <v>2841</v>
      </c>
      <c r="M2597" s="23">
        <v>2842</v>
      </c>
      <c r="N2597" s="23">
        <v>2844</v>
      </c>
      <c r="O2597" s="23">
        <v>2845</v>
      </c>
      <c r="P2597" s="23">
        <v>2847</v>
      </c>
      <c r="Q2597" s="154">
        <v>10</v>
      </c>
      <c r="R2597" t="s">
        <v>415</v>
      </c>
    </row>
    <row r="2598" spans="1:18">
      <c r="A2598" s="153">
        <v>2848</v>
      </c>
      <c r="B2598" s="23">
        <v>2850</v>
      </c>
      <c r="C2598" s="23">
        <v>2851</v>
      </c>
      <c r="D2598" s="23">
        <v>2853</v>
      </c>
      <c r="E2598" s="23">
        <v>2854</v>
      </c>
      <c r="F2598" s="23">
        <v>2856</v>
      </c>
      <c r="G2598" s="23">
        <v>2857</v>
      </c>
      <c r="H2598" s="23">
        <v>2859</v>
      </c>
      <c r="I2598" s="23">
        <v>2860</v>
      </c>
      <c r="J2598" s="23">
        <v>2862</v>
      </c>
      <c r="K2598" s="23">
        <v>2863</v>
      </c>
      <c r="L2598" s="23">
        <v>2865</v>
      </c>
      <c r="M2598" s="23">
        <v>2866</v>
      </c>
      <c r="N2598" s="23">
        <v>2868</v>
      </c>
      <c r="O2598" s="23">
        <v>2869</v>
      </c>
      <c r="P2598" s="23">
        <v>2871</v>
      </c>
      <c r="Q2598" s="154">
        <v>11</v>
      </c>
      <c r="R2598" t="s">
        <v>416</v>
      </c>
    </row>
    <row r="2599" spans="1:18">
      <c r="A2599" s="153">
        <v>2872</v>
      </c>
      <c r="B2599" s="23">
        <v>2874</v>
      </c>
      <c r="C2599" s="23">
        <v>2875</v>
      </c>
      <c r="D2599" s="23">
        <v>2877</v>
      </c>
      <c r="E2599" s="23">
        <v>2878</v>
      </c>
      <c r="F2599" s="23">
        <v>2880</v>
      </c>
      <c r="G2599" s="23">
        <v>2881</v>
      </c>
      <c r="H2599" s="23">
        <v>2883</v>
      </c>
      <c r="I2599" s="23">
        <v>2884</v>
      </c>
      <c r="J2599" s="23">
        <v>2886</v>
      </c>
      <c r="K2599" s="23">
        <v>2887</v>
      </c>
      <c r="L2599" s="23">
        <v>2889</v>
      </c>
      <c r="M2599" s="23">
        <v>2890</v>
      </c>
      <c r="N2599" s="23">
        <v>2892</v>
      </c>
      <c r="O2599" s="23">
        <v>2893</v>
      </c>
      <c r="P2599" s="23">
        <v>2895</v>
      </c>
      <c r="Q2599" s="154">
        <v>12</v>
      </c>
      <c r="R2599" t="s">
        <v>417</v>
      </c>
    </row>
    <row r="2600" spans="1:18">
      <c r="A2600" s="153">
        <v>2896</v>
      </c>
      <c r="B2600" s="23">
        <v>2898</v>
      </c>
      <c r="C2600" s="23">
        <v>2899</v>
      </c>
      <c r="D2600" s="23">
        <v>2901</v>
      </c>
      <c r="E2600" s="23">
        <v>2902</v>
      </c>
      <c r="F2600" s="23">
        <v>2904</v>
      </c>
      <c r="G2600" s="23">
        <v>2905</v>
      </c>
      <c r="H2600" s="23">
        <v>2907</v>
      </c>
      <c r="I2600" s="23">
        <v>2908</v>
      </c>
      <c r="J2600" s="23">
        <v>2910</v>
      </c>
      <c r="K2600" s="23">
        <v>2911</v>
      </c>
      <c r="L2600" s="23">
        <v>2913</v>
      </c>
      <c r="M2600" s="23">
        <v>2914</v>
      </c>
      <c r="N2600" s="23">
        <v>2916</v>
      </c>
      <c r="O2600" s="23">
        <v>2917</v>
      </c>
      <c r="P2600" s="23">
        <v>2919</v>
      </c>
      <c r="Q2600" s="154">
        <v>13</v>
      </c>
      <c r="R2600" t="s">
        <v>418</v>
      </c>
    </row>
    <row r="2601" spans="1:18">
      <c r="A2601" s="153">
        <v>2920</v>
      </c>
      <c r="B2601" s="23">
        <v>2922</v>
      </c>
      <c r="C2601" s="23">
        <v>2923</v>
      </c>
      <c r="D2601" s="23">
        <v>2925</v>
      </c>
      <c r="E2601" s="23">
        <v>2926</v>
      </c>
      <c r="F2601" s="23">
        <v>2928</v>
      </c>
      <c r="G2601" s="23">
        <v>2929</v>
      </c>
      <c r="H2601" s="23">
        <v>2931</v>
      </c>
      <c r="I2601" s="23">
        <v>2932</v>
      </c>
      <c r="J2601" s="23">
        <v>2934</v>
      </c>
      <c r="K2601" s="23">
        <v>2935</v>
      </c>
      <c r="L2601" s="23">
        <v>2937</v>
      </c>
      <c r="M2601" s="23">
        <v>2938</v>
      </c>
      <c r="N2601" s="23">
        <v>2940</v>
      </c>
      <c r="O2601" s="23">
        <v>2941</v>
      </c>
      <c r="P2601" s="23">
        <v>2943</v>
      </c>
      <c r="Q2601" s="154">
        <v>14</v>
      </c>
      <c r="R2601" t="s">
        <v>419</v>
      </c>
    </row>
    <row r="2602" spans="1:18">
      <c r="A2602" s="153">
        <v>2944</v>
      </c>
      <c r="B2602" s="23">
        <v>2946</v>
      </c>
      <c r="C2602" s="23">
        <v>2947</v>
      </c>
      <c r="D2602" s="23">
        <v>2949</v>
      </c>
      <c r="E2602" s="23">
        <v>2950</v>
      </c>
      <c r="F2602" s="23">
        <v>2952</v>
      </c>
      <c r="G2602" s="23">
        <v>2953</v>
      </c>
      <c r="H2602" s="23">
        <v>2955</v>
      </c>
      <c r="I2602" s="23">
        <v>2956</v>
      </c>
      <c r="J2602" s="23">
        <v>2958</v>
      </c>
      <c r="K2602" s="23">
        <v>2959</v>
      </c>
      <c r="L2602" s="23">
        <v>2961</v>
      </c>
      <c r="M2602" s="23">
        <v>2962</v>
      </c>
      <c r="N2602" s="23">
        <v>2964</v>
      </c>
      <c r="O2602" s="23">
        <v>2965</v>
      </c>
      <c r="P2602" s="23">
        <v>2967</v>
      </c>
      <c r="Q2602" s="154">
        <v>15</v>
      </c>
      <c r="R2602" t="s">
        <v>420</v>
      </c>
    </row>
    <row r="2603" spans="1:18">
      <c r="A2603" s="153">
        <v>2968</v>
      </c>
      <c r="B2603" s="23">
        <v>2970</v>
      </c>
      <c r="C2603" s="23">
        <v>2971</v>
      </c>
      <c r="D2603" s="23">
        <v>2973</v>
      </c>
      <c r="E2603" s="23">
        <v>2974</v>
      </c>
      <c r="F2603" s="23">
        <v>2976</v>
      </c>
      <c r="G2603" s="23">
        <v>2977</v>
      </c>
      <c r="H2603" s="23">
        <v>2979</v>
      </c>
      <c r="I2603" s="23">
        <v>2980</v>
      </c>
      <c r="J2603" s="23">
        <v>2982</v>
      </c>
      <c r="K2603" s="23">
        <v>2983</v>
      </c>
      <c r="L2603" s="23">
        <v>2985</v>
      </c>
      <c r="M2603" s="23">
        <v>2986</v>
      </c>
      <c r="N2603" s="23">
        <v>2988</v>
      </c>
      <c r="O2603" s="23">
        <v>2989</v>
      </c>
      <c r="P2603" s="23">
        <v>2991</v>
      </c>
      <c r="Q2603" s="154">
        <v>16</v>
      </c>
      <c r="R2603" t="s">
        <v>421</v>
      </c>
    </row>
    <row r="2604" spans="1:18">
      <c r="A2604" s="153">
        <v>2992</v>
      </c>
      <c r="B2604" s="23">
        <v>2994</v>
      </c>
      <c r="C2604" s="23">
        <v>2995</v>
      </c>
      <c r="D2604" s="23">
        <v>2997</v>
      </c>
      <c r="E2604" s="23">
        <v>2998</v>
      </c>
      <c r="F2604" s="23">
        <v>3000</v>
      </c>
      <c r="G2604" s="23">
        <v>3001</v>
      </c>
      <c r="H2604" s="23">
        <v>3003</v>
      </c>
      <c r="I2604" s="23">
        <v>3004</v>
      </c>
      <c r="J2604" s="23">
        <v>3006</v>
      </c>
      <c r="K2604" s="23">
        <v>3007</v>
      </c>
      <c r="L2604" s="23">
        <v>3009</v>
      </c>
      <c r="M2604" s="23">
        <v>3010</v>
      </c>
      <c r="N2604" s="23">
        <v>3012</v>
      </c>
      <c r="O2604" s="23">
        <v>3013</v>
      </c>
      <c r="P2604" s="23">
        <v>3015</v>
      </c>
      <c r="Q2604" s="154">
        <v>17</v>
      </c>
      <c r="R2604" t="s">
        <v>422</v>
      </c>
    </row>
    <row r="2605" spans="1:18">
      <c r="A2605" s="153">
        <v>3016</v>
      </c>
      <c r="B2605" s="23">
        <v>3018</v>
      </c>
      <c r="C2605" s="23">
        <v>3019</v>
      </c>
      <c r="D2605" s="23">
        <v>3021</v>
      </c>
      <c r="E2605" s="23">
        <v>3022</v>
      </c>
      <c r="F2605" s="23">
        <v>3024</v>
      </c>
      <c r="G2605" s="23">
        <v>3025</v>
      </c>
      <c r="H2605" s="23">
        <v>3027</v>
      </c>
      <c r="I2605" s="23">
        <v>3028</v>
      </c>
      <c r="J2605" s="23">
        <v>3030</v>
      </c>
      <c r="K2605" s="23">
        <v>3031</v>
      </c>
      <c r="L2605" s="23">
        <v>3033</v>
      </c>
      <c r="M2605" s="23">
        <v>3034</v>
      </c>
      <c r="N2605" s="23">
        <v>3036</v>
      </c>
      <c r="O2605" s="23">
        <v>3037</v>
      </c>
      <c r="P2605" s="23">
        <v>3039</v>
      </c>
      <c r="Q2605" s="154">
        <v>18</v>
      </c>
      <c r="R2605" t="s">
        <v>423</v>
      </c>
    </row>
    <row r="2606" spans="1:18">
      <c r="A2606" s="153">
        <v>3040</v>
      </c>
      <c r="B2606" s="23">
        <v>3042</v>
      </c>
      <c r="C2606" s="23">
        <v>3043</v>
      </c>
      <c r="D2606" s="23">
        <v>3045</v>
      </c>
      <c r="E2606" s="23">
        <v>3046</v>
      </c>
      <c r="F2606" s="23">
        <v>3048</v>
      </c>
      <c r="G2606" s="23">
        <v>3049</v>
      </c>
      <c r="H2606" s="23">
        <v>3051</v>
      </c>
      <c r="I2606" s="23">
        <v>3052</v>
      </c>
      <c r="J2606" s="23">
        <v>3054</v>
      </c>
      <c r="K2606" s="23">
        <v>3055</v>
      </c>
      <c r="L2606" s="23">
        <v>3057</v>
      </c>
      <c r="M2606" s="23">
        <v>3058</v>
      </c>
      <c r="N2606" s="23">
        <v>3060</v>
      </c>
      <c r="O2606" s="23">
        <v>3061</v>
      </c>
      <c r="P2606" s="23">
        <v>3063</v>
      </c>
      <c r="Q2606" s="154">
        <v>19</v>
      </c>
      <c r="R2606" t="s">
        <v>424</v>
      </c>
    </row>
    <row r="2607" spans="1:18">
      <c r="A2607" s="153">
        <v>3064</v>
      </c>
      <c r="B2607" s="23">
        <v>3066</v>
      </c>
      <c r="C2607" s="23">
        <v>3067</v>
      </c>
      <c r="D2607" s="23">
        <v>3069</v>
      </c>
      <c r="E2607" s="23">
        <v>3070</v>
      </c>
      <c r="F2607" s="23">
        <v>3072</v>
      </c>
      <c r="G2607" s="23">
        <v>3073</v>
      </c>
      <c r="H2607" s="23">
        <v>3075</v>
      </c>
      <c r="I2607" s="23">
        <v>3076</v>
      </c>
      <c r="J2607" s="23">
        <v>3078</v>
      </c>
      <c r="K2607" s="23">
        <v>3079</v>
      </c>
      <c r="L2607" s="23">
        <v>3081</v>
      </c>
      <c r="M2607" s="23">
        <v>3082</v>
      </c>
      <c r="N2607" s="23">
        <v>3084</v>
      </c>
      <c r="O2607" s="23">
        <v>3085</v>
      </c>
      <c r="P2607" s="23">
        <v>3087</v>
      </c>
      <c r="Q2607" s="154">
        <v>20</v>
      </c>
      <c r="R2607" t="s">
        <v>425</v>
      </c>
    </row>
    <row r="2608" spans="1:18">
      <c r="A2608" s="153">
        <v>3088</v>
      </c>
      <c r="B2608" s="23">
        <v>3090</v>
      </c>
      <c r="C2608" s="23">
        <v>3091</v>
      </c>
      <c r="D2608" s="23">
        <v>3093</v>
      </c>
      <c r="E2608" s="23">
        <v>3094</v>
      </c>
      <c r="F2608" s="23">
        <v>3096</v>
      </c>
      <c r="G2608" s="23">
        <v>3097</v>
      </c>
      <c r="H2608" s="23">
        <v>3099</v>
      </c>
      <c r="I2608" s="23">
        <v>3100</v>
      </c>
      <c r="J2608" s="23">
        <v>3102</v>
      </c>
      <c r="K2608" s="23">
        <v>3103</v>
      </c>
      <c r="L2608" s="23">
        <v>3105</v>
      </c>
      <c r="M2608" s="23">
        <v>3106</v>
      </c>
      <c r="N2608" s="23">
        <v>3108</v>
      </c>
      <c r="O2608" s="23">
        <v>3109</v>
      </c>
      <c r="P2608" s="23">
        <v>3111</v>
      </c>
      <c r="Q2608" s="154">
        <v>21</v>
      </c>
      <c r="R2608" t="s">
        <v>426</v>
      </c>
    </row>
    <row r="2609" spans="1:18">
      <c r="A2609" s="153">
        <v>3112</v>
      </c>
      <c r="B2609" s="23">
        <v>3114</v>
      </c>
      <c r="C2609" s="23">
        <v>3115</v>
      </c>
      <c r="D2609" s="23">
        <v>3117</v>
      </c>
      <c r="E2609" s="23">
        <v>3118</v>
      </c>
      <c r="F2609" s="23">
        <v>3120</v>
      </c>
      <c r="G2609" s="23">
        <v>3121</v>
      </c>
      <c r="H2609" s="23">
        <v>3123</v>
      </c>
      <c r="I2609" s="23">
        <v>3124</v>
      </c>
      <c r="J2609" s="23">
        <v>3126</v>
      </c>
      <c r="K2609" s="23">
        <v>3127</v>
      </c>
      <c r="L2609" s="23">
        <v>3129</v>
      </c>
      <c r="M2609" s="23">
        <v>3130</v>
      </c>
      <c r="N2609" s="23">
        <v>3132</v>
      </c>
      <c r="O2609" s="23">
        <v>3133</v>
      </c>
      <c r="P2609" s="23">
        <v>3135</v>
      </c>
      <c r="Q2609" s="154">
        <v>22</v>
      </c>
      <c r="R2609" t="s">
        <v>427</v>
      </c>
    </row>
    <row r="2610" spans="1:18">
      <c r="A2610" s="153">
        <v>3136</v>
      </c>
      <c r="B2610" s="23">
        <v>3138</v>
      </c>
      <c r="C2610" s="23">
        <v>3139</v>
      </c>
      <c r="D2610" s="23">
        <v>3141</v>
      </c>
      <c r="E2610" s="23">
        <v>3142</v>
      </c>
      <c r="F2610" s="23">
        <v>3144</v>
      </c>
      <c r="G2610" s="23">
        <v>3145</v>
      </c>
      <c r="H2610" s="23">
        <v>3147</v>
      </c>
      <c r="I2610" s="23">
        <v>3148</v>
      </c>
      <c r="J2610" s="23">
        <v>3150</v>
      </c>
      <c r="K2610" s="23">
        <v>3151</v>
      </c>
      <c r="L2610" s="23">
        <v>3153</v>
      </c>
      <c r="M2610" s="23">
        <v>3154</v>
      </c>
      <c r="N2610" s="23">
        <v>3156</v>
      </c>
      <c r="O2610" s="23">
        <v>3157</v>
      </c>
      <c r="P2610" s="23">
        <v>3159</v>
      </c>
      <c r="Q2610" s="154">
        <v>23</v>
      </c>
      <c r="R2610" t="s">
        <v>428</v>
      </c>
    </row>
    <row r="2611" spans="1:18">
      <c r="A2611" s="153">
        <v>3160</v>
      </c>
      <c r="B2611" s="23">
        <v>3162</v>
      </c>
      <c r="C2611" s="23">
        <v>3163</v>
      </c>
      <c r="D2611" s="23">
        <v>3165</v>
      </c>
      <c r="E2611" s="23">
        <v>3166</v>
      </c>
      <c r="F2611" s="23">
        <v>3168</v>
      </c>
      <c r="G2611" s="23">
        <v>3169</v>
      </c>
      <c r="H2611" s="23">
        <v>3171</v>
      </c>
      <c r="I2611" s="23">
        <v>3172</v>
      </c>
      <c r="J2611" s="23">
        <v>3174</v>
      </c>
      <c r="K2611" s="23">
        <v>3175</v>
      </c>
      <c r="L2611" s="23">
        <v>3177</v>
      </c>
      <c r="M2611" s="23">
        <v>3178</v>
      </c>
      <c r="N2611" s="23">
        <v>3180</v>
      </c>
      <c r="O2611" s="23">
        <v>3181</v>
      </c>
      <c r="P2611" s="23">
        <v>3183</v>
      </c>
      <c r="Q2611" s="154">
        <v>24</v>
      </c>
      <c r="R2611" t="s">
        <v>429</v>
      </c>
    </row>
    <row r="2612" spans="1:18">
      <c r="A2612" s="153">
        <v>3184</v>
      </c>
      <c r="B2612" s="23">
        <v>3186</v>
      </c>
      <c r="C2612" s="23">
        <v>3187</v>
      </c>
      <c r="D2612" s="23">
        <v>3189</v>
      </c>
      <c r="E2612" s="23">
        <v>3190</v>
      </c>
      <c r="F2612" s="23">
        <v>3192</v>
      </c>
      <c r="G2612" s="23">
        <v>3193</v>
      </c>
      <c r="H2612" s="23">
        <v>3195</v>
      </c>
      <c r="I2612" s="23">
        <v>3196</v>
      </c>
      <c r="J2612" s="23">
        <v>3198</v>
      </c>
      <c r="K2612" s="23">
        <v>3199</v>
      </c>
      <c r="L2612" s="23">
        <v>3201</v>
      </c>
      <c r="M2612" s="23">
        <v>3202</v>
      </c>
      <c r="N2612" s="23">
        <v>3204</v>
      </c>
      <c r="O2612" s="23">
        <v>3205</v>
      </c>
      <c r="P2612" s="23">
        <v>3207</v>
      </c>
      <c r="Q2612" s="154">
        <v>25</v>
      </c>
      <c r="R2612" t="s">
        <v>430</v>
      </c>
    </row>
    <row r="2613" spans="1:18">
      <c r="A2613" s="153">
        <v>3208</v>
      </c>
      <c r="B2613" s="23">
        <v>3210</v>
      </c>
      <c r="C2613" s="23">
        <v>3211</v>
      </c>
      <c r="D2613" s="23">
        <v>3213</v>
      </c>
      <c r="E2613" s="23">
        <v>3214</v>
      </c>
      <c r="F2613" s="23">
        <v>3216</v>
      </c>
      <c r="G2613" s="23">
        <v>3217</v>
      </c>
      <c r="H2613" s="23">
        <v>3219</v>
      </c>
      <c r="I2613" s="23">
        <v>3220</v>
      </c>
      <c r="J2613" s="23">
        <v>3222</v>
      </c>
      <c r="K2613" s="23">
        <v>3223</v>
      </c>
      <c r="L2613" s="23">
        <v>3225</v>
      </c>
      <c r="M2613" s="23">
        <v>3226</v>
      </c>
      <c r="N2613" s="23">
        <v>3228</v>
      </c>
      <c r="O2613" s="23">
        <v>3229</v>
      </c>
      <c r="P2613" s="23">
        <v>3231</v>
      </c>
      <c r="Q2613" s="154">
        <v>26</v>
      </c>
      <c r="R2613" t="s">
        <v>431</v>
      </c>
    </row>
    <row r="2614" spans="1:18">
      <c r="A2614" s="153">
        <v>3232</v>
      </c>
      <c r="B2614" s="23">
        <v>3234</v>
      </c>
      <c r="C2614" s="23">
        <v>3235</v>
      </c>
      <c r="D2614" s="23">
        <v>3237</v>
      </c>
      <c r="E2614" s="23">
        <v>3238</v>
      </c>
      <c r="F2614" s="23">
        <v>3240</v>
      </c>
      <c r="G2614" s="23">
        <v>3241</v>
      </c>
      <c r="H2614" s="23">
        <v>3243</v>
      </c>
      <c r="I2614" s="23">
        <v>3244</v>
      </c>
      <c r="J2614" s="23">
        <v>3246</v>
      </c>
      <c r="K2614" s="23">
        <v>3247</v>
      </c>
      <c r="L2614" s="23">
        <v>3249</v>
      </c>
      <c r="M2614" s="23">
        <v>3250</v>
      </c>
      <c r="N2614" s="23">
        <v>3252</v>
      </c>
      <c r="O2614" s="23">
        <v>3253</v>
      </c>
      <c r="P2614" s="23">
        <v>3255</v>
      </c>
      <c r="Q2614" s="154">
        <v>27</v>
      </c>
      <c r="R2614" t="s">
        <v>432</v>
      </c>
    </row>
    <row r="2615" spans="1:18">
      <c r="A2615" s="153">
        <v>3256</v>
      </c>
      <c r="B2615" s="23">
        <v>3258</v>
      </c>
      <c r="C2615" s="23">
        <v>3259</v>
      </c>
      <c r="D2615" s="23">
        <v>3261</v>
      </c>
      <c r="E2615" s="23">
        <v>3262</v>
      </c>
      <c r="F2615" s="23">
        <v>3264</v>
      </c>
      <c r="G2615" s="23">
        <v>3265</v>
      </c>
      <c r="H2615" s="23">
        <v>3267</v>
      </c>
      <c r="I2615" s="23">
        <v>3268</v>
      </c>
      <c r="J2615" s="23">
        <v>3270</v>
      </c>
      <c r="K2615" s="23">
        <v>3271</v>
      </c>
      <c r="L2615" s="23">
        <v>3273</v>
      </c>
      <c r="M2615" s="23">
        <v>3274</v>
      </c>
      <c r="N2615" s="23">
        <v>3276</v>
      </c>
      <c r="O2615" s="23">
        <v>3277</v>
      </c>
      <c r="P2615" s="23">
        <v>3279</v>
      </c>
      <c r="Q2615" s="154">
        <v>28</v>
      </c>
      <c r="R2615" t="s">
        <v>433</v>
      </c>
    </row>
    <row r="2616" spans="1:18">
      <c r="A2616" s="153">
        <v>3280</v>
      </c>
      <c r="B2616" s="23">
        <v>3282</v>
      </c>
      <c r="C2616" s="23">
        <v>3283</v>
      </c>
      <c r="D2616" s="23">
        <v>3285</v>
      </c>
      <c r="E2616" s="23">
        <v>3286</v>
      </c>
      <c r="F2616" s="23">
        <v>3288</v>
      </c>
      <c r="G2616" s="23">
        <v>3289</v>
      </c>
      <c r="H2616" s="23">
        <v>3291</v>
      </c>
      <c r="I2616" s="23">
        <v>3292</v>
      </c>
      <c r="J2616" s="23">
        <v>3294</v>
      </c>
      <c r="K2616" s="23">
        <v>3295</v>
      </c>
      <c r="L2616" s="23">
        <v>3297</v>
      </c>
      <c r="M2616" s="23">
        <v>3298</v>
      </c>
      <c r="N2616" s="23">
        <v>3300</v>
      </c>
      <c r="O2616" s="23">
        <v>3301</v>
      </c>
      <c r="P2616" s="23">
        <v>3303</v>
      </c>
      <c r="Q2616" s="154">
        <v>29</v>
      </c>
      <c r="R2616" t="s">
        <v>434</v>
      </c>
    </row>
    <row r="2617" spans="1:18">
      <c r="A2617" s="153">
        <v>3304</v>
      </c>
      <c r="B2617" s="23">
        <v>3306</v>
      </c>
      <c r="C2617" s="23">
        <v>3307</v>
      </c>
      <c r="D2617" s="23">
        <v>3309</v>
      </c>
      <c r="E2617" s="23">
        <v>3310</v>
      </c>
      <c r="F2617" s="23">
        <v>3312</v>
      </c>
      <c r="G2617" s="23">
        <v>3313</v>
      </c>
      <c r="H2617" s="23">
        <v>3315</v>
      </c>
      <c r="I2617" s="23">
        <v>3316</v>
      </c>
      <c r="J2617" s="23">
        <v>3318</v>
      </c>
      <c r="K2617" s="23">
        <v>3319</v>
      </c>
      <c r="L2617" s="23">
        <v>3321</v>
      </c>
      <c r="M2617" s="23">
        <v>3322</v>
      </c>
      <c r="N2617" s="23">
        <v>3324</v>
      </c>
      <c r="O2617" s="23">
        <v>3325</v>
      </c>
      <c r="P2617" s="23">
        <v>3327</v>
      </c>
      <c r="Q2617" s="154">
        <v>30</v>
      </c>
      <c r="R2617" t="s">
        <v>435</v>
      </c>
    </row>
    <row r="2618" spans="1:18">
      <c r="A2618" s="153">
        <v>3328</v>
      </c>
      <c r="B2618" s="23">
        <v>3330</v>
      </c>
      <c r="C2618" s="23">
        <v>3331</v>
      </c>
      <c r="D2618" s="23">
        <v>3333</v>
      </c>
      <c r="E2618" s="23">
        <v>3334</v>
      </c>
      <c r="F2618" s="23">
        <v>3336</v>
      </c>
      <c r="G2618" s="23">
        <v>3337</v>
      </c>
      <c r="H2618" s="23">
        <v>3339</v>
      </c>
      <c r="I2618" s="23">
        <v>3340</v>
      </c>
      <c r="J2618" s="23">
        <v>3342</v>
      </c>
      <c r="K2618" s="23">
        <v>3343</v>
      </c>
      <c r="L2618" s="23">
        <v>3345</v>
      </c>
      <c r="M2618" s="23">
        <v>3346</v>
      </c>
      <c r="N2618" s="23">
        <v>3348</v>
      </c>
      <c r="O2618" s="23">
        <v>3349</v>
      </c>
      <c r="P2618" s="23">
        <v>3351</v>
      </c>
      <c r="Q2618" s="154">
        <v>31</v>
      </c>
      <c r="R2618" t="s">
        <v>436</v>
      </c>
    </row>
    <row r="2619" spans="1:18">
      <c r="A2619" s="153">
        <v>3352</v>
      </c>
      <c r="B2619" s="23">
        <v>3354</v>
      </c>
      <c r="C2619" s="23">
        <v>3355</v>
      </c>
      <c r="D2619" s="23">
        <v>3357</v>
      </c>
      <c r="E2619" s="23">
        <v>3358</v>
      </c>
      <c r="F2619" s="23">
        <v>3360</v>
      </c>
      <c r="G2619" s="23">
        <v>3361</v>
      </c>
      <c r="H2619" s="23">
        <v>3363</v>
      </c>
      <c r="I2619" s="23">
        <v>3364</v>
      </c>
      <c r="J2619" s="23">
        <v>3366</v>
      </c>
      <c r="K2619" s="23">
        <v>3367</v>
      </c>
      <c r="L2619" s="23">
        <v>3369</v>
      </c>
      <c r="M2619" s="23">
        <v>3370</v>
      </c>
      <c r="N2619" s="23">
        <v>3372</v>
      </c>
      <c r="O2619" s="23">
        <v>3373</v>
      </c>
      <c r="P2619" s="23">
        <v>3375</v>
      </c>
      <c r="Q2619" s="154">
        <v>32</v>
      </c>
      <c r="R2619" t="s">
        <v>437</v>
      </c>
    </row>
    <row r="2620" spans="1:18">
      <c r="A2620" s="153">
        <v>3376</v>
      </c>
      <c r="B2620" s="23">
        <v>3378</v>
      </c>
      <c r="C2620" s="23">
        <v>3379</v>
      </c>
      <c r="D2620" s="23">
        <v>3381</v>
      </c>
      <c r="E2620" s="23">
        <v>3382</v>
      </c>
      <c r="F2620" s="23">
        <v>3384</v>
      </c>
      <c r="G2620" s="23">
        <v>3385</v>
      </c>
      <c r="H2620" s="23">
        <v>3387</v>
      </c>
      <c r="I2620" s="23">
        <v>3388</v>
      </c>
      <c r="J2620" s="23">
        <v>3390</v>
      </c>
      <c r="K2620" s="23">
        <v>3391</v>
      </c>
      <c r="L2620" s="23">
        <v>3393</v>
      </c>
      <c r="M2620" s="23">
        <v>3394</v>
      </c>
      <c r="N2620" s="23">
        <v>3396</v>
      </c>
      <c r="O2620" s="23">
        <v>3397</v>
      </c>
      <c r="P2620" s="23">
        <v>3399</v>
      </c>
      <c r="Q2620" s="154">
        <v>33</v>
      </c>
      <c r="R2620" t="s">
        <v>438</v>
      </c>
    </row>
    <row r="2621" spans="1:18">
      <c r="A2621" s="153">
        <v>3400</v>
      </c>
      <c r="B2621" s="23">
        <v>3402</v>
      </c>
      <c r="C2621" s="23">
        <v>3403</v>
      </c>
      <c r="D2621" s="23">
        <v>3405</v>
      </c>
      <c r="E2621" s="23">
        <v>3406</v>
      </c>
      <c r="F2621" s="23">
        <v>3408</v>
      </c>
      <c r="G2621" s="23">
        <v>3409</v>
      </c>
      <c r="H2621" s="23">
        <v>3411</v>
      </c>
      <c r="I2621" s="23">
        <v>3412</v>
      </c>
      <c r="J2621" s="23">
        <v>3414</v>
      </c>
      <c r="K2621" s="23">
        <v>3415</v>
      </c>
      <c r="L2621" s="23">
        <v>3417</v>
      </c>
      <c r="M2621" s="23">
        <v>3418</v>
      </c>
      <c r="N2621" s="23">
        <v>3420</v>
      </c>
      <c r="O2621" s="23">
        <v>3421</v>
      </c>
      <c r="P2621" s="23">
        <v>3423</v>
      </c>
      <c r="Q2621" s="154">
        <v>34</v>
      </c>
      <c r="R2621" t="s">
        <v>439</v>
      </c>
    </row>
    <row r="2622" spans="1:18">
      <c r="A2622" s="153">
        <v>3424</v>
      </c>
      <c r="B2622" s="23">
        <v>3426</v>
      </c>
      <c r="C2622" s="23">
        <v>3427</v>
      </c>
      <c r="D2622" s="23">
        <v>3429</v>
      </c>
      <c r="E2622" s="23">
        <v>3430</v>
      </c>
      <c r="F2622" s="23">
        <v>3432</v>
      </c>
      <c r="G2622" s="23">
        <v>3433</v>
      </c>
      <c r="H2622" s="23">
        <v>3435</v>
      </c>
      <c r="I2622" s="23">
        <v>3436</v>
      </c>
      <c r="J2622" s="23">
        <v>3438</v>
      </c>
      <c r="K2622" s="23">
        <v>3439</v>
      </c>
      <c r="L2622" s="23">
        <v>3441</v>
      </c>
      <c r="M2622" s="23">
        <v>3442</v>
      </c>
      <c r="N2622" s="23">
        <v>3444</v>
      </c>
      <c r="O2622" s="23">
        <v>3445</v>
      </c>
      <c r="P2622" s="23">
        <v>3447</v>
      </c>
      <c r="Q2622" s="154">
        <v>35</v>
      </c>
      <c r="R2622" t="s">
        <v>440</v>
      </c>
    </row>
    <row r="2623" spans="1:18">
      <c r="A2623" s="153">
        <v>3448</v>
      </c>
      <c r="B2623" s="23">
        <v>3450</v>
      </c>
      <c r="C2623" s="23">
        <v>3451</v>
      </c>
      <c r="D2623" s="23">
        <v>3453</v>
      </c>
      <c r="E2623" s="23">
        <v>3454</v>
      </c>
      <c r="F2623" s="23">
        <v>3456</v>
      </c>
      <c r="G2623" s="23">
        <v>3457</v>
      </c>
      <c r="H2623" s="23">
        <v>3459</v>
      </c>
      <c r="I2623" s="23">
        <v>3460</v>
      </c>
      <c r="J2623" s="23">
        <v>3462</v>
      </c>
      <c r="K2623" s="23">
        <v>3463</v>
      </c>
      <c r="L2623" s="23">
        <v>3465</v>
      </c>
      <c r="M2623" s="23">
        <v>3466</v>
      </c>
      <c r="N2623" s="23">
        <v>3468</v>
      </c>
      <c r="O2623" s="23">
        <v>3469</v>
      </c>
      <c r="P2623" s="23">
        <v>3471</v>
      </c>
      <c r="Q2623" s="154">
        <v>36</v>
      </c>
      <c r="R2623" t="s">
        <v>441</v>
      </c>
    </row>
    <row r="2624" spans="1:18">
      <c r="A2624" s="153">
        <v>3472</v>
      </c>
      <c r="B2624" s="23">
        <v>3474</v>
      </c>
      <c r="C2624" s="23">
        <v>3475</v>
      </c>
      <c r="D2624" s="23">
        <v>3477</v>
      </c>
      <c r="E2624" s="23">
        <v>3478</v>
      </c>
      <c r="F2624" s="23">
        <v>3480</v>
      </c>
      <c r="G2624" s="23">
        <v>3481</v>
      </c>
      <c r="H2624" s="23">
        <v>3483</v>
      </c>
      <c r="I2624" s="23">
        <v>3484</v>
      </c>
      <c r="J2624" s="23">
        <v>3486</v>
      </c>
      <c r="K2624" s="23">
        <v>3487</v>
      </c>
      <c r="L2624" s="23">
        <v>3489</v>
      </c>
      <c r="M2624" s="23">
        <v>3490</v>
      </c>
      <c r="N2624" s="23">
        <v>3492</v>
      </c>
      <c r="O2624" s="23">
        <v>3493</v>
      </c>
      <c r="P2624" s="23">
        <v>3495</v>
      </c>
      <c r="Q2624" s="154">
        <v>37</v>
      </c>
      <c r="R2624" t="s">
        <v>442</v>
      </c>
    </row>
    <row r="2625" spans="1:18">
      <c r="A2625" s="153">
        <v>3496</v>
      </c>
      <c r="B2625" s="23">
        <v>3498</v>
      </c>
      <c r="C2625" s="23">
        <v>3499</v>
      </c>
      <c r="D2625" s="23">
        <v>3501</v>
      </c>
      <c r="E2625" s="23">
        <v>3502</v>
      </c>
      <c r="F2625" s="23">
        <v>3504</v>
      </c>
      <c r="G2625" s="23">
        <v>3505</v>
      </c>
      <c r="H2625" s="23">
        <v>3507</v>
      </c>
      <c r="I2625" s="23">
        <v>3508</v>
      </c>
      <c r="J2625" s="23">
        <v>3510</v>
      </c>
      <c r="K2625" s="23">
        <v>3511</v>
      </c>
      <c r="L2625" s="23">
        <v>3513</v>
      </c>
      <c r="M2625" s="23">
        <v>3514</v>
      </c>
      <c r="N2625" s="23">
        <v>3516</v>
      </c>
      <c r="O2625" s="23">
        <v>3517</v>
      </c>
      <c r="P2625" s="23">
        <v>3519</v>
      </c>
      <c r="Q2625" s="154">
        <v>38</v>
      </c>
      <c r="R2625" t="s">
        <v>443</v>
      </c>
    </row>
    <row r="2626" spans="1:18">
      <c r="A2626" s="153">
        <v>3520</v>
      </c>
      <c r="B2626" s="23">
        <v>3522</v>
      </c>
      <c r="C2626" s="23">
        <v>3523</v>
      </c>
      <c r="D2626" s="23">
        <v>3525</v>
      </c>
      <c r="E2626" s="23">
        <v>3526</v>
      </c>
      <c r="F2626" s="23">
        <v>3528</v>
      </c>
      <c r="G2626" s="23">
        <v>3529</v>
      </c>
      <c r="H2626" s="23">
        <v>3531</v>
      </c>
      <c r="I2626" s="23">
        <v>3532</v>
      </c>
      <c r="J2626" s="23">
        <v>3534</v>
      </c>
      <c r="K2626" s="23">
        <v>3535</v>
      </c>
      <c r="L2626" s="23">
        <v>3537</v>
      </c>
      <c r="M2626" s="23">
        <v>3538</v>
      </c>
      <c r="N2626" s="23">
        <v>3540</v>
      </c>
      <c r="O2626" s="23">
        <v>3541</v>
      </c>
      <c r="P2626" s="23">
        <v>3543</v>
      </c>
      <c r="Q2626" s="154">
        <v>39</v>
      </c>
      <c r="R2626" t="s">
        <v>444</v>
      </c>
    </row>
    <row r="2627" spans="1:18">
      <c r="A2627" s="153">
        <v>3544</v>
      </c>
      <c r="B2627" s="23">
        <v>3546</v>
      </c>
      <c r="C2627" s="23">
        <v>3547</v>
      </c>
      <c r="D2627" s="23">
        <v>3549</v>
      </c>
      <c r="E2627" s="23">
        <v>3550</v>
      </c>
      <c r="F2627" s="23">
        <v>3552</v>
      </c>
      <c r="G2627" s="23">
        <v>3553</v>
      </c>
      <c r="H2627" s="23">
        <v>3555</v>
      </c>
      <c r="I2627" s="23">
        <v>3556</v>
      </c>
      <c r="J2627" s="23">
        <v>3558</v>
      </c>
      <c r="K2627" s="23">
        <v>3559</v>
      </c>
      <c r="L2627" s="23">
        <v>3561</v>
      </c>
      <c r="M2627" s="23">
        <v>3562</v>
      </c>
      <c r="N2627" s="23">
        <v>3564</v>
      </c>
      <c r="O2627" s="23">
        <v>3565</v>
      </c>
      <c r="P2627" s="23">
        <v>3567</v>
      </c>
      <c r="Q2627" s="154">
        <v>40</v>
      </c>
      <c r="R2627" t="s">
        <v>445</v>
      </c>
    </row>
    <row r="2628" spans="1:18">
      <c r="A2628" s="153">
        <v>3568</v>
      </c>
      <c r="B2628" s="23">
        <v>3570</v>
      </c>
      <c r="C2628" s="23">
        <v>3571</v>
      </c>
      <c r="D2628" s="23">
        <v>3573</v>
      </c>
      <c r="E2628" s="23">
        <v>3574</v>
      </c>
      <c r="F2628" s="23">
        <v>3576</v>
      </c>
      <c r="G2628" s="23">
        <v>3577</v>
      </c>
      <c r="H2628" s="23">
        <v>3579</v>
      </c>
      <c r="I2628" s="23">
        <v>3580</v>
      </c>
      <c r="J2628" s="23">
        <v>3582</v>
      </c>
      <c r="K2628" s="23">
        <v>3583</v>
      </c>
      <c r="L2628" s="23">
        <v>3585</v>
      </c>
      <c r="M2628" s="23">
        <v>3586</v>
      </c>
      <c r="N2628" s="23">
        <v>3588</v>
      </c>
      <c r="O2628" s="23">
        <v>3589</v>
      </c>
      <c r="P2628" s="23">
        <v>3591</v>
      </c>
      <c r="Q2628" s="154">
        <v>41</v>
      </c>
      <c r="R2628" t="s">
        <v>446</v>
      </c>
    </row>
    <row r="2629" spans="1:18">
      <c r="A2629" s="153">
        <v>3592</v>
      </c>
      <c r="B2629" s="23">
        <v>3594</v>
      </c>
      <c r="C2629" s="23">
        <v>3595</v>
      </c>
      <c r="D2629" s="23">
        <v>3597</v>
      </c>
      <c r="E2629" s="23">
        <v>3598</v>
      </c>
      <c r="F2629" s="23">
        <v>3600</v>
      </c>
      <c r="G2629" s="23">
        <v>3601</v>
      </c>
      <c r="H2629" s="23">
        <v>3603</v>
      </c>
      <c r="I2629" s="23">
        <v>3604</v>
      </c>
      <c r="J2629" s="23">
        <v>3606</v>
      </c>
      <c r="K2629" s="23">
        <v>3607</v>
      </c>
      <c r="L2629" s="23">
        <v>3609</v>
      </c>
      <c r="M2629" s="23">
        <v>3610</v>
      </c>
      <c r="N2629" s="23">
        <v>3612</v>
      </c>
      <c r="O2629" s="23">
        <v>3613</v>
      </c>
      <c r="P2629" s="23">
        <v>3615</v>
      </c>
      <c r="Q2629" s="154">
        <v>42</v>
      </c>
      <c r="R2629" t="s">
        <v>447</v>
      </c>
    </row>
    <row r="2630" spans="1:18">
      <c r="A2630" s="153">
        <v>3616</v>
      </c>
      <c r="B2630" s="23">
        <v>3618</v>
      </c>
      <c r="C2630" s="23">
        <v>3619</v>
      </c>
      <c r="D2630" s="23">
        <v>3621</v>
      </c>
      <c r="E2630" s="23">
        <v>3622</v>
      </c>
      <c r="F2630" s="23">
        <v>3624</v>
      </c>
      <c r="G2630" s="23">
        <v>3625</v>
      </c>
      <c r="H2630" s="23">
        <v>3627</v>
      </c>
      <c r="I2630" s="23">
        <v>3628</v>
      </c>
      <c r="J2630" s="23">
        <v>3630</v>
      </c>
      <c r="K2630" s="23">
        <v>3631</v>
      </c>
      <c r="L2630" s="23">
        <v>3633</v>
      </c>
      <c r="M2630" s="23">
        <v>3634</v>
      </c>
      <c r="N2630" s="23">
        <v>3636</v>
      </c>
      <c r="O2630" s="23">
        <v>3637</v>
      </c>
      <c r="P2630" s="23">
        <v>3639</v>
      </c>
      <c r="Q2630" s="154">
        <v>43</v>
      </c>
      <c r="R2630" t="s">
        <v>448</v>
      </c>
    </row>
    <row r="2631" spans="1:18">
      <c r="A2631" s="153">
        <v>3640</v>
      </c>
      <c r="B2631" s="23">
        <v>3642</v>
      </c>
      <c r="C2631" s="23">
        <v>3643</v>
      </c>
      <c r="D2631" s="23">
        <v>3645</v>
      </c>
      <c r="E2631" s="23">
        <v>3646</v>
      </c>
      <c r="F2631" s="23">
        <v>3648</v>
      </c>
      <c r="G2631" s="23">
        <v>3649</v>
      </c>
      <c r="H2631" s="23">
        <v>3651</v>
      </c>
      <c r="I2631" s="23">
        <v>3652</v>
      </c>
      <c r="J2631" s="23">
        <v>3654</v>
      </c>
      <c r="K2631" s="23">
        <v>3655</v>
      </c>
      <c r="L2631" s="23">
        <v>3657</v>
      </c>
      <c r="M2631" s="23">
        <v>3658</v>
      </c>
      <c r="N2631" s="23">
        <v>3660</v>
      </c>
      <c r="O2631" s="23">
        <v>3661</v>
      </c>
      <c r="P2631" s="23">
        <v>3663</v>
      </c>
      <c r="Q2631" s="154">
        <v>44</v>
      </c>
      <c r="R2631" t="s">
        <v>449</v>
      </c>
    </row>
    <row r="2632" spans="1:18">
      <c r="A2632" s="153">
        <v>3664</v>
      </c>
      <c r="B2632" s="23">
        <v>3666</v>
      </c>
      <c r="C2632" s="23">
        <v>3667</v>
      </c>
      <c r="D2632" s="23">
        <v>3669</v>
      </c>
      <c r="E2632" s="23">
        <v>3670</v>
      </c>
      <c r="F2632" s="23">
        <v>3672</v>
      </c>
      <c r="G2632" s="23">
        <v>3673</v>
      </c>
      <c r="H2632" s="23">
        <v>3675</v>
      </c>
      <c r="I2632" s="23">
        <v>3676</v>
      </c>
      <c r="J2632" s="23">
        <v>3678</v>
      </c>
      <c r="K2632" s="23">
        <v>3679</v>
      </c>
      <c r="L2632" s="23">
        <v>3681</v>
      </c>
      <c r="M2632" s="23">
        <v>3682</v>
      </c>
      <c r="N2632" s="23">
        <v>3684</v>
      </c>
      <c r="O2632" s="23">
        <v>3685</v>
      </c>
      <c r="P2632" s="23">
        <v>3687</v>
      </c>
      <c r="Q2632" s="154">
        <v>45</v>
      </c>
      <c r="R2632" t="s">
        <v>450</v>
      </c>
    </row>
    <row r="2633" spans="1:18">
      <c r="A2633" s="153">
        <v>3688</v>
      </c>
      <c r="B2633" s="23">
        <v>3690</v>
      </c>
      <c r="C2633" s="23">
        <v>3691</v>
      </c>
      <c r="D2633" s="23">
        <v>3693</v>
      </c>
      <c r="E2633" s="23">
        <v>3694</v>
      </c>
      <c r="F2633" s="23">
        <v>3696</v>
      </c>
      <c r="G2633" s="23">
        <v>3697</v>
      </c>
      <c r="H2633" s="23">
        <v>3699</v>
      </c>
      <c r="I2633" s="23">
        <v>3700</v>
      </c>
      <c r="J2633" s="23">
        <v>3702</v>
      </c>
      <c r="K2633" s="23">
        <v>3703</v>
      </c>
      <c r="L2633" s="23">
        <v>3705</v>
      </c>
      <c r="M2633" s="23">
        <v>3706</v>
      </c>
      <c r="N2633" s="23">
        <v>3708</v>
      </c>
      <c r="O2633" s="23">
        <v>3709</v>
      </c>
      <c r="P2633" s="23">
        <v>3711</v>
      </c>
      <c r="Q2633" s="154">
        <v>46</v>
      </c>
      <c r="R2633" t="s">
        <v>451</v>
      </c>
    </row>
    <row r="2634" spans="1:18">
      <c r="A2634" s="153">
        <v>3712</v>
      </c>
      <c r="B2634" s="23">
        <v>3714</v>
      </c>
      <c r="C2634" s="23">
        <v>3715</v>
      </c>
      <c r="D2634" s="23">
        <v>3717</v>
      </c>
      <c r="E2634" s="23">
        <v>3718</v>
      </c>
      <c r="F2634" s="23">
        <v>3720</v>
      </c>
      <c r="G2634" s="23">
        <v>3721</v>
      </c>
      <c r="H2634" s="23">
        <v>3723</v>
      </c>
      <c r="I2634" s="23">
        <v>3724</v>
      </c>
      <c r="J2634" s="23">
        <v>3726</v>
      </c>
      <c r="K2634" s="23">
        <v>3727</v>
      </c>
      <c r="L2634" s="23">
        <v>3729</v>
      </c>
      <c r="M2634" s="23">
        <v>3730</v>
      </c>
      <c r="N2634" s="23">
        <v>3732</v>
      </c>
      <c r="O2634" s="23">
        <v>3733</v>
      </c>
      <c r="P2634" s="23">
        <v>3735</v>
      </c>
      <c r="Q2634" s="154">
        <v>47</v>
      </c>
      <c r="R2634" t="s">
        <v>452</v>
      </c>
    </row>
    <row r="2635" spans="1:18">
      <c r="A2635" s="153">
        <v>3736</v>
      </c>
      <c r="B2635" s="23">
        <v>3738</v>
      </c>
      <c r="C2635" s="23">
        <v>3739</v>
      </c>
      <c r="D2635" s="23">
        <v>3741</v>
      </c>
      <c r="E2635" s="23">
        <v>3742</v>
      </c>
      <c r="F2635" s="23">
        <v>3744</v>
      </c>
      <c r="G2635" s="23">
        <v>3745</v>
      </c>
      <c r="H2635" s="23">
        <v>3747</v>
      </c>
      <c r="I2635" s="23">
        <v>3748</v>
      </c>
      <c r="J2635" s="23">
        <v>3750</v>
      </c>
      <c r="K2635" s="23">
        <v>3751</v>
      </c>
      <c r="L2635" s="23">
        <v>3753</v>
      </c>
      <c r="M2635" s="23">
        <v>3754</v>
      </c>
      <c r="N2635" s="23">
        <v>3756</v>
      </c>
      <c r="O2635" s="23">
        <v>3757</v>
      </c>
      <c r="P2635" s="23">
        <v>3759</v>
      </c>
      <c r="Q2635" s="154">
        <v>48</v>
      </c>
      <c r="R2635" t="s">
        <v>453</v>
      </c>
    </row>
    <row r="2636" spans="1:18">
      <c r="A2636" s="153">
        <v>3760</v>
      </c>
      <c r="B2636" s="23">
        <v>3762</v>
      </c>
      <c r="C2636" s="23">
        <v>3763</v>
      </c>
      <c r="D2636" s="23">
        <v>3765</v>
      </c>
      <c r="E2636" s="23">
        <v>3766</v>
      </c>
      <c r="F2636" s="23">
        <v>3768</v>
      </c>
      <c r="G2636" s="23">
        <v>3769</v>
      </c>
      <c r="H2636" s="23">
        <v>3771</v>
      </c>
      <c r="I2636" s="23">
        <v>3772</v>
      </c>
      <c r="J2636" s="23">
        <v>3774</v>
      </c>
      <c r="K2636" s="23">
        <v>3775</v>
      </c>
      <c r="L2636" s="23">
        <v>3777</v>
      </c>
      <c r="M2636" s="23">
        <v>3778</v>
      </c>
      <c r="N2636" s="23">
        <v>3780</v>
      </c>
      <c r="O2636" s="23">
        <v>3781</v>
      </c>
      <c r="P2636" s="23">
        <v>3783</v>
      </c>
      <c r="Q2636" s="154">
        <v>49</v>
      </c>
      <c r="R2636" t="s">
        <v>454</v>
      </c>
    </row>
    <row r="2637" spans="1:18">
      <c r="A2637" s="153">
        <v>3784</v>
      </c>
      <c r="B2637" s="23">
        <v>3786</v>
      </c>
      <c r="C2637" s="23">
        <v>3787</v>
      </c>
      <c r="D2637" s="23">
        <v>3789</v>
      </c>
      <c r="E2637" s="23">
        <v>3790</v>
      </c>
      <c r="F2637" s="23">
        <v>3792</v>
      </c>
      <c r="G2637" s="23">
        <v>3793</v>
      </c>
      <c r="H2637" s="23">
        <v>3795</v>
      </c>
      <c r="I2637" s="23">
        <v>3796</v>
      </c>
      <c r="J2637" s="23">
        <v>3798</v>
      </c>
      <c r="K2637" s="23">
        <v>3799</v>
      </c>
      <c r="L2637" s="23">
        <v>3801</v>
      </c>
      <c r="M2637" s="23">
        <v>3802</v>
      </c>
      <c r="N2637" s="23">
        <v>3804</v>
      </c>
      <c r="O2637" s="23">
        <v>3805</v>
      </c>
      <c r="P2637" s="23">
        <v>3807</v>
      </c>
      <c r="Q2637" s="154">
        <v>50</v>
      </c>
      <c r="R2637" t="s">
        <v>455</v>
      </c>
    </row>
    <row r="2638" spans="1:18">
      <c r="A2638" s="153">
        <v>3808</v>
      </c>
      <c r="B2638" s="23">
        <v>3810</v>
      </c>
      <c r="C2638" s="23">
        <v>3811</v>
      </c>
      <c r="D2638" s="23">
        <v>3813</v>
      </c>
      <c r="E2638" s="23">
        <v>3814</v>
      </c>
      <c r="F2638" s="23">
        <v>3816</v>
      </c>
      <c r="G2638" s="23">
        <v>3817</v>
      </c>
      <c r="H2638" s="23">
        <v>3819</v>
      </c>
      <c r="I2638" s="23">
        <v>3820</v>
      </c>
      <c r="J2638" s="23">
        <v>3822</v>
      </c>
      <c r="K2638" s="23">
        <v>3823</v>
      </c>
      <c r="L2638" s="23">
        <v>3825</v>
      </c>
      <c r="M2638" s="23">
        <v>3826</v>
      </c>
      <c r="N2638" s="23">
        <v>3828</v>
      </c>
      <c r="O2638" s="23">
        <v>3829</v>
      </c>
      <c r="P2638" s="23">
        <v>3831</v>
      </c>
      <c r="Q2638" s="154">
        <v>51</v>
      </c>
      <c r="R2638" t="s">
        <v>456</v>
      </c>
    </row>
    <row r="2639" spans="1:18">
      <c r="A2639" s="153">
        <v>3832</v>
      </c>
      <c r="B2639" s="23">
        <v>3834</v>
      </c>
      <c r="C2639" s="23">
        <v>3835</v>
      </c>
      <c r="D2639" s="23">
        <v>3837</v>
      </c>
      <c r="E2639" s="23">
        <v>3838</v>
      </c>
      <c r="F2639" s="23">
        <v>3840</v>
      </c>
      <c r="G2639" s="23">
        <v>3841</v>
      </c>
      <c r="H2639" s="23">
        <v>3843</v>
      </c>
      <c r="I2639" s="23">
        <v>3844</v>
      </c>
      <c r="J2639" s="23">
        <v>3846</v>
      </c>
      <c r="K2639" s="23">
        <v>3847</v>
      </c>
      <c r="L2639" s="23">
        <v>3849</v>
      </c>
      <c r="M2639" s="23">
        <v>3850</v>
      </c>
      <c r="N2639" s="23">
        <v>3852</v>
      </c>
      <c r="O2639" s="23">
        <v>3853</v>
      </c>
      <c r="P2639" s="23">
        <v>3855</v>
      </c>
      <c r="Q2639" s="154">
        <v>52</v>
      </c>
      <c r="R2639" t="s">
        <v>457</v>
      </c>
    </row>
    <row r="2640" spans="1:18">
      <c r="A2640" s="153">
        <v>3856</v>
      </c>
      <c r="B2640" s="23">
        <v>3858</v>
      </c>
      <c r="C2640" s="23">
        <v>3859</v>
      </c>
      <c r="D2640" s="23">
        <v>3861</v>
      </c>
      <c r="E2640" s="23">
        <v>3862</v>
      </c>
      <c r="F2640" s="23">
        <v>3864</v>
      </c>
      <c r="G2640" s="23">
        <v>3865</v>
      </c>
      <c r="H2640" s="23">
        <v>3867</v>
      </c>
      <c r="I2640" s="23">
        <v>3868</v>
      </c>
      <c r="J2640" s="23">
        <v>3870</v>
      </c>
      <c r="K2640" s="23">
        <v>3871</v>
      </c>
      <c r="L2640" s="23">
        <v>3873</v>
      </c>
      <c r="M2640" s="23">
        <v>3874</v>
      </c>
      <c r="N2640" s="23">
        <v>3876</v>
      </c>
      <c r="O2640" s="23">
        <v>3877</v>
      </c>
      <c r="P2640" s="23">
        <v>3879</v>
      </c>
      <c r="Q2640" s="154">
        <v>53</v>
      </c>
      <c r="R2640" t="s">
        <v>458</v>
      </c>
    </row>
    <row r="2641" spans="1:18">
      <c r="A2641" s="153">
        <v>3880</v>
      </c>
      <c r="B2641" s="23">
        <v>3882</v>
      </c>
      <c r="C2641" s="23">
        <v>3883</v>
      </c>
      <c r="D2641" s="23">
        <v>3885</v>
      </c>
      <c r="E2641" s="23">
        <v>3886</v>
      </c>
      <c r="F2641" s="23">
        <v>3888</v>
      </c>
      <c r="G2641" s="23">
        <v>3889</v>
      </c>
      <c r="H2641" s="23">
        <v>3891</v>
      </c>
      <c r="I2641" s="23">
        <v>3892</v>
      </c>
      <c r="J2641" s="23">
        <v>3894</v>
      </c>
      <c r="K2641" s="23">
        <v>3895</v>
      </c>
      <c r="L2641" s="23">
        <v>3897</v>
      </c>
      <c r="M2641" s="23">
        <v>3898</v>
      </c>
      <c r="N2641" s="23">
        <v>3900</v>
      </c>
      <c r="O2641" s="23">
        <v>3901</v>
      </c>
      <c r="P2641" s="23">
        <v>3903</v>
      </c>
      <c r="Q2641" s="154">
        <v>54</v>
      </c>
      <c r="R2641" t="s">
        <v>459</v>
      </c>
    </row>
    <row r="2642" spans="1:18">
      <c r="A2642" s="153">
        <v>3904</v>
      </c>
      <c r="B2642" s="23">
        <v>3906</v>
      </c>
      <c r="C2642" s="23">
        <v>3907</v>
      </c>
      <c r="D2642" s="23">
        <v>3909</v>
      </c>
      <c r="E2642" s="23">
        <v>3910</v>
      </c>
      <c r="F2642" s="23">
        <v>3912</v>
      </c>
      <c r="G2642" s="23">
        <v>3913</v>
      </c>
      <c r="H2642" s="23">
        <v>3915</v>
      </c>
      <c r="I2642" s="23">
        <v>3916</v>
      </c>
      <c r="J2642" s="23">
        <v>3918</v>
      </c>
      <c r="K2642" s="23">
        <v>3919</v>
      </c>
      <c r="L2642" s="23">
        <v>3921</v>
      </c>
      <c r="M2642" s="23">
        <v>3922</v>
      </c>
      <c r="N2642" s="23">
        <v>3924</v>
      </c>
      <c r="O2642" s="23">
        <v>3925</v>
      </c>
      <c r="P2642" s="23">
        <v>3927</v>
      </c>
      <c r="Q2642" s="154">
        <v>55</v>
      </c>
      <c r="R2642" t="s">
        <v>460</v>
      </c>
    </row>
    <row r="2643" spans="1:18">
      <c r="A2643" s="153">
        <v>3928</v>
      </c>
      <c r="B2643" s="23">
        <v>3930</v>
      </c>
      <c r="C2643" s="23">
        <v>3931</v>
      </c>
      <c r="D2643" s="23">
        <v>3933</v>
      </c>
      <c r="E2643" s="23">
        <v>3934</v>
      </c>
      <c r="F2643" s="23">
        <v>3936</v>
      </c>
      <c r="G2643" s="23">
        <v>3937</v>
      </c>
      <c r="H2643" s="23">
        <v>3939</v>
      </c>
      <c r="I2643" s="23">
        <v>3940</v>
      </c>
      <c r="J2643" s="23">
        <v>3942</v>
      </c>
      <c r="K2643" s="23">
        <v>3943</v>
      </c>
      <c r="L2643" s="23">
        <v>3945</v>
      </c>
      <c r="M2643" s="23">
        <v>3946</v>
      </c>
      <c r="N2643" s="23">
        <v>3948</v>
      </c>
      <c r="O2643" s="23">
        <v>3949</v>
      </c>
      <c r="P2643" s="23">
        <v>3951</v>
      </c>
      <c r="Q2643" s="154">
        <v>56</v>
      </c>
      <c r="R2643" t="s">
        <v>461</v>
      </c>
    </row>
    <row r="2644" spans="1:18">
      <c r="A2644" s="153">
        <v>3952</v>
      </c>
      <c r="B2644" s="23">
        <v>3954</v>
      </c>
      <c r="C2644" s="23">
        <v>3955</v>
      </c>
      <c r="D2644" s="23">
        <v>3957</v>
      </c>
      <c r="E2644" s="23">
        <v>3958</v>
      </c>
      <c r="F2644" s="23">
        <v>3960</v>
      </c>
      <c r="G2644" s="23">
        <v>3961</v>
      </c>
      <c r="H2644" s="23">
        <v>3963</v>
      </c>
      <c r="I2644" s="23">
        <v>3964</v>
      </c>
      <c r="J2644" s="23">
        <v>3966</v>
      </c>
      <c r="K2644" s="23">
        <v>3967</v>
      </c>
      <c r="L2644" s="23">
        <v>3969</v>
      </c>
      <c r="M2644" s="23">
        <v>3970</v>
      </c>
      <c r="N2644" s="23">
        <v>3972</v>
      </c>
      <c r="O2644" s="23">
        <v>3973</v>
      </c>
      <c r="P2644" s="23">
        <v>3975</v>
      </c>
      <c r="Q2644" s="154">
        <v>57</v>
      </c>
      <c r="R2644" t="s">
        <v>462</v>
      </c>
    </row>
    <row r="2645" spans="1:18">
      <c r="A2645" s="153">
        <v>3976</v>
      </c>
      <c r="B2645" s="23">
        <v>3978</v>
      </c>
      <c r="C2645" s="23">
        <v>3979</v>
      </c>
      <c r="D2645" s="23">
        <v>3981</v>
      </c>
      <c r="E2645" s="23">
        <v>3982</v>
      </c>
      <c r="F2645" s="23">
        <v>3984</v>
      </c>
      <c r="G2645" s="23">
        <v>3985</v>
      </c>
      <c r="H2645" s="23">
        <v>3987</v>
      </c>
      <c r="I2645" s="23">
        <v>3988</v>
      </c>
      <c r="J2645" s="23">
        <v>3990</v>
      </c>
      <c r="K2645" s="23">
        <v>3991</v>
      </c>
      <c r="L2645" s="23">
        <v>3993</v>
      </c>
      <c r="M2645" s="23">
        <v>3994</v>
      </c>
      <c r="N2645" s="23">
        <v>3996</v>
      </c>
      <c r="O2645" s="23">
        <v>3997</v>
      </c>
      <c r="P2645" s="23">
        <v>3999</v>
      </c>
      <c r="Q2645" s="154">
        <v>58</v>
      </c>
      <c r="R2645" t="s">
        <v>463</v>
      </c>
    </row>
    <row r="2646" spans="1:18">
      <c r="A2646" s="153">
        <v>4000</v>
      </c>
      <c r="B2646" s="23">
        <v>4002</v>
      </c>
      <c r="C2646" s="23">
        <v>4003</v>
      </c>
      <c r="D2646" s="23">
        <v>4005</v>
      </c>
      <c r="E2646" s="23">
        <v>4006</v>
      </c>
      <c r="F2646" s="23">
        <v>4008</v>
      </c>
      <c r="G2646" s="23">
        <v>4009</v>
      </c>
      <c r="H2646" s="23">
        <v>4011</v>
      </c>
      <c r="I2646" s="23">
        <v>4012</v>
      </c>
      <c r="J2646" s="23">
        <v>4014</v>
      </c>
      <c r="K2646" s="23">
        <v>4015</v>
      </c>
      <c r="L2646" s="23">
        <v>4017</v>
      </c>
      <c r="M2646" s="23">
        <v>4018</v>
      </c>
      <c r="N2646" s="23">
        <v>4020</v>
      </c>
      <c r="O2646" s="23">
        <v>4021</v>
      </c>
      <c r="P2646" s="23">
        <v>4023</v>
      </c>
      <c r="Q2646" s="154">
        <v>59</v>
      </c>
      <c r="R2646" t="s">
        <v>464</v>
      </c>
    </row>
    <row r="2647" spans="1:18">
      <c r="A2647" s="153">
        <v>4024</v>
      </c>
      <c r="B2647" s="23">
        <v>4026</v>
      </c>
      <c r="C2647" s="23">
        <v>4027</v>
      </c>
      <c r="D2647" s="23">
        <v>4029</v>
      </c>
      <c r="E2647" s="23">
        <v>4030</v>
      </c>
      <c r="F2647" s="23">
        <v>4032</v>
      </c>
      <c r="G2647" s="23">
        <v>4033</v>
      </c>
      <c r="H2647" s="23">
        <v>4035</v>
      </c>
      <c r="I2647" s="23">
        <v>4036</v>
      </c>
      <c r="J2647" s="23">
        <v>4038</v>
      </c>
      <c r="K2647" s="23">
        <v>4039</v>
      </c>
      <c r="L2647" s="23">
        <v>4041</v>
      </c>
      <c r="M2647" s="23">
        <v>4042</v>
      </c>
      <c r="N2647" s="23">
        <v>4044</v>
      </c>
      <c r="O2647" s="23">
        <v>4045</v>
      </c>
      <c r="P2647" s="23">
        <v>4047</v>
      </c>
      <c r="Q2647" s="154">
        <v>60</v>
      </c>
      <c r="R2647" t="s">
        <v>465</v>
      </c>
    </row>
    <row r="2648" spans="1:18">
      <c r="A2648" s="153">
        <v>4048</v>
      </c>
      <c r="B2648" s="23">
        <v>4050</v>
      </c>
      <c r="C2648" s="23">
        <v>4051</v>
      </c>
      <c r="D2648" s="23">
        <v>4053</v>
      </c>
      <c r="E2648" s="23">
        <v>4054</v>
      </c>
      <c r="F2648" s="23">
        <v>4056</v>
      </c>
      <c r="G2648" s="23">
        <v>4057</v>
      </c>
      <c r="H2648" s="23">
        <v>4059</v>
      </c>
      <c r="I2648" s="23">
        <v>4060</v>
      </c>
      <c r="J2648" s="23">
        <v>4062</v>
      </c>
      <c r="K2648" s="23">
        <v>4063</v>
      </c>
      <c r="L2648" s="23">
        <v>4065</v>
      </c>
      <c r="M2648" s="23">
        <v>4066</v>
      </c>
      <c r="N2648" s="23">
        <v>4068</v>
      </c>
      <c r="O2648" s="23">
        <v>4069</v>
      </c>
      <c r="P2648" s="23">
        <v>4071</v>
      </c>
      <c r="Q2648" s="154">
        <v>61</v>
      </c>
      <c r="R2648" t="s">
        <v>466</v>
      </c>
    </row>
    <row r="2649" spans="1:18">
      <c r="A2649" s="153">
        <v>4072</v>
      </c>
      <c r="B2649" s="23">
        <v>4074</v>
      </c>
      <c r="C2649" s="23">
        <v>4075</v>
      </c>
      <c r="D2649" s="23">
        <v>4077</v>
      </c>
      <c r="E2649" s="23">
        <v>4078</v>
      </c>
      <c r="F2649" s="23">
        <v>4080</v>
      </c>
      <c r="G2649" s="23">
        <v>4081</v>
      </c>
      <c r="H2649" s="23">
        <v>4083</v>
      </c>
      <c r="I2649" s="23">
        <v>4084</v>
      </c>
      <c r="J2649" s="23">
        <v>4086</v>
      </c>
      <c r="K2649" s="23">
        <v>4087</v>
      </c>
      <c r="L2649" s="23">
        <v>4089</v>
      </c>
      <c r="M2649" s="23">
        <v>4090</v>
      </c>
      <c r="N2649" s="23">
        <v>4092</v>
      </c>
      <c r="O2649" s="23">
        <v>4093</v>
      </c>
      <c r="P2649" s="23">
        <v>4095</v>
      </c>
      <c r="Q2649" s="154">
        <v>62</v>
      </c>
      <c r="R2649" t="s">
        <v>467</v>
      </c>
    </row>
    <row r="2650" spans="1:18">
      <c r="A2650" s="153">
        <v>4096</v>
      </c>
      <c r="B2650" s="23">
        <v>4098</v>
      </c>
      <c r="C2650" s="23">
        <v>4099</v>
      </c>
      <c r="D2650" s="23">
        <v>4101</v>
      </c>
      <c r="E2650" s="23">
        <v>4102</v>
      </c>
      <c r="F2650" s="23">
        <v>4104</v>
      </c>
      <c r="G2650" s="23">
        <v>4105</v>
      </c>
      <c r="H2650" s="23">
        <v>4107</v>
      </c>
      <c r="I2650" s="23">
        <v>4108</v>
      </c>
      <c r="J2650" s="23">
        <v>4110</v>
      </c>
      <c r="K2650" s="23">
        <v>4111</v>
      </c>
      <c r="L2650" s="23">
        <v>4113</v>
      </c>
      <c r="M2650" s="23">
        <v>4114</v>
      </c>
      <c r="N2650" s="23">
        <v>4116</v>
      </c>
      <c r="O2650" s="23">
        <v>4117</v>
      </c>
      <c r="P2650" s="23">
        <v>4119</v>
      </c>
      <c r="Q2650" s="154">
        <v>63</v>
      </c>
      <c r="R2650" t="s">
        <v>468</v>
      </c>
    </row>
    <row r="2651" spans="1:18">
      <c r="A2651" s="153">
        <v>4120</v>
      </c>
      <c r="B2651" s="23">
        <v>4122</v>
      </c>
      <c r="C2651" s="23">
        <v>4123</v>
      </c>
      <c r="D2651" s="23">
        <v>4125</v>
      </c>
      <c r="E2651" s="23">
        <v>4126</v>
      </c>
      <c r="F2651" s="23">
        <v>4128</v>
      </c>
      <c r="G2651" s="23">
        <v>4129</v>
      </c>
      <c r="H2651" s="23">
        <v>4131</v>
      </c>
      <c r="I2651" s="23">
        <v>4132</v>
      </c>
      <c r="J2651" s="23">
        <v>4134</v>
      </c>
      <c r="K2651" s="23">
        <v>4135</v>
      </c>
      <c r="L2651" s="23">
        <v>4137</v>
      </c>
      <c r="M2651" s="23">
        <v>4138</v>
      </c>
      <c r="N2651" s="23">
        <v>4140</v>
      </c>
      <c r="O2651" s="23">
        <v>4141</v>
      </c>
      <c r="P2651" s="23">
        <v>4143</v>
      </c>
      <c r="Q2651" s="154">
        <v>64</v>
      </c>
      <c r="R2651" t="s">
        <v>469</v>
      </c>
    </row>
    <row r="2652" spans="1:18">
      <c r="A2652" s="153">
        <v>4144</v>
      </c>
      <c r="B2652" s="23">
        <v>4146</v>
      </c>
      <c r="C2652" s="23">
        <v>4147</v>
      </c>
      <c r="D2652" s="23">
        <v>4149</v>
      </c>
      <c r="E2652" s="23">
        <v>4150</v>
      </c>
      <c r="F2652" s="23">
        <v>4152</v>
      </c>
      <c r="G2652" s="23">
        <v>4153</v>
      </c>
      <c r="H2652" s="23">
        <v>4155</v>
      </c>
      <c r="I2652" s="23">
        <v>4156</v>
      </c>
      <c r="J2652" s="23">
        <v>4158</v>
      </c>
      <c r="K2652" s="23">
        <v>4159</v>
      </c>
      <c r="L2652" s="23">
        <v>4161</v>
      </c>
      <c r="M2652" s="23">
        <v>4162</v>
      </c>
      <c r="N2652" s="23">
        <v>4164</v>
      </c>
      <c r="O2652" s="23">
        <v>4165</v>
      </c>
      <c r="P2652" s="23">
        <v>4167</v>
      </c>
      <c r="Q2652" s="154">
        <v>65</v>
      </c>
      <c r="R2652" t="s">
        <v>470</v>
      </c>
    </row>
    <row r="2653" spans="1:18">
      <c r="A2653" s="153">
        <v>4168</v>
      </c>
      <c r="B2653" s="23">
        <v>4170</v>
      </c>
      <c r="C2653" s="23">
        <v>4171</v>
      </c>
      <c r="D2653" s="23">
        <v>4173</v>
      </c>
      <c r="E2653" s="23">
        <v>4174</v>
      </c>
      <c r="F2653" s="23">
        <v>4176</v>
      </c>
      <c r="G2653" s="23">
        <v>4177</v>
      </c>
      <c r="H2653" s="23">
        <v>4179</v>
      </c>
      <c r="I2653" s="23">
        <v>4180</v>
      </c>
      <c r="J2653" s="23">
        <v>4182</v>
      </c>
      <c r="K2653" s="23">
        <v>4183</v>
      </c>
      <c r="L2653" s="23">
        <v>4185</v>
      </c>
      <c r="M2653" s="23">
        <v>4186</v>
      </c>
      <c r="N2653" s="23">
        <v>4188</v>
      </c>
      <c r="O2653" s="23">
        <v>4189</v>
      </c>
      <c r="P2653" s="23">
        <v>4191</v>
      </c>
      <c r="Q2653" s="154">
        <v>66</v>
      </c>
      <c r="R2653" t="s">
        <v>471</v>
      </c>
    </row>
    <row r="2654" spans="1:18">
      <c r="A2654" s="153">
        <v>4192</v>
      </c>
      <c r="B2654" s="23">
        <v>4194</v>
      </c>
      <c r="C2654" s="23">
        <v>4195</v>
      </c>
      <c r="D2654" s="23">
        <v>4197</v>
      </c>
      <c r="E2654" s="23">
        <v>4198</v>
      </c>
      <c r="F2654" s="23">
        <v>4200</v>
      </c>
      <c r="G2654" s="23">
        <v>4201</v>
      </c>
      <c r="H2654" s="23">
        <v>4203</v>
      </c>
      <c r="I2654" s="23">
        <v>4204</v>
      </c>
      <c r="J2654" s="23">
        <v>4206</v>
      </c>
      <c r="K2654" s="23">
        <v>4207</v>
      </c>
      <c r="L2654" s="23">
        <v>4209</v>
      </c>
      <c r="M2654" s="23">
        <v>4210</v>
      </c>
      <c r="N2654" s="23">
        <v>4212</v>
      </c>
      <c r="O2654" s="23">
        <v>4213</v>
      </c>
      <c r="P2654" s="23">
        <v>4215</v>
      </c>
      <c r="Q2654" s="154">
        <v>67</v>
      </c>
      <c r="R2654" t="s">
        <v>472</v>
      </c>
    </row>
    <row r="2655" spans="1:18">
      <c r="A2655" s="153">
        <v>4216</v>
      </c>
      <c r="B2655" s="23">
        <v>4218</v>
      </c>
      <c r="C2655" s="23">
        <v>4219</v>
      </c>
      <c r="D2655" s="23">
        <v>4221</v>
      </c>
      <c r="E2655" s="23">
        <v>4222</v>
      </c>
      <c r="F2655" s="23">
        <v>4224</v>
      </c>
      <c r="G2655" s="23">
        <v>4225</v>
      </c>
      <c r="H2655" s="23">
        <v>4227</v>
      </c>
      <c r="I2655" s="23">
        <v>4228</v>
      </c>
      <c r="J2655" s="23">
        <v>4230</v>
      </c>
      <c r="K2655" s="23">
        <v>4231</v>
      </c>
      <c r="L2655" s="23">
        <v>4233</v>
      </c>
      <c r="M2655" s="23">
        <v>4234</v>
      </c>
      <c r="N2655" s="23">
        <v>4236</v>
      </c>
      <c r="O2655" s="23">
        <v>4237</v>
      </c>
      <c r="P2655" s="23">
        <v>4239</v>
      </c>
      <c r="Q2655" s="154">
        <v>68</v>
      </c>
      <c r="R2655" t="s">
        <v>473</v>
      </c>
    </row>
    <row r="2656" spans="1:18">
      <c r="A2656" s="153">
        <v>4240</v>
      </c>
      <c r="B2656" s="23">
        <v>4242</v>
      </c>
      <c r="C2656" s="23">
        <v>4243</v>
      </c>
      <c r="D2656" s="23">
        <v>4245</v>
      </c>
      <c r="E2656" s="23">
        <v>4246</v>
      </c>
      <c r="F2656" s="23">
        <v>4248</v>
      </c>
      <c r="G2656" s="23">
        <v>4249</v>
      </c>
      <c r="H2656" s="23">
        <v>4251</v>
      </c>
      <c r="I2656" s="23">
        <v>4252</v>
      </c>
      <c r="J2656" s="23">
        <v>4254</v>
      </c>
      <c r="K2656" s="23">
        <v>4255</v>
      </c>
      <c r="L2656" s="23">
        <v>4257</v>
      </c>
      <c r="M2656" s="23">
        <v>4258</v>
      </c>
      <c r="N2656" s="23">
        <v>4260</v>
      </c>
      <c r="O2656" s="23">
        <v>4261</v>
      </c>
      <c r="P2656" s="23">
        <v>4263</v>
      </c>
      <c r="Q2656" s="154">
        <v>69</v>
      </c>
      <c r="R2656" t="s">
        <v>474</v>
      </c>
    </row>
    <row r="2657" spans="1:18">
      <c r="A2657" s="153">
        <v>4264</v>
      </c>
      <c r="B2657" s="23">
        <v>4266</v>
      </c>
      <c r="C2657" s="23">
        <v>4267</v>
      </c>
      <c r="D2657" s="23">
        <v>4269</v>
      </c>
      <c r="E2657" s="23">
        <v>4270</v>
      </c>
      <c r="F2657" s="23">
        <v>4272</v>
      </c>
      <c r="G2657" s="23">
        <v>4273</v>
      </c>
      <c r="H2657" s="23">
        <v>4275</v>
      </c>
      <c r="I2657" s="23">
        <v>4276</v>
      </c>
      <c r="J2657" s="23">
        <v>4278</v>
      </c>
      <c r="K2657" s="23">
        <v>4279</v>
      </c>
      <c r="L2657" s="23">
        <v>4281</v>
      </c>
      <c r="M2657" s="23">
        <v>4282</v>
      </c>
      <c r="N2657" s="23">
        <v>4284</v>
      </c>
      <c r="O2657" s="23">
        <v>4285</v>
      </c>
      <c r="P2657" s="23">
        <v>4287</v>
      </c>
      <c r="Q2657" s="154">
        <v>70</v>
      </c>
      <c r="R2657" t="s">
        <v>475</v>
      </c>
    </row>
    <row r="2658" spans="1:18">
      <c r="A2658" s="153">
        <v>4288</v>
      </c>
      <c r="B2658" s="23">
        <v>4290</v>
      </c>
      <c r="C2658" s="23">
        <v>4291</v>
      </c>
      <c r="D2658" s="23">
        <v>4293</v>
      </c>
      <c r="E2658" s="23">
        <v>4294</v>
      </c>
      <c r="F2658" s="23">
        <v>4296</v>
      </c>
      <c r="G2658" s="23">
        <v>4297</v>
      </c>
      <c r="H2658" s="23">
        <v>4299</v>
      </c>
      <c r="I2658" s="23">
        <v>4300</v>
      </c>
      <c r="J2658" s="23">
        <v>4302</v>
      </c>
      <c r="K2658" s="23">
        <v>4303</v>
      </c>
      <c r="L2658" s="23">
        <v>4305</v>
      </c>
      <c r="M2658" s="23">
        <v>4306</v>
      </c>
      <c r="N2658" s="23">
        <v>4308</v>
      </c>
      <c r="O2658" s="23">
        <v>4309</v>
      </c>
      <c r="P2658" s="23">
        <v>4311</v>
      </c>
      <c r="Q2658" s="154">
        <v>71</v>
      </c>
      <c r="R2658" t="s">
        <v>476</v>
      </c>
    </row>
    <row r="2659" spans="1:18">
      <c r="A2659" s="153">
        <v>4312</v>
      </c>
      <c r="B2659" s="23">
        <v>4314</v>
      </c>
      <c r="C2659" s="23">
        <v>4315</v>
      </c>
      <c r="D2659" s="23">
        <v>4317</v>
      </c>
      <c r="E2659" s="23">
        <v>4318</v>
      </c>
      <c r="F2659" s="23">
        <v>4320</v>
      </c>
      <c r="G2659" s="23">
        <v>4321</v>
      </c>
      <c r="H2659" s="23">
        <v>4323</v>
      </c>
      <c r="I2659" s="23">
        <v>4324</v>
      </c>
      <c r="J2659" s="23">
        <v>4326</v>
      </c>
      <c r="K2659" s="23">
        <v>4327</v>
      </c>
      <c r="L2659" s="23">
        <v>4329</v>
      </c>
      <c r="M2659" s="23">
        <v>4330</v>
      </c>
      <c r="N2659" s="23">
        <v>4332</v>
      </c>
      <c r="O2659" s="23">
        <v>4333</v>
      </c>
      <c r="P2659" s="23">
        <v>4335</v>
      </c>
      <c r="Q2659" s="154">
        <v>72</v>
      </c>
      <c r="R2659" t="s">
        <v>477</v>
      </c>
    </row>
    <row r="2660" spans="1:18">
      <c r="A2660" s="153">
        <v>4336</v>
      </c>
      <c r="B2660" s="23">
        <v>4338</v>
      </c>
      <c r="C2660" s="23">
        <v>4339</v>
      </c>
      <c r="D2660" s="23">
        <v>4341</v>
      </c>
      <c r="E2660" s="23">
        <v>4342</v>
      </c>
      <c r="F2660" s="23">
        <v>4344</v>
      </c>
      <c r="G2660" s="23">
        <v>4345</v>
      </c>
      <c r="H2660" s="23">
        <v>4347</v>
      </c>
      <c r="I2660" s="23">
        <v>4348</v>
      </c>
      <c r="J2660" s="23">
        <v>4350</v>
      </c>
      <c r="K2660" s="23">
        <v>4351</v>
      </c>
      <c r="L2660" s="23">
        <v>4353</v>
      </c>
      <c r="M2660" s="23">
        <v>4354</v>
      </c>
      <c r="N2660" s="23">
        <v>4356</v>
      </c>
      <c r="O2660" s="23">
        <v>4357</v>
      </c>
      <c r="P2660" s="23">
        <v>4359</v>
      </c>
      <c r="Q2660" s="154">
        <v>73</v>
      </c>
      <c r="R2660" t="s">
        <v>478</v>
      </c>
    </row>
    <row r="2661" spans="1:18">
      <c r="A2661" s="153">
        <v>4360</v>
      </c>
      <c r="B2661" s="23">
        <v>4362</v>
      </c>
      <c r="C2661" s="23">
        <v>4363</v>
      </c>
      <c r="D2661" s="23">
        <v>4365</v>
      </c>
      <c r="E2661" s="23">
        <v>4366</v>
      </c>
      <c r="F2661" s="23">
        <v>4368</v>
      </c>
      <c r="G2661" s="23">
        <v>4369</v>
      </c>
      <c r="H2661" s="23">
        <v>4371</v>
      </c>
      <c r="I2661" s="23">
        <v>4372</v>
      </c>
      <c r="J2661" s="23">
        <v>4374</v>
      </c>
      <c r="K2661" s="23">
        <v>4375</v>
      </c>
      <c r="L2661" s="23">
        <v>4377</v>
      </c>
      <c r="M2661" s="23">
        <v>4378</v>
      </c>
      <c r="N2661" s="23">
        <v>4380</v>
      </c>
      <c r="O2661" s="23">
        <v>4381</v>
      </c>
      <c r="P2661" s="23">
        <v>4383</v>
      </c>
      <c r="Q2661" s="154">
        <v>74</v>
      </c>
      <c r="R2661" t="s">
        <v>479</v>
      </c>
    </row>
    <row r="2662" spans="1:18">
      <c r="A2662" s="153">
        <v>4384</v>
      </c>
      <c r="B2662" s="23">
        <v>4386</v>
      </c>
      <c r="C2662" s="23">
        <v>4387</v>
      </c>
      <c r="D2662" s="23">
        <v>4389</v>
      </c>
      <c r="E2662" s="23">
        <v>4390</v>
      </c>
      <c r="F2662" s="23">
        <v>4392</v>
      </c>
      <c r="G2662" s="23">
        <v>4393</v>
      </c>
      <c r="H2662" s="23">
        <v>4395</v>
      </c>
      <c r="I2662" s="23">
        <v>4396</v>
      </c>
      <c r="J2662" s="23">
        <v>4398</v>
      </c>
      <c r="K2662" s="23">
        <v>4399</v>
      </c>
      <c r="L2662" s="23">
        <v>4401</v>
      </c>
      <c r="M2662" s="23">
        <v>4402</v>
      </c>
      <c r="N2662" s="23">
        <v>4404</v>
      </c>
      <c r="O2662" s="23">
        <v>4405</v>
      </c>
      <c r="P2662" s="23">
        <v>4407</v>
      </c>
      <c r="Q2662" s="154">
        <v>75</v>
      </c>
      <c r="R2662" t="s">
        <v>480</v>
      </c>
    </row>
    <row r="2663" spans="1:18">
      <c r="A2663" s="153">
        <v>4408</v>
      </c>
      <c r="B2663" s="23">
        <v>4410</v>
      </c>
      <c r="C2663" s="23">
        <v>4411</v>
      </c>
      <c r="D2663" s="23">
        <v>4413</v>
      </c>
      <c r="E2663" s="23">
        <v>4414</v>
      </c>
      <c r="F2663" s="23">
        <v>4416</v>
      </c>
      <c r="G2663" s="23">
        <v>4417</v>
      </c>
      <c r="H2663" s="23">
        <v>4419</v>
      </c>
      <c r="I2663" s="23">
        <v>4420</v>
      </c>
      <c r="J2663" s="23">
        <v>4422</v>
      </c>
      <c r="K2663" s="23">
        <v>4423</v>
      </c>
      <c r="L2663" s="23">
        <v>4425</v>
      </c>
      <c r="M2663" s="23">
        <v>4426</v>
      </c>
      <c r="N2663" s="23">
        <v>4428</v>
      </c>
      <c r="O2663" s="23">
        <v>4429</v>
      </c>
      <c r="P2663" s="23">
        <v>4431</v>
      </c>
      <c r="Q2663" s="154">
        <v>76</v>
      </c>
      <c r="R2663" t="s">
        <v>481</v>
      </c>
    </row>
    <row r="2664" spans="1:18">
      <c r="A2664" s="153">
        <v>4432</v>
      </c>
      <c r="B2664" s="23">
        <v>4434</v>
      </c>
      <c r="C2664" s="23">
        <v>4435</v>
      </c>
      <c r="D2664" s="23">
        <v>4437</v>
      </c>
      <c r="E2664" s="23">
        <v>4438</v>
      </c>
      <c r="F2664" s="23">
        <v>4440</v>
      </c>
      <c r="G2664" s="23">
        <v>4441</v>
      </c>
      <c r="H2664" s="23">
        <v>4443</v>
      </c>
      <c r="I2664" s="23">
        <v>4444</v>
      </c>
      <c r="J2664" s="23">
        <v>4446</v>
      </c>
      <c r="K2664" s="23">
        <v>4447</v>
      </c>
      <c r="L2664" s="23">
        <v>4449</v>
      </c>
      <c r="M2664" s="23">
        <v>4450</v>
      </c>
      <c r="N2664" s="23">
        <v>4452</v>
      </c>
      <c r="O2664" s="23">
        <v>4453</v>
      </c>
      <c r="P2664" s="23">
        <v>4455</v>
      </c>
      <c r="Q2664" s="154">
        <v>77</v>
      </c>
      <c r="R2664" t="s">
        <v>482</v>
      </c>
    </row>
    <row r="2665" spans="1:18">
      <c r="A2665" s="153">
        <v>4456</v>
      </c>
      <c r="B2665" s="23">
        <v>4458</v>
      </c>
      <c r="C2665" s="23">
        <v>4459</v>
      </c>
      <c r="D2665" s="23">
        <v>4461</v>
      </c>
      <c r="E2665" s="23">
        <v>4462</v>
      </c>
      <c r="F2665" s="23">
        <v>4464</v>
      </c>
      <c r="G2665" s="23">
        <v>4465</v>
      </c>
      <c r="H2665" s="23">
        <v>4467</v>
      </c>
      <c r="I2665" s="23">
        <v>4468</v>
      </c>
      <c r="J2665" s="23">
        <v>4470</v>
      </c>
      <c r="K2665" s="23">
        <v>4471</v>
      </c>
      <c r="L2665" s="23">
        <v>4473</v>
      </c>
      <c r="M2665" s="23">
        <v>4474</v>
      </c>
      <c r="N2665" s="23">
        <v>4476</v>
      </c>
      <c r="O2665" s="23">
        <v>4477</v>
      </c>
      <c r="P2665" s="23">
        <v>4479</v>
      </c>
      <c r="Q2665" s="154">
        <v>78</v>
      </c>
      <c r="R2665" t="s">
        <v>483</v>
      </c>
    </row>
    <row r="2666" spans="1:18">
      <c r="A2666" s="153">
        <v>4480</v>
      </c>
      <c r="B2666" s="23">
        <v>4482</v>
      </c>
      <c r="C2666" s="23">
        <v>4483</v>
      </c>
      <c r="D2666" s="23">
        <v>4485</v>
      </c>
      <c r="E2666" s="23">
        <v>4486</v>
      </c>
      <c r="F2666" s="23">
        <v>4488</v>
      </c>
      <c r="G2666" s="23">
        <v>4489</v>
      </c>
      <c r="H2666" s="23">
        <v>4491</v>
      </c>
      <c r="I2666" s="23">
        <v>4492</v>
      </c>
      <c r="J2666" s="23">
        <v>4494</v>
      </c>
      <c r="K2666" s="23">
        <v>4495</v>
      </c>
      <c r="L2666" s="23">
        <v>4497</v>
      </c>
      <c r="M2666" s="23">
        <v>4498</v>
      </c>
      <c r="N2666" s="23">
        <v>4500</v>
      </c>
      <c r="O2666" s="23">
        <v>4501</v>
      </c>
      <c r="P2666" s="23">
        <v>4503</v>
      </c>
      <c r="Q2666" s="154">
        <v>79</v>
      </c>
      <c r="R2666" t="s">
        <v>484</v>
      </c>
    </row>
    <row r="2667" spans="1:18">
      <c r="A2667" s="153">
        <v>4504</v>
      </c>
      <c r="B2667" s="23">
        <v>4506</v>
      </c>
      <c r="C2667" s="23">
        <v>4507</v>
      </c>
      <c r="D2667" s="23">
        <v>4509</v>
      </c>
      <c r="E2667" s="23">
        <v>4510</v>
      </c>
      <c r="F2667" s="23">
        <v>4512</v>
      </c>
      <c r="G2667" s="23">
        <v>4513</v>
      </c>
      <c r="H2667" s="23">
        <v>4515</v>
      </c>
      <c r="I2667" s="23">
        <v>4516</v>
      </c>
      <c r="J2667" s="23">
        <v>4518</v>
      </c>
      <c r="K2667" s="23">
        <v>4519</v>
      </c>
      <c r="L2667" s="23">
        <v>4521</v>
      </c>
      <c r="M2667" s="23">
        <v>4522</v>
      </c>
      <c r="N2667" s="23">
        <v>4524</v>
      </c>
      <c r="O2667" s="23">
        <v>4525</v>
      </c>
      <c r="P2667" s="23">
        <v>4527</v>
      </c>
      <c r="Q2667" s="154">
        <v>80</v>
      </c>
      <c r="R2667" t="s">
        <v>485</v>
      </c>
    </row>
    <row r="2668" spans="1:18">
      <c r="A2668" s="153">
        <v>7408</v>
      </c>
      <c r="B2668" s="23">
        <v>7410</v>
      </c>
      <c r="C2668" s="23">
        <v>7411</v>
      </c>
      <c r="D2668" s="23">
        <v>7413</v>
      </c>
      <c r="E2668" s="23">
        <v>7414</v>
      </c>
      <c r="F2668" s="23">
        <v>7416</v>
      </c>
      <c r="G2668" s="23">
        <v>7417</v>
      </c>
      <c r="H2668" s="23">
        <v>7419</v>
      </c>
      <c r="I2668" s="23">
        <v>7420</v>
      </c>
      <c r="J2668" s="23">
        <v>7422</v>
      </c>
      <c r="K2668" s="23">
        <v>7423</v>
      </c>
      <c r="L2668" s="23">
        <v>7425</v>
      </c>
      <c r="M2668" s="23">
        <v>7426</v>
      </c>
      <c r="N2668" s="23">
        <v>7428</v>
      </c>
      <c r="O2668" s="23">
        <v>7429</v>
      </c>
      <c r="P2668" s="23">
        <v>7431</v>
      </c>
      <c r="Q2668" s="154">
        <v>201</v>
      </c>
      <c r="R2668" t="s">
        <v>486</v>
      </c>
    </row>
    <row r="2669" spans="1:18">
      <c r="A2669" s="153">
        <v>7432</v>
      </c>
      <c r="B2669" s="23">
        <v>7434</v>
      </c>
      <c r="C2669" s="23">
        <v>7435</v>
      </c>
      <c r="D2669" s="23">
        <v>7437</v>
      </c>
      <c r="E2669" s="23">
        <v>7438</v>
      </c>
      <c r="F2669" s="23">
        <v>7440</v>
      </c>
      <c r="G2669" s="23">
        <v>7441</v>
      </c>
      <c r="H2669" s="23">
        <v>7443</v>
      </c>
      <c r="I2669" s="23">
        <v>7444</v>
      </c>
      <c r="J2669" s="23">
        <v>7446</v>
      </c>
      <c r="K2669" s="23">
        <v>7447</v>
      </c>
      <c r="L2669" s="23">
        <v>7449</v>
      </c>
      <c r="M2669" s="23">
        <v>7450</v>
      </c>
      <c r="N2669" s="23">
        <v>7452</v>
      </c>
      <c r="O2669" s="23">
        <v>7453</v>
      </c>
      <c r="P2669" s="23">
        <v>7455</v>
      </c>
      <c r="Q2669" s="154">
        <v>202</v>
      </c>
      <c r="R2669" t="s">
        <v>487</v>
      </c>
    </row>
    <row r="2670" spans="1:18">
      <c r="A2670" s="153">
        <v>7456</v>
      </c>
      <c r="B2670" s="23">
        <v>7458</v>
      </c>
      <c r="C2670" s="23">
        <v>7459</v>
      </c>
      <c r="D2670" s="23">
        <v>7461</v>
      </c>
      <c r="E2670" s="23">
        <v>7462</v>
      </c>
      <c r="F2670" s="23">
        <v>7464</v>
      </c>
      <c r="G2670" s="23">
        <v>7465</v>
      </c>
      <c r="H2670" s="23">
        <v>7467</v>
      </c>
      <c r="I2670" s="23">
        <v>7468</v>
      </c>
      <c r="J2670" s="23">
        <v>7470</v>
      </c>
      <c r="K2670" s="23">
        <v>7471</v>
      </c>
      <c r="L2670" s="23">
        <v>7473</v>
      </c>
      <c r="M2670" s="23">
        <v>7474</v>
      </c>
      <c r="N2670" s="23">
        <v>7476</v>
      </c>
      <c r="O2670" s="23">
        <v>7477</v>
      </c>
      <c r="P2670" s="23">
        <v>7479</v>
      </c>
      <c r="Q2670" s="154">
        <v>203</v>
      </c>
      <c r="R2670" t="s">
        <v>488</v>
      </c>
    </row>
    <row r="2671" spans="1:18">
      <c r="A2671" s="153">
        <v>7480</v>
      </c>
      <c r="B2671" s="23">
        <v>7482</v>
      </c>
      <c r="C2671" s="23">
        <v>7483</v>
      </c>
      <c r="D2671" s="23">
        <v>7485</v>
      </c>
      <c r="E2671" s="23">
        <v>7486</v>
      </c>
      <c r="F2671" s="23">
        <v>7488</v>
      </c>
      <c r="G2671" s="23">
        <v>7489</v>
      </c>
      <c r="H2671" s="23">
        <v>7491</v>
      </c>
      <c r="I2671" s="23">
        <v>7492</v>
      </c>
      <c r="J2671" s="23">
        <v>7494</v>
      </c>
      <c r="K2671" s="23">
        <v>7495</v>
      </c>
      <c r="L2671" s="23">
        <v>7497</v>
      </c>
      <c r="M2671" s="23">
        <v>7498</v>
      </c>
      <c r="N2671" s="23">
        <v>7500</v>
      </c>
      <c r="O2671" s="23">
        <v>7501</v>
      </c>
      <c r="P2671" s="23">
        <v>7503</v>
      </c>
      <c r="Q2671" s="154">
        <v>204</v>
      </c>
      <c r="R2671" t="s">
        <v>489</v>
      </c>
    </row>
    <row r="2672" spans="1:18">
      <c r="A2672" s="153">
        <v>7504</v>
      </c>
      <c r="B2672" s="23">
        <v>7506</v>
      </c>
      <c r="C2672" s="23">
        <v>7507</v>
      </c>
      <c r="D2672" s="23">
        <v>7509</v>
      </c>
      <c r="E2672" s="23">
        <v>7510</v>
      </c>
      <c r="F2672" s="23">
        <v>7512</v>
      </c>
      <c r="G2672" s="23">
        <v>7513</v>
      </c>
      <c r="H2672" s="23">
        <v>7515</v>
      </c>
      <c r="I2672" s="23">
        <v>7516</v>
      </c>
      <c r="J2672" s="23">
        <v>7518</v>
      </c>
      <c r="K2672" s="23">
        <v>7519</v>
      </c>
      <c r="L2672" s="23">
        <v>7521</v>
      </c>
      <c r="M2672" s="23">
        <v>7522</v>
      </c>
      <c r="N2672" s="23">
        <v>7524</v>
      </c>
      <c r="O2672" s="23">
        <v>7525</v>
      </c>
      <c r="P2672" s="23">
        <v>7527</v>
      </c>
      <c r="Q2672" s="154">
        <v>205</v>
      </c>
      <c r="R2672" t="s">
        <v>490</v>
      </c>
    </row>
    <row r="2673" spans="1:23">
      <c r="A2673" s="153">
        <v>7528</v>
      </c>
      <c r="B2673" s="23">
        <v>7530</v>
      </c>
      <c r="C2673" s="23">
        <v>7531</v>
      </c>
      <c r="D2673" s="23">
        <v>7533</v>
      </c>
      <c r="E2673" s="23">
        <v>7534</v>
      </c>
      <c r="F2673" s="23">
        <v>7536</v>
      </c>
      <c r="G2673" s="23">
        <v>7537</v>
      </c>
      <c r="H2673" s="23">
        <v>7539</v>
      </c>
      <c r="I2673" s="23">
        <v>7540</v>
      </c>
      <c r="J2673" s="23">
        <v>7542</v>
      </c>
      <c r="K2673" s="23">
        <v>7543</v>
      </c>
      <c r="L2673" s="23">
        <v>7545</v>
      </c>
      <c r="M2673" s="23">
        <v>7546</v>
      </c>
      <c r="N2673" s="23">
        <v>7548</v>
      </c>
      <c r="O2673" s="23">
        <v>7549</v>
      </c>
      <c r="P2673" s="23">
        <v>7551</v>
      </c>
      <c r="Q2673" s="154">
        <v>206</v>
      </c>
      <c r="R2673" t="s">
        <v>491</v>
      </c>
    </row>
    <row r="2674" spans="1:23">
      <c r="A2674" s="153">
        <v>7552</v>
      </c>
      <c r="B2674" s="23">
        <v>7554</v>
      </c>
      <c r="C2674" s="23">
        <v>7555</v>
      </c>
      <c r="D2674" s="23">
        <v>7557</v>
      </c>
      <c r="E2674" s="23">
        <v>7558</v>
      </c>
      <c r="F2674" s="23">
        <v>7560</v>
      </c>
      <c r="G2674" s="23">
        <v>7561</v>
      </c>
      <c r="H2674" s="23">
        <v>7563</v>
      </c>
      <c r="I2674" s="23">
        <v>7564</v>
      </c>
      <c r="J2674" s="23">
        <v>7566</v>
      </c>
      <c r="K2674" s="23">
        <v>7567</v>
      </c>
      <c r="L2674" s="23">
        <v>7569</v>
      </c>
      <c r="M2674" s="23">
        <v>7570</v>
      </c>
      <c r="N2674" s="23">
        <v>7572</v>
      </c>
      <c r="O2674" s="23">
        <v>7573</v>
      </c>
      <c r="P2674" s="23">
        <v>7575</v>
      </c>
      <c r="Q2674" s="154">
        <v>207</v>
      </c>
      <c r="R2674" t="s">
        <v>492</v>
      </c>
    </row>
    <row r="2675" spans="1:23" ht="15" thickBot="1">
      <c r="A2675" s="155">
        <v>7576</v>
      </c>
      <c r="B2675" s="147">
        <v>7578</v>
      </c>
      <c r="C2675" s="147">
        <v>7579</v>
      </c>
      <c r="D2675" s="147">
        <v>7581</v>
      </c>
      <c r="E2675" s="147">
        <v>7582</v>
      </c>
      <c r="F2675" s="147">
        <v>7584</v>
      </c>
      <c r="G2675" s="147">
        <v>7585</v>
      </c>
      <c r="H2675" s="147">
        <v>7587</v>
      </c>
      <c r="I2675" s="147">
        <v>7588</v>
      </c>
      <c r="J2675" s="147">
        <v>7590</v>
      </c>
      <c r="K2675" s="147">
        <v>7591</v>
      </c>
      <c r="L2675" s="147">
        <v>7593</v>
      </c>
      <c r="M2675" s="147">
        <v>7594</v>
      </c>
      <c r="N2675" s="147">
        <v>7596</v>
      </c>
      <c r="O2675" s="147">
        <v>7597</v>
      </c>
      <c r="P2675" s="147">
        <v>7599</v>
      </c>
      <c r="Q2675" s="156">
        <v>208</v>
      </c>
      <c r="R2675" t="s">
        <v>493</v>
      </c>
    </row>
    <row r="2676" spans="1:23">
      <c r="A2676" t="s">
        <v>1390</v>
      </c>
      <c r="B2676"/>
    </row>
    <row r="2677" spans="1:23">
      <c r="A2677" t="s">
        <v>1391</v>
      </c>
      <c r="B2677"/>
      <c r="C2677" t="s">
        <v>1392</v>
      </c>
      <c r="E2677" t="s">
        <v>1393</v>
      </c>
      <c r="G2677" t="s">
        <v>1394</v>
      </c>
      <c r="I2677" t="s">
        <v>1395</v>
      </c>
      <c r="K2677" t="s">
        <v>45</v>
      </c>
      <c r="M2677" t="s">
        <v>46</v>
      </c>
      <c r="O2677" t="s">
        <v>1038</v>
      </c>
      <c r="T2677" t="s">
        <v>1406</v>
      </c>
      <c r="U2677" t="s">
        <v>1406</v>
      </c>
      <c r="V2677" t="s">
        <v>1400</v>
      </c>
      <c r="W2677" t="s">
        <v>1401</v>
      </c>
    </row>
    <row r="2678" spans="1:23" ht="15" thickBot="1">
      <c r="A2678" t="s">
        <v>1396</v>
      </c>
      <c r="B2678" t="s">
        <v>1388</v>
      </c>
      <c r="C2678" t="s">
        <v>1396</v>
      </c>
      <c r="D2678" t="s">
        <v>1388</v>
      </c>
      <c r="E2678" t="s">
        <v>1396</v>
      </c>
      <c r="F2678" t="s">
        <v>1388</v>
      </c>
      <c r="G2678" t="s">
        <v>1396</v>
      </c>
      <c r="H2678" t="s">
        <v>1388</v>
      </c>
      <c r="I2678" t="s">
        <v>1396</v>
      </c>
      <c r="J2678" t="s">
        <v>1388</v>
      </c>
      <c r="K2678" t="s">
        <v>1396</v>
      </c>
      <c r="L2678" t="s">
        <v>1388</v>
      </c>
      <c r="M2678" t="s">
        <v>1396</v>
      </c>
      <c r="N2678" t="s">
        <v>1388</v>
      </c>
      <c r="O2678" t="s">
        <v>1396</v>
      </c>
      <c r="P2678" t="s">
        <v>1388</v>
      </c>
      <c r="Q2678" t="s">
        <v>1389</v>
      </c>
      <c r="T2678" t="s">
        <v>1410</v>
      </c>
      <c r="U2678" t="s">
        <v>1410</v>
      </c>
    </row>
    <row r="2679" spans="1:23">
      <c r="A2679" s="151">
        <v>66</v>
      </c>
      <c r="B2679" s="148">
        <v>1328</v>
      </c>
      <c r="C2679" s="148">
        <v>66</v>
      </c>
      <c r="D2679" s="148">
        <v>1328</v>
      </c>
      <c r="E2679" s="148">
        <v>66</v>
      </c>
      <c r="F2679" s="148">
        <v>1328</v>
      </c>
      <c r="G2679" s="148">
        <v>66</v>
      </c>
      <c r="H2679" s="148">
        <v>1328</v>
      </c>
      <c r="I2679" s="148">
        <v>66</v>
      </c>
      <c r="J2679" s="148">
        <v>1328</v>
      </c>
      <c r="K2679" s="148">
        <v>66</v>
      </c>
      <c r="L2679" s="148">
        <v>1328</v>
      </c>
      <c r="M2679" s="148">
        <v>66</v>
      </c>
      <c r="N2679" s="148">
        <v>1328</v>
      </c>
      <c r="O2679" s="148">
        <v>66</v>
      </c>
      <c r="P2679" s="148">
        <v>1328</v>
      </c>
      <c r="Q2679" s="152">
        <v>1</v>
      </c>
      <c r="R2679" t="s">
        <v>406</v>
      </c>
      <c r="S2679" t="s">
        <v>1397</v>
      </c>
    </row>
    <row r="2680" spans="1:23">
      <c r="A2680" s="153">
        <v>66</v>
      </c>
      <c r="B2680" s="23">
        <v>1328</v>
      </c>
      <c r="C2680" s="23">
        <v>66</v>
      </c>
      <c r="D2680" s="23">
        <v>1328</v>
      </c>
      <c r="E2680" s="23">
        <v>66</v>
      </c>
      <c r="F2680" s="23">
        <v>1328</v>
      </c>
      <c r="G2680" s="23">
        <v>66</v>
      </c>
      <c r="H2680" s="23">
        <v>1328</v>
      </c>
      <c r="I2680" s="23">
        <v>66</v>
      </c>
      <c r="J2680" s="23">
        <v>1328</v>
      </c>
      <c r="K2680" s="23">
        <v>66</v>
      </c>
      <c r="L2680" s="23">
        <v>1328</v>
      </c>
      <c r="M2680" s="23">
        <v>66</v>
      </c>
      <c r="N2680" s="23">
        <v>1328</v>
      </c>
      <c r="O2680" s="23">
        <v>66</v>
      </c>
      <c r="P2680" s="23">
        <v>1328</v>
      </c>
      <c r="Q2680" s="154">
        <v>2</v>
      </c>
      <c r="R2680" t="s">
        <v>407</v>
      </c>
      <c r="S2680" t="s">
        <v>1398</v>
      </c>
    </row>
    <row r="2681" spans="1:23">
      <c r="A2681" s="153">
        <v>66</v>
      </c>
      <c r="B2681" s="23">
        <v>1328</v>
      </c>
      <c r="C2681" s="23">
        <v>66</v>
      </c>
      <c r="D2681" s="23">
        <v>1328</v>
      </c>
      <c r="E2681" s="23">
        <v>66</v>
      </c>
      <c r="F2681" s="23">
        <v>1328</v>
      </c>
      <c r="G2681" s="23">
        <v>66</v>
      </c>
      <c r="H2681" s="23">
        <v>1328</v>
      </c>
      <c r="I2681" s="23">
        <v>66</v>
      </c>
      <c r="J2681" s="23">
        <v>1328</v>
      </c>
      <c r="K2681" s="23">
        <v>66</v>
      </c>
      <c r="L2681" s="23">
        <v>1328</v>
      </c>
      <c r="M2681" s="23">
        <v>66</v>
      </c>
      <c r="N2681" s="23">
        <v>1328</v>
      </c>
      <c r="O2681" s="23">
        <v>66</v>
      </c>
      <c r="P2681" s="23">
        <v>1328</v>
      </c>
      <c r="Q2681" s="154">
        <v>3</v>
      </c>
      <c r="R2681" t="s">
        <v>408</v>
      </c>
    </row>
    <row r="2682" spans="1:23">
      <c r="A2682" s="153">
        <v>66</v>
      </c>
      <c r="B2682" s="23">
        <v>1328</v>
      </c>
      <c r="C2682" s="23">
        <v>66</v>
      </c>
      <c r="D2682" s="23">
        <v>1328</v>
      </c>
      <c r="E2682" s="23">
        <v>66</v>
      </c>
      <c r="F2682" s="23">
        <v>1328</v>
      </c>
      <c r="G2682" s="23">
        <v>66</v>
      </c>
      <c r="H2682" s="23">
        <v>1328</v>
      </c>
      <c r="I2682" s="23">
        <v>66</v>
      </c>
      <c r="J2682" s="23">
        <v>1328</v>
      </c>
      <c r="K2682" s="23">
        <v>66</v>
      </c>
      <c r="L2682" s="23">
        <v>1328</v>
      </c>
      <c r="M2682" s="23">
        <v>66</v>
      </c>
      <c r="N2682" s="23">
        <v>1328</v>
      </c>
      <c r="O2682" s="23">
        <v>66</v>
      </c>
      <c r="P2682" s="23">
        <v>1328</v>
      </c>
      <c r="Q2682" s="154">
        <v>4</v>
      </c>
      <c r="R2682" t="s">
        <v>409</v>
      </c>
    </row>
    <row r="2683" spans="1:23">
      <c r="A2683" s="153">
        <v>66</v>
      </c>
      <c r="B2683" s="23">
        <v>1328</v>
      </c>
      <c r="C2683" s="23">
        <v>66</v>
      </c>
      <c r="D2683" s="23">
        <v>1328</v>
      </c>
      <c r="E2683" s="23">
        <v>66</v>
      </c>
      <c r="F2683" s="23">
        <v>1328</v>
      </c>
      <c r="G2683" s="23">
        <v>66</v>
      </c>
      <c r="H2683" s="23">
        <v>1328</v>
      </c>
      <c r="I2683" s="23">
        <v>66</v>
      </c>
      <c r="J2683" s="23">
        <v>1328</v>
      </c>
      <c r="K2683" s="23">
        <v>66</v>
      </c>
      <c r="L2683" s="23">
        <v>1328</v>
      </c>
      <c r="M2683" s="23">
        <v>66</v>
      </c>
      <c r="N2683" s="23">
        <v>1328</v>
      </c>
      <c r="O2683" s="23">
        <v>66</v>
      </c>
      <c r="P2683" s="23">
        <v>1328</v>
      </c>
      <c r="Q2683" s="154">
        <v>5</v>
      </c>
      <c r="R2683" t="s">
        <v>410</v>
      </c>
    </row>
    <row r="2684" spans="1:23">
      <c r="A2684" s="153">
        <v>66</v>
      </c>
      <c r="B2684" s="23">
        <v>1328</v>
      </c>
      <c r="C2684" s="23">
        <v>66</v>
      </c>
      <c r="D2684" s="23">
        <v>1328</v>
      </c>
      <c r="E2684" s="23">
        <v>66</v>
      </c>
      <c r="F2684" s="23">
        <v>1328</v>
      </c>
      <c r="G2684" s="23">
        <v>66</v>
      </c>
      <c r="H2684" s="23">
        <v>1328</v>
      </c>
      <c r="I2684" s="23">
        <v>66</v>
      </c>
      <c r="J2684" s="23">
        <v>1328</v>
      </c>
      <c r="K2684" s="23">
        <v>66</v>
      </c>
      <c r="L2684" s="23">
        <v>1328</v>
      </c>
      <c r="M2684" s="23">
        <v>66</v>
      </c>
      <c r="N2684" s="23">
        <v>1328</v>
      </c>
      <c r="O2684" s="23">
        <v>66</v>
      </c>
      <c r="P2684" s="23">
        <v>1328</v>
      </c>
      <c r="Q2684" s="154">
        <v>6</v>
      </c>
      <c r="R2684" t="s">
        <v>411</v>
      </c>
      <c r="T2684" t="s">
        <v>1415</v>
      </c>
      <c r="U2684" t="s">
        <v>1415</v>
      </c>
      <c r="V2684" t="s">
        <v>1400</v>
      </c>
      <c r="W2684" t="s">
        <v>1401</v>
      </c>
    </row>
    <row r="2685" spans="1:23">
      <c r="A2685" s="153">
        <v>66</v>
      </c>
      <c r="B2685" s="23">
        <v>1328</v>
      </c>
      <c r="C2685" s="23">
        <v>66</v>
      </c>
      <c r="D2685" s="23">
        <v>1328</v>
      </c>
      <c r="E2685" s="23">
        <v>66</v>
      </c>
      <c r="F2685" s="23">
        <v>1328</v>
      </c>
      <c r="G2685" s="23">
        <v>66</v>
      </c>
      <c r="H2685" s="23">
        <v>1328</v>
      </c>
      <c r="I2685" s="23">
        <v>66</v>
      </c>
      <c r="J2685" s="23">
        <v>1328</v>
      </c>
      <c r="K2685" s="23">
        <v>66</v>
      </c>
      <c r="L2685" s="23">
        <v>1328</v>
      </c>
      <c r="M2685" s="23">
        <v>66</v>
      </c>
      <c r="N2685" s="23">
        <v>1328</v>
      </c>
      <c r="O2685" s="23">
        <v>66</v>
      </c>
      <c r="P2685" s="23">
        <v>1328</v>
      </c>
      <c r="Q2685" s="154">
        <v>7</v>
      </c>
      <c r="R2685" t="s">
        <v>412</v>
      </c>
      <c r="T2685" t="s">
        <v>1416</v>
      </c>
      <c r="U2685" t="s">
        <v>1416</v>
      </c>
    </row>
    <row r="2686" spans="1:23">
      <c r="A2686" s="153">
        <v>66</v>
      </c>
      <c r="B2686" s="23">
        <v>1328</v>
      </c>
      <c r="C2686" s="23">
        <v>66</v>
      </c>
      <c r="D2686" s="23">
        <v>1328</v>
      </c>
      <c r="E2686" s="23">
        <v>66</v>
      </c>
      <c r="F2686" s="23">
        <v>1328</v>
      </c>
      <c r="G2686" s="23">
        <v>66</v>
      </c>
      <c r="H2686" s="23">
        <v>1328</v>
      </c>
      <c r="I2686" s="23">
        <v>66</v>
      </c>
      <c r="J2686" s="23">
        <v>1328</v>
      </c>
      <c r="K2686" s="23">
        <v>66</v>
      </c>
      <c r="L2686" s="23">
        <v>1328</v>
      </c>
      <c r="M2686" s="23">
        <v>66</v>
      </c>
      <c r="N2686" s="23">
        <v>1328</v>
      </c>
      <c r="O2686" s="23">
        <v>66</v>
      </c>
      <c r="P2686" s="23">
        <v>1328</v>
      </c>
      <c r="Q2686" s="154">
        <v>8</v>
      </c>
      <c r="R2686" t="s">
        <v>413</v>
      </c>
    </row>
    <row r="2687" spans="1:23">
      <c r="A2687" s="153">
        <v>66</v>
      </c>
      <c r="B2687" s="23">
        <v>1328</v>
      </c>
      <c r="C2687" s="23">
        <v>66</v>
      </c>
      <c r="D2687" s="23">
        <v>1328</v>
      </c>
      <c r="E2687" s="23">
        <v>66</v>
      </c>
      <c r="F2687" s="23">
        <v>1328</v>
      </c>
      <c r="G2687" s="23">
        <v>66</v>
      </c>
      <c r="H2687" s="23">
        <v>1328</v>
      </c>
      <c r="I2687" s="23">
        <v>66</v>
      </c>
      <c r="J2687" s="23">
        <v>1328</v>
      </c>
      <c r="K2687" s="23">
        <v>66</v>
      </c>
      <c r="L2687" s="23">
        <v>1328</v>
      </c>
      <c r="M2687" s="23">
        <v>66</v>
      </c>
      <c r="N2687" s="23">
        <v>1328</v>
      </c>
      <c r="O2687" s="23">
        <v>66</v>
      </c>
      <c r="P2687" s="23">
        <v>1328</v>
      </c>
      <c r="Q2687" s="154">
        <v>9</v>
      </c>
      <c r="R2687" t="s">
        <v>414</v>
      </c>
    </row>
    <row r="2688" spans="1:23">
      <c r="A2688" s="153">
        <v>66</v>
      </c>
      <c r="B2688" s="23">
        <v>1328</v>
      </c>
      <c r="C2688" s="23">
        <v>66</v>
      </c>
      <c r="D2688" s="23">
        <v>1328</v>
      </c>
      <c r="E2688" s="23">
        <v>66</v>
      </c>
      <c r="F2688" s="23">
        <v>1328</v>
      </c>
      <c r="G2688" s="23">
        <v>66</v>
      </c>
      <c r="H2688" s="23">
        <v>1328</v>
      </c>
      <c r="I2688" s="23">
        <v>66</v>
      </c>
      <c r="J2688" s="23">
        <v>1328</v>
      </c>
      <c r="K2688" s="23">
        <v>66</v>
      </c>
      <c r="L2688" s="23">
        <v>1328</v>
      </c>
      <c r="M2688" s="23">
        <v>66</v>
      </c>
      <c r="N2688" s="23">
        <v>1328</v>
      </c>
      <c r="O2688" s="23">
        <v>66</v>
      </c>
      <c r="P2688" s="23">
        <v>1328</v>
      </c>
      <c r="Q2688" s="154">
        <v>10</v>
      </c>
      <c r="R2688" t="s">
        <v>415</v>
      </c>
    </row>
    <row r="2689" spans="1:31">
      <c r="A2689" s="153">
        <v>66</v>
      </c>
      <c r="B2689" s="23">
        <v>1328</v>
      </c>
      <c r="C2689" s="23">
        <v>66</v>
      </c>
      <c r="D2689" s="23">
        <v>1328</v>
      </c>
      <c r="E2689" s="23">
        <v>66</v>
      </c>
      <c r="F2689" s="23">
        <v>1328</v>
      </c>
      <c r="G2689" s="23">
        <v>66</v>
      </c>
      <c r="H2689" s="23">
        <v>1328</v>
      </c>
      <c r="I2689" s="23">
        <v>66</v>
      </c>
      <c r="J2689" s="23">
        <v>1328</v>
      </c>
      <c r="K2689" s="23">
        <v>66</v>
      </c>
      <c r="L2689" s="23">
        <v>1328</v>
      </c>
      <c r="M2689" s="23">
        <v>66</v>
      </c>
      <c r="N2689" s="23">
        <v>1328</v>
      </c>
      <c r="O2689" s="23">
        <v>66</v>
      </c>
      <c r="P2689" s="23">
        <v>1328</v>
      </c>
      <c r="Q2689" s="154">
        <v>11</v>
      </c>
      <c r="R2689" t="s">
        <v>416</v>
      </c>
    </row>
    <row r="2690" spans="1:31" ht="15" thickBot="1">
      <c r="A2690" s="153">
        <v>66</v>
      </c>
      <c r="B2690" s="23">
        <v>1328</v>
      </c>
      <c r="C2690" s="23">
        <v>66</v>
      </c>
      <c r="D2690" s="23">
        <v>1328</v>
      </c>
      <c r="E2690" s="23">
        <v>66</v>
      </c>
      <c r="F2690" s="23">
        <v>1328</v>
      </c>
      <c r="G2690" s="23">
        <v>66</v>
      </c>
      <c r="H2690" s="23">
        <v>1328</v>
      </c>
      <c r="I2690" s="23">
        <v>66</v>
      </c>
      <c r="J2690" s="23">
        <v>1328</v>
      </c>
      <c r="K2690" s="23">
        <v>66</v>
      </c>
      <c r="L2690" s="23">
        <v>1328</v>
      </c>
      <c r="M2690" s="23">
        <v>66</v>
      </c>
      <c r="N2690" s="23">
        <v>1328</v>
      </c>
      <c r="O2690" s="23">
        <v>66</v>
      </c>
      <c r="P2690" s="23">
        <v>1328</v>
      </c>
      <c r="Q2690" s="154">
        <v>12</v>
      </c>
      <c r="R2690" t="s">
        <v>417</v>
      </c>
    </row>
    <row r="2691" spans="1:31" ht="15">
      <c r="A2691" s="153">
        <v>66</v>
      </c>
      <c r="B2691" s="23">
        <v>1328</v>
      </c>
      <c r="C2691" s="23">
        <v>66</v>
      </c>
      <c r="D2691" s="23">
        <v>1328</v>
      </c>
      <c r="E2691" s="23">
        <v>66</v>
      </c>
      <c r="F2691" s="23">
        <v>1328</v>
      </c>
      <c r="G2691" s="23">
        <v>66</v>
      </c>
      <c r="H2691" s="23">
        <v>1328</v>
      </c>
      <c r="I2691" s="23">
        <v>66</v>
      </c>
      <c r="J2691" s="23">
        <v>1328</v>
      </c>
      <c r="K2691" s="23">
        <v>66</v>
      </c>
      <c r="L2691" s="23">
        <v>1328</v>
      </c>
      <c r="M2691" s="23">
        <v>66</v>
      </c>
      <c r="N2691" s="23">
        <v>1328</v>
      </c>
      <c r="O2691" s="23">
        <v>66</v>
      </c>
      <c r="P2691" s="23">
        <v>1328</v>
      </c>
      <c r="Q2691" s="154">
        <v>13</v>
      </c>
      <c r="R2691" t="s">
        <v>418</v>
      </c>
      <c r="T2691" s="148"/>
      <c r="U2691" s="148"/>
      <c r="V2691" s="148"/>
      <c r="W2691" s="148"/>
      <c r="X2691" s="152"/>
      <c r="Y2691" t="s">
        <v>1446</v>
      </c>
      <c r="AB2691" s="133" t="s">
        <v>1417</v>
      </c>
      <c r="AC2691" s="133" t="s">
        <v>1418</v>
      </c>
      <c r="AD2691" s="133" t="s">
        <v>1450</v>
      </c>
      <c r="AE2691" s="127" t="s">
        <v>1451</v>
      </c>
    </row>
    <row r="2692" spans="1:31" ht="15.75" thickBot="1">
      <c r="A2692" s="153">
        <v>66</v>
      </c>
      <c r="B2692" s="23">
        <v>1328</v>
      </c>
      <c r="C2692" s="23">
        <v>66</v>
      </c>
      <c r="D2692" s="23">
        <v>1328</v>
      </c>
      <c r="E2692" s="23">
        <v>66</v>
      </c>
      <c r="F2692" s="23">
        <v>1328</v>
      </c>
      <c r="G2692" s="23">
        <v>66</v>
      </c>
      <c r="H2692" s="23">
        <v>1328</v>
      </c>
      <c r="I2692" s="23">
        <v>66</v>
      </c>
      <c r="J2692" s="23">
        <v>1328</v>
      </c>
      <c r="K2692" s="23">
        <v>66</v>
      </c>
      <c r="L2692" s="23">
        <v>1328</v>
      </c>
      <c r="M2692" s="23">
        <v>66</v>
      </c>
      <c r="N2692" s="23">
        <v>1328</v>
      </c>
      <c r="O2692" s="23">
        <v>66</v>
      </c>
      <c r="P2692" s="23">
        <v>1328</v>
      </c>
      <c r="Q2692" s="154">
        <v>14</v>
      </c>
      <c r="R2692" t="s">
        <v>419</v>
      </c>
      <c r="T2692" s="147"/>
      <c r="U2692" s="147"/>
      <c r="V2692" s="147"/>
      <c r="W2692" s="147"/>
      <c r="X2692" s="156"/>
      <c r="Y2692" t="s">
        <v>1447</v>
      </c>
      <c r="AB2692" s="133" t="s">
        <v>1448</v>
      </c>
      <c r="AC2692" s="133" t="s">
        <v>1449</v>
      </c>
      <c r="AD2692" s="133" t="s">
        <v>1450</v>
      </c>
      <c r="AE2692" s="127" t="s">
        <v>1451</v>
      </c>
    </row>
    <row r="2693" spans="1:31" ht="15" thickBot="1">
      <c r="A2693" s="153">
        <v>66</v>
      </c>
      <c r="B2693" s="23">
        <v>1328</v>
      </c>
      <c r="C2693" s="23">
        <v>66</v>
      </c>
      <c r="D2693" s="23">
        <v>1328</v>
      </c>
      <c r="E2693" s="23">
        <v>66</v>
      </c>
      <c r="F2693" s="23">
        <v>1328</v>
      </c>
      <c r="G2693" s="23">
        <v>66</v>
      </c>
      <c r="H2693" s="23">
        <v>1328</v>
      </c>
      <c r="I2693" s="23">
        <v>66</v>
      </c>
      <c r="J2693" s="23">
        <v>1328</v>
      </c>
      <c r="K2693" s="23">
        <v>66</v>
      </c>
      <c r="L2693" s="23">
        <v>1328</v>
      </c>
      <c r="M2693" s="23">
        <v>66</v>
      </c>
      <c r="N2693" s="23">
        <v>1328</v>
      </c>
      <c r="O2693" s="23">
        <v>66</v>
      </c>
      <c r="P2693" s="23">
        <v>1328</v>
      </c>
      <c r="Q2693" s="154">
        <v>15</v>
      </c>
      <c r="R2693" t="s">
        <v>420</v>
      </c>
      <c r="AB2693" s="133"/>
      <c r="AC2693" s="133"/>
      <c r="AD2693" s="133"/>
      <c r="AE2693" s="127"/>
    </row>
    <row r="2694" spans="1:31" ht="15" thickBot="1">
      <c r="A2694" s="153">
        <v>66</v>
      </c>
      <c r="B2694" s="23">
        <v>1328</v>
      </c>
      <c r="C2694" s="23">
        <v>66</v>
      </c>
      <c r="D2694" s="23">
        <v>1328</v>
      </c>
      <c r="E2694" s="23">
        <v>66</v>
      </c>
      <c r="F2694" s="23">
        <v>1328</v>
      </c>
      <c r="G2694" s="23">
        <v>66</v>
      </c>
      <c r="H2694" s="23">
        <v>1328</v>
      </c>
      <c r="I2694" s="23">
        <v>66</v>
      </c>
      <c r="J2694" s="23">
        <v>1328</v>
      </c>
      <c r="K2694" s="23">
        <v>66</v>
      </c>
      <c r="L2694" s="23">
        <v>1328</v>
      </c>
      <c r="M2694" s="23">
        <v>66</v>
      </c>
      <c r="N2694" s="23">
        <v>1328</v>
      </c>
      <c r="O2694" s="23">
        <v>66</v>
      </c>
      <c r="P2694" s="23">
        <v>1328</v>
      </c>
      <c r="Q2694" s="154">
        <v>16</v>
      </c>
      <c r="R2694" t="s">
        <v>421</v>
      </c>
      <c r="T2694" s="150"/>
      <c r="U2694" s="150"/>
      <c r="V2694" s="150"/>
      <c r="W2694" s="150"/>
      <c r="X2694" s="163"/>
      <c r="Y2694" t="s">
        <v>1420</v>
      </c>
      <c r="AB2694" s="133" t="s">
        <v>1417</v>
      </c>
      <c r="AC2694" s="133" t="s">
        <v>1418</v>
      </c>
      <c r="AD2694" s="133" t="s">
        <v>1419</v>
      </c>
      <c r="AE2694" s="127" t="s">
        <v>1451</v>
      </c>
    </row>
    <row r="2695" spans="1:31">
      <c r="A2695" s="153">
        <v>66</v>
      </c>
      <c r="B2695" s="23">
        <v>1328</v>
      </c>
      <c r="C2695" s="23">
        <v>66</v>
      </c>
      <c r="D2695" s="23">
        <v>1328</v>
      </c>
      <c r="E2695" s="23">
        <v>66</v>
      </c>
      <c r="F2695" s="23">
        <v>1328</v>
      </c>
      <c r="G2695" s="23">
        <v>66</v>
      </c>
      <c r="H2695" s="23">
        <v>1328</v>
      </c>
      <c r="I2695" s="23">
        <v>66</v>
      </c>
      <c r="J2695" s="23">
        <v>1328</v>
      </c>
      <c r="K2695" s="23">
        <v>66</v>
      </c>
      <c r="L2695" s="23">
        <v>1328</v>
      </c>
      <c r="M2695" s="23">
        <v>66</v>
      </c>
      <c r="N2695" s="23">
        <v>1328</v>
      </c>
      <c r="O2695" s="23">
        <v>66</v>
      </c>
      <c r="P2695" s="23">
        <v>1328</v>
      </c>
      <c r="Q2695" s="154">
        <v>17</v>
      </c>
      <c r="R2695" t="s">
        <v>422</v>
      </c>
      <c r="T2695" s="133"/>
      <c r="U2695" s="133"/>
      <c r="V2695" s="133"/>
      <c r="W2695" s="133"/>
      <c r="X2695" s="133"/>
      <c r="AB2695" s="133"/>
      <c r="AC2695" s="133"/>
      <c r="AD2695" s="133"/>
      <c r="AE2695" s="127"/>
    </row>
    <row r="2696" spans="1:31">
      <c r="A2696" s="153">
        <v>66</v>
      </c>
      <c r="B2696" s="23">
        <v>1328</v>
      </c>
      <c r="C2696" s="23">
        <v>66</v>
      </c>
      <c r="D2696" s="23">
        <v>1328</v>
      </c>
      <c r="E2696" s="23">
        <v>66</v>
      </c>
      <c r="F2696" s="23">
        <v>1328</v>
      </c>
      <c r="G2696" s="23">
        <v>66</v>
      </c>
      <c r="H2696" s="23">
        <v>1328</v>
      </c>
      <c r="I2696" s="23">
        <v>66</v>
      </c>
      <c r="J2696" s="23">
        <v>1328</v>
      </c>
      <c r="K2696" s="23">
        <v>66</v>
      </c>
      <c r="L2696" s="23">
        <v>1328</v>
      </c>
      <c r="M2696" s="23">
        <v>66</v>
      </c>
      <c r="N2696" s="23">
        <v>1328</v>
      </c>
      <c r="O2696" s="23">
        <v>66</v>
      </c>
      <c r="P2696" s="23">
        <v>1328</v>
      </c>
      <c r="Q2696" s="154">
        <v>18</v>
      </c>
      <c r="R2696" t="s">
        <v>423</v>
      </c>
    </row>
    <row r="2697" spans="1:31">
      <c r="A2697" s="153">
        <v>66</v>
      </c>
      <c r="B2697" s="23">
        <v>1328</v>
      </c>
      <c r="C2697" s="23">
        <v>66</v>
      </c>
      <c r="D2697" s="23">
        <v>1328</v>
      </c>
      <c r="E2697" s="23">
        <v>66</v>
      </c>
      <c r="F2697" s="23">
        <v>1328</v>
      </c>
      <c r="G2697" s="23">
        <v>66</v>
      </c>
      <c r="H2697" s="23">
        <v>1328</v>
      </c>
      <c r="I2697" s="23">
        <v>66</v>
      </c>
      <c r="J2697" s="23">
        <v>1328</v>
      </c>
      <c r="K2697" s="23">
        <v>66</v>
      </c>
      <c r="L2697" s="23">
        <v>1328</v>
      </c>
      <c r="M2697" s="23">
        <v>66</v>
      </c>
      <c r="N2697" s="23">
        <v>1328</v>
      </c>
      <c r="O2697" s="23">
        <v>66</v>
      </c>
      <c r="P2697" s="23">
        <v>1328</v>
      </c>
      <c r="Q2697" s="154">
        <v>19</v>
      </c>
      <c r="R2697" t="s">
        <v>424</v>
      </c>
    </row>
    <row r="2698" spans="1:31">
      <c r="A2698" s="153">
        <v>66</v>
      </c>
      <c r="B2698" s="23">
        <v>1328</v>
      </c>
      <c r="C2698" s="23">
        <v>66</v>
      </c>
      <c r="D2698" s="23">
        <v>1328</v>
      </c>
      <c r="E2698" s="23">
        <v>66</v>
      </c>
      <c r="F2698" s="23">
        <v>1328</v>
      </c>
      <c r="G2698" s="23">
        <v>66</v>
      </c>
      <c r="H2698" s="23">
        <v>1328</v>
      </c>
      <c r="I2698" s="23">
        <v>66</v>
      </c>
      <c r="J2698" s="23">
        <v>1328</v>
      </c>
      <c r="K2698" s="23">
        <v>66</v>
      </c>
      <c r="L2698" s="23">
        <v>1328</v>
      </c>
      <c r="M2698" s="23">
        <v>66</v>
      </c>
      <c r="N2698" s="23">
        <v>1328</v>
      </c>
      <c r="O2698" s="23">
        <v>66</v>
      </c>
      <c r="P2698" s="23">
        <v>1328</v>
      </c>
      <c r="Q2698" s="154">
        <v>20</v>
      </c>
      <c r="R2698" t="s">
        <v>425</v>
      </c>
    </row>
    <row r="2699" spans="1:31">
      <c r="A2699" s="153">
        <v>66</v>
      </c>
      <c r="B2699" s="23">
        <v>1328</v>
      </c>
      <c r="C2699" s="23">
        <v>66</v>
      </c>
      <c r="D2699" s="23">
        <v>1328</v>
      </c>
      <c r="E2699" s="23">
        <v>66</v>
      </c>
      <c r="F2699" s="23">
        <v>1328</v>
      </c>
      <c r="G2699" s="23">
        <v>66</v>
      </c>
      <c r="H2699" s="23">
        <v>1328</v>
      </c>
      <c r="I2699" s="23">
        <v>66</v>
      </c>
      <c r="J2699" s="23">
        <v>1328</v>
      </c>
      <c r="K2699" s="23">
        <v>66</v>
      </c>
      <c r="L2699" s="23">
        <v>1328</v>
      </c>
      <c r="M2699" s="23">
        <v>66</v>
      </c>
      <c r="N2699" s="23">
        <v>1328</v>
      </c>
      <c r="O2699" s="23">
        <v>66</v>
      </c>
      <c r="P2699" s="23">
        <v>1328</v>
      </c>
      <c r="Q2699" s="154">
        <v>21</v>
      </c>
      <c r="R2699" t="s">
        <v>426</v>
      </c>
    </row>
    <row r="2700" spans="1:31">
      <c r="A2700" s="153">
        <v>66</v>
      </c>
      <c r="B2700" s="23">
        <v>1328</v>
      </c>
      <c r="C2700" s="23">
        <v>66</v>
      </c>
      <c r="D2700" s="23">
        <v>1328</v>
      </c>
      <c r="E2700" s="23">
        <v>66</v>
      </c>
      <c r="F2700" s="23">
        <v>1328</v>
      </c>
      <c r="G2700" s="23">
        <v>66</v>
      </c>
      <c r="H2700" s="23">
        <v>1328</v>
      </c>
      <c r="I2700" s="23">
        <v>66</v>
      </c>
      <c r="J2700" s="23">
        <v>1328</v>
      </c>
      <c r="K2700" s="23">
        <v>66</v>
      </c>
      <c r="L2700" s="23">
        <v>1328</v>
      </c>
      <c r="M2700" s="23">
        <v>66</v>
      </c>
      <c r="N2700" s="23">
        <v>1328</v>
      </c>
      <c r="O2700" s="23">
        <v>66</v>
      </c>
      <c r="P2700" s="23">
        <v>1328</v>
      </c>
      <c r="Q2700" s="154">
        <v>22</v>
      </c>
      <c r="R2700" t="s">
        <v>427</v>
      </c>
    </row>
    <row r="2701" spans="1:31">
      <c r="A2701" s="153">
        <v>66</v>
      </c>
      <c r="B2701" s="23">
        <v>1328</v>
      </c>
      <c r="C2701" s="23">
        <v>66</v>
      </c>
      <c r="D2701" s="23">
        <v>1328</v>
      </c>
      <c r="E2701" s="23">
        <v>66</v>
      </c>
      <c r="F2701" s="23">
        <v>1328</v>
      </c>
      <c r="G2701" s="23">
        <v>66</v>
      </c>
      <c r="H2701" s="23">
        <v>1328</v>
      </c>
      <c r="I2701" s="23">
        <v>66</v>
      </c>
      <c r="J2701" s="23">
        <v>1328</v>
      </c>
      <c r="K2701" s="23">
        <v>66</v>
      </c>
      <c r="L2701" s="23">
        <v>1328</v>
      </c>
      <c r="M2701" s="23">
        <v>66</v>
      </c>
      <c r="N2701" s="23">
        <v>1328</v>
      </c>
      <c r="O2701" s="23">
        <v>66</v>
      </c>
      <c r="P2701" s="23">
        <v>1328</v>
      </c>
      <c r="Q2701" s="154">
        <v>23</v>
      </c>
      <c r="R2701" t="s">
        <v>428</v>
      </c>
    </row>
    <row r="2702" spans="1:31">
      <c r="A2702" s="153">
        <v>66</v>
      </c>
      <c r="B2702" s="23">
        <v>1328</v>
      </c>
      <c r="C2702" s="23">
        <v>66</v>
      </c>
      <c r="D2702" s="23">
        <v>1328</v>
      </c>
      <c r="E2702" s="23">
        <v>66</v>
      </c>
      <c r="F2702" s="23">
        <v>1328</v>
      </c>
      <c r="G2702" s="23">
        <v>66</v>
      </c>
      <c r="H2702" s="23">
        <v>1328</v>
      </c>
      <c r="I2702" s="23">
        <v>66</v>
      </c>
      <c r="J2702" s="23">
        <v>1328</v>
      </c>
      <c r="K2702" s="23">
        <v>66</v>
      </c>
      <c r="L2702" s="23">
        <v>1328</v>
      </c>
      <c r="M2702" s="23">
        <v>66</v>
      </c>
      <c r="N2702" s="23">
        <v>1328</v>
      </c>
      <c r="O2702" s="23">
        <v>66</v>
      </c>
      <c r="P2702" s="23">
        <v>1328</v>
      </c>
      <c r="Q2702" s="154">
        <v>24</v>
      </c>
      <c r="R2702" t="s">
        <v>429</v>
      </c>
    </row>
    <row r="2703" spans="1:31">
      <c r="A2703" s="153">
        <v>66</v>
      </c>
      <c r="B2703" s="23">
        <v>1328</v>
      </c>
      <c r="C2703" s="23">
        <v>66</v>
      </c>
      <c r="D2703" s="23">
        <v>1328</v>
      </c>
      <c r="E2703" s="23">
        <v>66</v>
      </c>
      <c r="F2703" s="23">
        <v>1328</v>
      </c>
      <c r="G2703" s="23">
        <v>66</v>
      </c>
      <c r="H2703" s="23">
        <v>1328</v>
      </c>
      <c r="I2703" s="23">
        <v>66</v>
      </c>
      <c r="J2703" s="23">
        <v>1328</v>
      </c>
      <c r="K2703" s="23">
        <v>66</v>
      </c>
      <c r="L2703" s="23">
        <v>1328</v>
      </c>
      <c r="M2703" s="23">
        <v>66</v>
      </c>
      <c r="N2703" s="23">
        <v>1328</v>
      </c>
      <c r="O2703" s="23">
        <v>66</v>
      </c>
      <c r="P2703" s="23">
        <v>1328</v>
      </c>
      <c r="Q2703" s="154">
        <v>25</v>
      </c>
      <c r="R2703" t="s">
        <v>430</v>
      </c>
    </row>
    <row r="2704" spans="1:31">
      <c r="A2704" s="153">
        <v>66</v>
      </c>
      <c r="B2704" s="23">
        <v>1328</v>
      </c>
      <c r="C2704" s="23">
        <v>66</v>
      </c>
      <c r="D2704" s="23">
        <v>1328</v>
      </c>
      <c r="E2704" s="23">
        <v>66</v>
      </c>
      <c r="F2704" s="23">
        <v>1328</v>
      </c>
      <c r="G2704" s="23">
        <v>66</v>
      </c>
      <c r="H2704" s="23">
        <v>1328</v>
      </c>
      <c r="I2704" s="23">
        <v>66</v>
      </c>
      <c r="J2704" s="23">
        <v>1328</v>
      </c>
      <c r="K2704" s="23">
        <v>66</v>
      </c>
      <c r="L2704" s="23">
        <v>1328</v>
      </c>
      <c r="M2704" s="23">
        <v>66</v>
      </c>
      <c r="N2704" s="23">
        <v>1328</v>
      </c>
      <c r="O2704" s="23">
        <v>66</v>
      </c>
      <c r="P2704" s="23">
        <v>1328</v>
      </c>
      <c r="Q2704" s="154">
        <v>26</v>
      </c>
      <c r="R2704" t="s">
        <v>431</v>
      </c>
    </row>
    <row r="2705" spans="1:26">
      <c r="A2705" s="153">
        <v>66</v>
      </c>
      <c r="B2705" s="23">
        <v>1328</v>
      </c>
      <c r="C2705" s="23">
        <v>66</v>
      </c>
      <c r="D2705" s="23">
        <v>1328</v>
      </c>
      <c r="E2705" s="23">
        <v>66</v>
      </c>
      <c r="F2705" s="23">
        <v>1328</v>
      </c>
      <c r="G2705" s="23">
        <v>66</v>
      </c>
      <c r="H2705" s="23">
        <v>1328</v>
      </c>
      <c r="I2705" s="23">
        <v>66</v>
      </c>
      <c r="J2705" s="23">
        <v>1328</v>
      </c>
      <c r="K2705" s="23">
        <v>66</v>
      </c>
      <c r="L2705" s="23">
        <v>1328</v>
      </c>
      <c r="M2705" s="23">
        <v>66</v>
      </c>
      <c r="N2705" s="23">
        <v>1328</v>
      </c>
      <c r="O2705" s="23">
        <v>66</v>
      </c>
      <c r="P2705" s="23">
        <v>1328</v>
      </c>
      <c r="Q2705" s="154">
        <v>27</v>
      </c>
      <c r="R2705" t="s">
        <v>432</v>
      </c>
    </row>
    <row r="2706" spans="1:26">
      <c r="A2706" s="153">
        <v>66</v>
      </c>
      <c r="B2706" s="23">
        <v>1328</v>
      </c>
      <c r="C2706" s="23">
        <v>66</v>
      </c>
      <c r="D2706" s="23">
        <v>1328</v>
      </c>
      <c r="E2706" s="23">
        <v>66</v>
      </c>
      <c r="F2706" s="23">
        <v>1328</v>
      </c>
      <c r="G2706" s="23">
        <v>66</v>
      </c>
      <c r="H2706" s="23">
        <v>1328</v>
      </c>
      <c r="I2706" s="23">
        <v>66</v>
      </c>
      <c r="J2706" s="23">
        <v>1328</v>
      </c>
      <c r="K2706" s="23">
        <v>66</v>
      </c>
      <c r="L2706" s="23">
        <v>1328</v>
      </c>
      <c r="M2706" s="23">
        <v>66</v>
      </c>
      <c r="N2706" s="23">
        <v>1328</v>
      </c>
      <c r="O2706" s="23">
        <v>66</v>
      </c>
      <c r="P2706" s="23">
        <v>1328</v>
      </c>
      <c r="Q2706" s="154">
        <v>28</v>
      </c>
      <c r="R2706" t="s">
        <v>433</v>
      </c>
    </row>
    <row r="2707" spans="1:26">
      <c r="A2707" s="153">
        <v>66</v>
      </c>
      <c r="B2707" s="23">
        <v>1328</v>
      </c>
      <c r="C2707" s="23">
        <v>66</v>
      </c>
      <c r="D2707" s="23">
        <v>1328</v>
      </c>
      <c r="E2707" s="23">
        <v>66</v>
      </c>
      <c r="F2707" s="23">
        <v>1328</v>
      </c>
      <c r="G2707" s="23">
        <v>66</v>
      </c>
      <c r="H2707" s="23">
        <v>1328</v>
      </c>
      <c r="I2707" s="23">
        <v>66</v>
      </c>
      <c r="J2707" s="23">
        <v>1328</v>
      </c>
      <c r="K2707" s="23">
        <v>66</v>
      </c>
      <c r="L2707" s="23">
        <v>1328</v>
      </c>
      <c r="M2707" s="23">
        <v>66</v>
      </c>
      <c r="N2707" s="23">
        <v>1328</v>
      </c>
      <c r="O2707" s="23">
        <v>66</v>
      </c>
      <c r="P2707" s="23">
        <v>1328</v>
      </c>
      <c r="Q2707" s="154">
        <v>29</v>
      </c>
      <c r="R2707" t="s">
        <v>434</v>
      </c>
    </row>
    <row r="2708" spans="1:26">
      <c r="A2708" s="153">
        <v>66</v>
      </c>
      <c r="B2708" s="23">
        <v>1328</v>
      </c>
      <c r="C2708" s="23">
        <v>66</v>
      </c>
      <c r="D2708" s="23">
        <v>1328</v>
      </c>
      <c r="E2708" s="23">
        <v>66</v>
      </c>
      <c r="F2708" s="23">
        <v>1328</v>
      </c>
      <c r="G2708" s="23">
        <v>66</v>
      </c>
      <c r="H2708" s="23">
        <v>1328</v>
      </c>
      <c r="I2708" s="23">
        <v>66</v>
      </c>
      <c r="J2708" s="23">
        <v>1328</v>
      </c>
      <c r="K2708" s="23">
        <v>66</v>
      </c>
      <c r="L2708" s="23">
        <v>1328</v>
      </c>
      <c r="M2708" s="23">
        <v>66</v>
      </c>
      <c r="N2708" s="23">
        <v>1328</v>
      </c>
      <c r="O2708" s="23">
        <v>66</v>
      </c>
      <c r="P2708" s="23">
        <v>1328</v>
      </c>
      <c r="Q2708" s="154">
        <v>30</v>
      </c>
      <c r="R2708" t="s">
        <v>435</v>
      </c>
    </row>
    <row r="2709" spans="1:26">
      <c r="A2709" s="153">
        <v>66</v>
      </c>
      <c r="B2709" s="23">
        <v>1328</v>
      </c>
      <c r="C2709" s="23">
        <v>66</v>
      </c>
      <c r="D2709" s="23">
        <v>1328</v>
      </c>
      <c r="E2709" s="23">
        <v>66</v>
      </c>
      <c r="F2709" s="23">
        <v>1328</v>
      </c>
      <c r="G2709" s="23">
        <v>66</v>
      </c>
      <c r="H2709" s="23">
        <v>1328</v>
      </c>
      <c r="I2709" s="23">
        <v>66</v>
      </c>
      <c r="J2709" s="23">
        <v>1328</v>
      </c>
      <c r="K2709" s="23">
        <v>66</v>
      </c>
      <c r="L2709" s="23">
        <v>1328</v>
      </c>
      <c r="M2709" s="23">
        <v>66</v>
      </c>
      <c r="N2709" s="23">
        <v>1328</v>
      </c>
      <c r="O2709" s="23">
        <v>66</v>
      </c>
      <c r="P2709" s="23">
        <v>1328</v>
      </c>
      <c r="Q2709" s="154">
        <v>31</v>
      </c>
      <c r="R2709" t="s">
        <v>436</v>
      </c>
    </row>
    <row r="2710" spans="1:26">
      <c r="A2710" s="153">
        <v>66</v>
      </c>
      <c r="B2710" s="23">
        <v>1328</v>
      </c>
      <c r="C2710" s="23">
        <v>66</v>
      </c>
      <c r="D2710" s="23">
        <v>1328</v>
      </c>
      <c r="E2710" s="23">
        <v>66</v>
      </c>
      <c r="F2710" s="23">
        <v>1328</v>
      </c>
      <c r="G2710" s="23">
        <v>66</v>
      </c>
      <c r="H2710" s="23">
        <v>1328</v>
      </c>
      <c r="I2710" s="23">
        <v>66</v>
      </c>
      <c r="J2710" s="23">
        <v>1328</v>
      </c>
      <c r="K2710" s="23">
        <v>66</v>
      </c>
      <c r="L2710" s="23">
        <v>1328</v>
      </c>
      <c r="M2710" s="23">
        <v>66</v>
      </c>
      <c r="N2710" s="23">
        <v>1328</v>
      </c>
      <c r="O2710" s="23">
        <v>66</v>
      </c>
      <c r="P2710" s="23">
        <v>1328</v>
      </c>
      <c r="Q2710" s="154">
        <v>32</v>
      </c>
      <c r="R2710" t="s">
        <v>437</v>
      </c>
    </row>
    <row r="2711" spans="1:26">
      <c r="A2711" s="153">
        <v>66</v>
      </c>
      <c r="B2711" s="23">
        <v>1328</v>
      </c>
      <c r="C2711" s="23">
        <v>66</v>
      </c>
      <c r="D2711" s="23">
        <v>1328</v>
      </c>
      <c r="E2711" s="23">
        <v>66</v>
      </c>
      <c r="F2711" s="23">
        <v>1328</v>
      </c>
      <c r="G2711" s="23">
        <v>66</v>
      </c>
      <c r="H2711" s="23">
        <v>1328</v>
      </c>
      <c r="I2711" s="23">
        <v>66</v>
      </c>
      <c r="J2711" s="23">
        <v>1328</v>
      </c>
      <c r="K2711" s="23">
        <v>66</v>
      </c>
      <c r="L2711" s="23">
        <v>1328</v>
      </c>
      <c r="M2711" s="23">
        <v>66</v>
      </c>
      <c r="N2711" s="23">
        <v>1328</v>
      </c>
      <c r="O2711" s="23">
        <v>66</v>
      </c>
      <c r="P2711" s="23">
        <v>1328</v>
      </c>
      <c r="Q2711" s="154">
        <v>33</v>
      </c>
      <c r="R2711" t="s">
        <v>438</v>
      </c>
    </row>
    <row r="2712" spans="1:26" ht="15" thickBot="1">
      <c r="A2712" s="153">
        <v>66</v>
      </c>
      <c r="B2712" s="23">
        <v>1328</v>
      </c>
      <c r="C2712" s="23">
        <v>66</v>
      </c>
      <c r="D2712" s="23">
        <v>1328</v>
      </c>
      <c r="E2712" s="23">
        <v>66</v>
      </c>
      <c r="F2712" s="23">
        <v>1328</v>
      </c>
      <c r="G2712" s="23">
        <v>66</v>
      </c>
      <c r="H2712" s="23">
        <v>1328</v>
      </c>
      <c r="I2712" s="23">
        <v>66</v>
      </c>
      <c r="J2712" s="23">
        <v>1328</v>
      </c>
      <c r="K2712" s="23">
        <v>66</v>
      </c>
      <c r="L2712" s="23">
        <v>1328</v>
      </c>
      <c r="M2712" s="23">
        <v>66</v>
      </c>
      <c r="N2712" s="23">
        <v>1328</v>
      </c>
      <c r="O2712" s="23">
        <v>66</v>
      </c>
      <c r="P2712" s="23">
        <v>1328</v>
      </c>
      <c r="Q2712" s="154">
        <v>34</v>
      </c>
      <c r="R2712" t="s">
        <v>439</v>
      </c>
    </row>
    <row r="2713" spans="1:26">
      <c r="A2713" s="153">
        <v>66</v>
      </c>
      <c r="B2713" s="23">
        <v>1328</v>
      </c>
      <c r="C2713" s="23">
        <v>66</v>
      </c>
      <c r="D2713" s="23">
        <v>1328</v>
      </c>
      <c r="E2713" s="23">
        <v>66</v>
      </c>
      <c r="F2713" s="23">
        <v>1328</v>
      </c>
      <c r="G2713" s="23">
        <v>66</v>
      </c>
      <c r="H2713" s="23">
        <v>1328</v>
      </c>
      <c r="I2713" s="23">
        <v>66</v>
      </c>
      <c r="J2713" s="23">
        <v>1328</v>
      </c>
      <c r="K2713" s="23">
        <v>66</v>
      </c>
      <c r="L2713" s="23">
        <v>1328</v>
      </c>
      <c r="M2713" s="23">
        <v>66</v>
      </c>
      <c r="N2713" s="23">
        <v>1328</v>
      </c>
      <c r="O2713" s="23">
        <v>66</v>
      </c>
      <c r="P2713" s="23">
        <v>1328</v>
      </c>
      <c r="Q2713" s="154">
        <v>35</v>
      </c>
      <c r="R2713" t="s">
        <v>440</v>
      </c>
      <c r="T2713" s="174" t="s">
        <v>1422</v>
      </c>
      <c r="U2713" s="174" t="s">
        <v>1422</v>
      </c>
      <c r="V2713" s="174" t="s">
        <v>1422</v>
      </c>
      <c r="W2713" s="174" t="s">
        <v>1422</v>
      </c>
      <c r="X2713" s="175" t="s">
        <v>1422</v>
      </c>
      <c r="Y2713" t="s">
        <v>1013</v>
      </c>
      <c r="Z2713" t="s">
        <v>1399</v>
      </c>
    </row>
    <row r="2714" spans="1:26">
      <c r="A2714" s="153">
        <v>66</v>
      </c>
      <c r="B2714" s="23">
        <v>1328</v>
      </c>
      <c r="C2714" s="23">
        <v>66</v>
      </c>
      <c r="D2714" s="23">
        <v>1328</v>
      </c>
      <c r="E2714" s="23">
        <v>66</v>
      </c>
      <c r="F2714" s="23">
        <v>1328</v>
      </c>
      <c r="G2714" s="23">
        <v>66</v>
      </c>
      <c r="H2714" s="23">
        <v>1328</v>
      </c>
      <c r="I2714" s="23">
        <v>66</v>
      </c>
      <c r="J2714" s="23">
        <v>1328</v>
      </c>
      <c r="K2714" s="23">
        <v>66</v>
      </c>
      <c r="L2714" s="23">
        <v>1328</v>
      </c>
      <c r="M2714" s="23">
        <v>66</v>
      </c>
      <c r="N2714" s="23">
        <v>1328</v>
      </c>
      <c r="O2714" s="23">
        <v>66</v>
      </c>
      <c r="P2714" s="23">
        <v>1328</v>
      </c>
      <c r="Q2714" s="154">
        <v>36</v>
      </c>
      <c r="R2714" t="s">
        <v>441</v>
      </c>
      <c r="T2714" s="149" t="s">
        <v>1422</v>
      </c>
      <c r="U2714" s="149" t="s">
        <v>1422</v>
      </c>
      <c r="V2714" s="149" t="s">
        <v>1422</v>
      </c>
      <c r="W2714" s="149" t="s">
        <v>1422</v>
      </c>
      <c r="X2714" s="165" t="s">
        <v>1422</v>
      </c>
      <c r="Y2714" t="s">
        <v>1013</v>
      </c>
    </row>
    <row r="2715" spans="1:26">
      <c r="A2715" s="153">
        <v>66</v>
      </c>
      <c r="B2715" s="23">
        <v>1328</v>
      </c>
      <c r="C2715" s="23">
        <v>66</v>
      </c>
      <c r="D2715" s="23">
        <v>1328</v>
      </c>
      <c r="E2715" s="23">
        <v>66</v>
      </c>
      <c r="F2715" s="23">
        <v>1328</v>
      </c>
      <c r="G2715" s="23">
        <v>66</v>
      </c>
      <c r="H2715" s="23">
        <v>1328</v>
      </c>
      <c r="I2715" s="23">
        <v>66</v>
      </c>
      <c r="J2715" s="23">
        <v>1328</v>
      </c>
      <c r="K2715" s="23">
        <v>66</v>
      </c>
      <c r="L2715" s="23">
        <v>1328</v>
      </c>
      <c r="M2715" s="23">
        <v>66</v>
      </c>
      <c r="N2715" s="23">
        <v>1328</v>
      </c>
      <c r="O2715" s="23">
        <v>66</v>
      </c>
      <c r="P2715" s="23">
        <v>1328</v>
      </c>
      <c r="Q2715" s="154">
        <v>37</v>
      </c>
      <c r="R2715" t="s">
        <v>442</v>
      </c>
      <c r="T2715" s="149" t="s">
        <v>1422</v>
      </c>
      <c r="U2715" s="149" t="s">
        <v>1422</v>
      </c>
      <c r="V2715" s="149" t="s">
        <v>1422</v>
      </c>
      <c r="W2715" s="149" t="s">
        <v>1422</v>
      </c>
      <c r="X2715" s="165" t="s">
        <v>1422</v>
      </c>
      <c r="Y2715" t="s">
        <v>1013</v>
      </c>
    </row>
    <row r="2716" spans="1:26" ht="15" thickBot="1">
      <c r="A2716" s="153">
        <v>66</v>
      </c>
      <c r="B2716" s="23">
        <v>1328</v>
      </c>
      <c r="C2716" s="23">
        <v>66</v>
      </c>
      <c r="D2716" s="23">
        <v>1328</v>
      </c>
      <c r="E2716" s="23">
        <v>66</v>
      </c>
      <c r="F2716" s="23">
        <v>1328</v>
      </c>
      <c r="G2716" s="23">
        <v>66</v>
      </c>
      <c r="H2716" s="23">
        <v>1328</v>
      </c>
      <c r="I2716" s="23">
        <v>66</v>
      </c>
      <c r="J2716" s="23">
        <v>1328</v>
      </c>
      <c r="K2716" s="23">
        <v>66</v>
      </c>
      <c r="L2716" s="23">
        <v>1328</v>
      </c>
      <c r="M2716" s="23">
        <v>66</v>
      </c>
      <c r="N2716" s="23">
        <v>1328</v>
      </c>
      <c r="O2716" s="23">
        <v>66</v>
      </c>
      <c r="P2716" s="23">
        <v>1328</v>
      </c>
      <c r="Q2716" s="154">
        <v>38</v>
      </c>
      <c r="R2716" t="s">
        <v>443</v>
      </c>
      <c r="T2716" s="176" t="s">
        <v>1422</v>
      </c>
      <c r="U2716" s="176" t="s">
        <v>1422</v>
      </c>
      <c r="V2716" s="176" t="s">
        <v>1422</v>
      </c>
      <c r="W2716" s="176" t="s">
        <v>1422</v>
      </c>
      <c r="X2716" s="172" t="s">
        <v>1422</v>
      </c>
      <c r="Y2716" t="s">
        <v>1013</v>
      </c>
    </row>
    <row r="2717" spans="1:26">
      <c r="A2717" s="153">
        <v>66</v>
      </c>
      <c r="B2717" s="23">
        <v>1328</v>
      </c>
      <c r="C2717" s="23">
        <v>66</v>
      </c>
      <c r="D2717" s="23">
        <v>1328</v>
      </c>
      <c r="E2717" s="23">
        <v>66</v>
      </c>
      <c r="F2717" s="23">
        <v>1328</v>
      </c>
      <c r="G2717" s="23">
        <v>66</v>
      </c>
      <c r="H2717" s="23">
        <v>1328</v>
      </c>
      <c r="I2717" s="23">
        <v>66</v>
      </c>
      <c r="J2717" s="23">
        <v>1328</v>
      </c>
      <c r="K2717" s="23">
        <v>66</v>
      </c>
      <c r="L2717" s="23">
        <v>1328</v>
      </c>
      <c r="M2717" s="23">
        <v>66</v>
      </c>
      <c r="N2717" s="23">
        <v>1328</v>
      </c>
      <c r="O2717" s="23">
        <v>66</v>
      </c>
      <c r="P2717" s="23">
        <v>1328</v>
      </c>
      <c r="Q2717" s="154">
        <v>39</v>
      </c>
      <c r="R2717" t="s">
        <v>444</v>
      </c>
      <c r="T2717" s="171"/>
      <c r="U2717" s="171"/>
      <c r="V2717" s="171"/>
      <c r="W2717" s="171"/>
      <c r="X2717" s="171"/>
    </row>
    <row r="2718" spans="1:26">
      <c r="A2718" s="153">
        <v>66</v>
      </c>
      <c r="B2718" s="23">
        <v>1328</v>
      </c>
      <c r="C2718" s="23">
        <v>66</v>
      </c>
      <c r="D2718" s="23">
        <v>1328</v>
      </c>
      <c r="E2718" s="23">
        <v>66</v>
      </c>
      <c r="F2718" s="23">
        <v>1328</v>
      </c>
      <c r="G2718" s="23">
        <v>66</v>
      </c>
      <c r="H2718" s="23">
        <v>1328</v>
      </c>
      <c r="I2718" s="23">
        <v>66</v>
      </c>
      <c r="J2718" s="23">
        <v>1328</v>
      </c>
      <c r="K2718" s="23">
        <v>66</v>
      </c>
      <c r="L2718" s="23">
        <v>1328</v>
      </c>
      <c r="M2718" s="23">
        <v>66</v>
      </c>
      <c r="N2718" s="23">
        <v>1328</v>
      </c>
      <c r="O2718" s="23">
        <v>66</v>
      </c>
      <c r="P2718" s="23">
        <v>1328</v>
      </c>
      <c r="Q2718" s="154">
        <v>40</v>
      </c>
      <c r="R2718" t="s">
        <v>445</v>
      </c>
    </row>
    <row r="2719" spans="1:26">
      <c r="A2719" s="153">
        <v>66</v>
      </c>
      <c r="B2719" s="23">
        <v>1328</v>
      </c>
      <c r="C2719" s="23">
        <v>66</v>
      </c>
      <c r="D2719" s="23">
        <v>1328</v>
      </c>
      <c r="E2719" s="23">
        <v>66</v>
      </c>
      <c r="F2719" s="23">
        <v>1328</v>
      </c>
      <c r="G2719" s="23">
        <v>66</v>
      </c>
      <c r="H2719" s="23">
        <v>1328</v>
      </c>
      <c r="I2719" s="23">
        <v>66</v>
      </c>
      <c r="J2719" s="23">
        <v>1328</v>
      </c>
      <c r="K2719" s="23">
        <v>66</v>
      </c>
      <c r="L2719" s="23">
        <v>1328</v>
      </c>
      <c r="M2719" s="23">
        <v>66</v>
      </c>
      <c r="N2719" s="23">
        <v>1328</v>
      </c>
      <c r="O2719" s="23">
        <v>66</v>
      </c>
      <c r="P2719" s="23">
        <v>1328</v>
      </c>
      <c r="Q2719" s="154">
        <v>41</v>
      </c>
      <c r="R2719" t="s">
        <v>446</v>
      </c>
    </row>
    <row r="2720" spans="1:26">
      <c r="A2720" s="153">
        <v>66</v>
      </c>
      <c r="B2720" s="23">
        <v>1328</v>
      </c>
      <c r="C2720" s="23">
        <v>66</v>
      </c>
      <c r="D2720" s="23">
        <v>1328</v>
      </c>
      <c r="E2720" s="23">
        <v>66</v>
      </c>
      <c r="F2720" s="23">
        <v>1328</v>
      </c>
      <c r="G2720" s="23">
        <v>66</v>
      </c>
      <c r="H2720" s="23">
        <v>1328</v>
      </c>
      <c r="I2720" s="23">
        <v>66</v>
      </c>
      <c r="J2720" s="23">
        <v>1328</v>
      </c>
      <c r="K2720" s="23">
        <v>66</v>
      </c>
      <c r="L2720" s="23">
        <v>1328</v>
      </c>
      <c r="M2720" s="23">
        <v>66</v>
      </c>
      <c r="N2720" s="23">
        <v>1328</v>
      </c>
      <c r="O2720" s="23">
        <v>66</v>
      </c>
      <c r="P2720" s="23">
        <v>1328</v>
      </c>
      <c r="Q2720" s="154">
        <v>42</v>
      </c>
      <c r="R2720" t="s">
        <v>447</v>
      </c>
    </row>
    <row r="2721" spans="1:18">
      <c r="A2721" s="153">
        <v>66</v>
      </c>
      <c r="B2721" s="23">
        <v>1328</v>
      </c>
      <c r="C2721" s="23">
        <v>66</v>
      </c>
      <c r="D2721" s="23">
        <v>1328</v>
      </c>
      <c r="E2721" s="23">
        <v>66</v>
      </c>
      <c r="F2721" s="23">
        <v>1328</v>
      </c>
      <c r="G2721" s="23">
        <v>66</v>
      </c>
      <c r="H2721" s="23">
        <v>1328</v>
      </c>
      <c r="I2721" s="23">
        <v>66</v>
      </c>
      <c r="J2721" s="23">
        <v>1328</v>
      </c>
      <c r="K2721" s="23">
        <v>66</v>
      </c>
      <c r="L2721" s="23">
        <v>1328</v>
      </c>
      <c r="M2721" s="23">
        <v>66</v>
      </c>
      <c r="N2721" s="23">
        <v>1328</v>
      </c>
      <c r="O2721" s="23">
        <v>66</v>
      </c>
      <c r="P2721" s="23">
        <v>1328</v>
      </c>
      <c r="Q2721" s="154">
        <v>43</v>
      </c>
      <c r="R2721" t="s">
        <v>448</v>
      </c>
    </row>
    <row r="2722" spans="1:18">
      <c r="A2722" s="153">
        <v>66</v>
      </c>
      <c r="B2722" s="23">
        <v>1328</v>
      </c>
      <c r="C2722" s="23">
        <v>66</v>
      </c>
      <c r="D2722" s="23">
        <v>1328</v>
      </c>
      <c r="E2722" s="23">
        <v>66</v>
      </c>
      <c r="F2722" s="23">
        <v>1328</v>
      </c>
      <c r="G2722" s="23">
        <v>66</v>
      </c>
      <c r="H2722" s="23">
        <v>1328</v>
      </c>
      <c r="I2722" s="23">
        <v>66</v>
      </c>
      <c r="J2722" s="23">
        <v>1328</v>
      </c>
      <c r="K2722" s="23">
        <v>66</v>
      </c>
      <c r="L2722" s="23">
        <v>1328</v>
      </c>
      <c r="M2722" s="23">
        <v>66</v>
      </c>
      <c r="N2722" s="23">
        <v>1328</v>
      </c>
      <c r="O2722" s="23">
        <v>66</v>
      </c>
      <c r="P2722" s="23">
        <v>1328</v>
      </c>
      <c r="Q2722" s="154">
        <v>44</v>
      </c>
      <c r="R2722" t="s">
        <v>449</v>
      </c>
    </row>
    <row r="2723" spans="1:18">
      <c r="A2723" s="153">
        <v>66</v>
      </c>
      <c r="B2723" s="23">
        <v>1328</v>
      </c>
      <c r="C2723" s="23">
        <v>66</v>
      </c>
      <c r="D2723" s="23">
        <v>1328</v>
      </c>
      <c r="E2723" s="23">
        <v>66</v>
      </c>
      <c r="F2723" s="23">
        <v>1328</v>
      </c>
      <c r="G2723" s="23">
        <v>66</v>
      </c>
      <c r="H2723" s="23">
        <v>1328</v>
      </c>
      <c r="I2723" s="23">
        <v>66</v>
      </c>
      <c r="J2723" s="23">
        <v>1328</v>
      </c>
      <c r="K2723" s="23">
        <v>66</v>
      </c>
      <c r="L2723" s="23">
        <v>1328</v>
      </c>
      <c r="M2723" s="23">
        <v>66</v>
      </c>
      <c r="N2723" s="23">
        <v>1328</v>
      </c>
      <c r="O2723" s="23">
        <v>66</v>
      </c>
      <c r="P2723" s="23">
        <v>1328</v>
      </c>
      <c r="Q2723" s="154">
        <v>45</v>
      </c>
      <c r="R2723" t="s">
        <v>450</v>
      </c>
    </row>
    <row r="2724" spans="1:18">
      <c r="A2724" s="153">
        <v>66</v>
      </c>
      <c r="B2724" s="23">
        <v>1328</v>
      </c>
      <c r="C2724" s="23">
        <v>66</v>
      </c>
      <c r="D2724" s="23">
        <v>1328</v>
      </c>
      <c r="E2724" s="23">
        <v>66</v>
      </c>
      <c r="F2724" s="23">
        <v>1328</v>
      </c>
      <c r="G2724" s="23">
        <v>66</v>
      </c>
      <c r="H2724" s="23">
        <v>1328</v>
      </c>
      <c r="I2724" s="23">
        <v>66</v>
      </c>
      <c r="J2724" s="23">
        <v>1328</v>
      </c>
      <c r="K2724" s="23">
        <v>66</v>
      </c>
      <c r="L2724" s="23">
        <v>1328</v>
      </c>
      <c r="M2724" s="23">
        <v>66</v>
      </c>
      <c r="N2724" s="23">
        <v>1328</v>
      </c>
      <c r="O2724" s="23">
        <v>66</v>
      </c>
      <c r="P2724" s="23">
        <v>1328</v>
      </c>
      <c r="Q2724" s="154">
        <v>46</v>
      </c>
      <c r="R2724" t="s">
        <v>451</v>
      </c>
    </row>
    <row r="2725" spans="1:18">
      <c r="A2725" s="153">
        <v>66</v>
      </c>
      <c r="B2725" s="23">
        <v>1328</v>
      </c>
      <c r="C2725" s="23">
        <v>66</v>
      </c>
      <c r="D2725" s="23">
        <v>1328</v>
      </c>
      <c r="E2725" s="23">
        <v>66</v>
      </c>
      <c r="F2725" s="23">
        <v>1328</v>
      </c>
      <c r="G2725" s="23">
        <v>66</v>
      </c>
      <c r="H2725" s="23">
        <v>1328</v>
      </c>
      <c r="I2725" s="23">
        <v>66</v>
      </c>
      <c r="J2725" s="23">
        <v>1328</v>
      </c>
      <c r="K2725" s="23">
        <v>66</v>
      </c>
      <c r="L2725" s="23">
        <v>1328</v>
      </c>
      <c r="M2725" s="23">
        <v>66</v>
      </c>
      <c r="N2725" s="23">
        <v>1328</v>
      </c>
      <c r="O2725" s="23">
        <v>66</v>
      </c>
      <c r="P2725" s="23">
        <v>1328</v>
      </c>
      <c r="Q2725" s="154">
        <v>47</v>
      </c>
      <c r="R2725" t="s">
        <v>452</v>
      </c>
    </row>
    <row r="2726" spans="1:18">
      <c r="A2726" s="153">
        <v>66</v>
      </c>
      <c r="B2726" s="23">
        <v>1328</v>
      </c>
      <c r="C2726" s="23">
        <v>66</v>
      </c>
      <c r="D2726" s="23">
        <v>1328</v>
      </c>
      <c r="E2726" s="23">
        <v>66</v>
      </c>
      <c r="F2726" s="23">
        <v>1328</v>
      </c>
      <c r="G2726" s="23">
        <v>66</v>
      </c>
      <c r="H2726" s="23">
        <v>1328</v>
      </c>
      <c r="I2726" s="23">
        <v>66</v>
      </c>
      <c r="J2726" s="23">
        <v>1328</v>
      </c>
      <c r="K2726" s="23">
        <v>66</v>
      </c>
      <c r="L2726" s="23">
        <v>1328</v>
      </c>
      <c r="M2726" s="23">
        <v>66</v>
      </c>
      <c r="N2726" s="23">
        <v>1328</v>
      </c>
      <c r="O2726" s="23">
        <v>66</v>
      </c>
      <c r="P2726" s="23">
        <v>1328</v>
      </c>
      <c r="Q2726" s="154">
        <v>48</v>
      </c>
      <c r="R2726" t="s">
        <v>453</v>
      </c>
    </row>
    <row r="2727" spans="1:18">
      <c r="A2727" s="153">
        <v>66</v>
      </c>
      <c r="B2727" s="23">
        <v>1328</v>
      </c>
      <c r="C2727" s="23">
        <v>66</v>
      </c>
      <c r="D2727" s="23">
        <v>1328</v>
      </c>
      <c r="E2727" s="23">
        <v>66</v>
      </c>
      <c r="F2727" s="23">
        <v>1328</v>
      </c>
      <c r="G2727" s="23">
        <v>66</v>
      </c>
      <c r="H2727" s="23">
        <v>1328</v>
      </c>
      <c r="I2727" s="23">
        <v>66</v>
      </c>
      <c r="J2727" s="23">
        <v>1328</v>
      </c>
      <c r="K2727" s="23">
        <v>66</v>
      </c>
      <c r="L2727" s="23">
        <v>1328</v>
      </c>
      <c r="M2727" s="23">
        <v>66</v>
      </c>
      <c r="N2727" s="23">
        <v>1328</v>
      </c>
      <c r="O2727" s="23">
        <v>66</v>
      </c>
      <c r="P2727" s="23">
        <v>1328</v>
      </c>
      <c r="Q2727" s="154">
        <v>49</v>
      </c>
      <c r="R2727" t="s">
        <v>454</v>
      </c>
    </row>
    <row r="2728" spans="1:18">
      <c r="A2728" s="153">
        <v>66</v>
      </c>
      <c r="B2728" s="23">
        <v>1328</v>
      </c>
      <c r="C2728" s="23">
        <v>66</v>
      </c>
      <c r="D2728" s="23">
        <v>1328</v>
      </c>
      <c r="E2728" s="23">
        <v>66</v>
      </c>
      <c r="F2728" s="23">
        <v>1328</v>
      </c>
      <c r="G2728" s="23">
        <v>66</v>
      </c>
      <c r="H2728" s="23">
        <v>1328</v>
      </c>
      <c r="I2728" s="23">
        <v>66</v>
      </c>
      <c r="J2728" s="23">
        <v>1328</v>
      </c>
      <c r="K2728" s="23">
        <v>66</v>
      </c>
      <c r="L2728" s="23">
        <v>1328</v>
      </c>
      <c r="M2728" s="23">
        <v>66</v>
      </c>
      <c r="N2728" s="23">
        <v>1328</v>
      </c>
      <c r="O2728" s="23">
        <v>66</v>
      </c>
      <c r="P2728" s="23">
        <v>1328</v>
      </c>
      <c r="Q2728" s="154">
        <v>50</v>
      </c>
      <c r="R2728" t="s">
        <v>455</v>
      </c>
    </row>
    <row r="2729" spans="1:18">
      <c r="A2729" s="153">
        <v>66</v>
      </c>
      <c r="B2729" s="23">
        <v>1328</v>
      </c>
      <c r="C2729" s="23">
        <v>66</v>
      </c>
      <c r="D2729" s="23">
        <v>1328</v>
      </c>
      <c r="E2729" s="23">
        <v>66</v>
      </c>
      <c r="F2729" s="23">
        <v>1328</v>
      </c>
      <c r="G2729" s="23">
        <v>66</v>
      </c>
      <c r="H2729" s="23">
        <v>1328</v>
      </c>
      <c r="I2729" s="23">
        <v>66</v>
      </c>
      <c r="J2729" s="23">
        <v>1328</v>
      </c>
      <c r="K2729" s="23">
        <v>66</v>
      </c>
      <c r="L2729" s="23">
        <v>1328</v>
      </c>
      <c r="M2729" s="23">
        <v>66</v>
      </c>
      <c r="N2729" s="23">
        <v>1328</v>
      </c>
      <c r="O2729" s="23">
        <v>66</v>
      </c>
      <c r="P2729" s="23">
        <v>1328</v>
      </c>
      <c r="Q2729" s="154">
        <v>51</v>
      </c>
      <c r="R2729" t="s">
        <v>456</v>
      </c>
    </row>
    <row r="2730" spans="1:18">
      <c r="A2730" s="153">
        <v>66</v>
      </c>
      <c r="B2730" s="23">
        <v>1328</v>
      </c>
      <c r="C2730" s="23">
        <v>66</v>
      </c>
      <c r="D2730" s="23">
        <v>1328</v>
      </c>
      <c r="E2730" s="23">
        <v>66</v>
      </c>
      <c r="F2730" s="23">
        <v>1328</v>
      </c>
      <c r="G2730" s="23">
        <v>66</v>
      </c>
      <c r="H2730" s="23">
        <v>1328</v>
      </c>
      <c r="I2730" s="23">
        <v>66</v>
      </c>
      <c r="J2730" s="23">
        <v>1328</v>
      </c>
      <c r="K2730" s="23">
        <v>66</v>
      </c>
      <c r="L2730" s="23">
        <v>1328</v>
      </c>
      <c r="M2730" s="23">
        <v>66</v>
      </c>
      <c r="N2730" s="23">
        <v>1328</v>
      </c>
      <c r="O2730" s="23">
        <v>66</v>
      </c>
      <c r="P2730" s="23">
        <v>1328</v>
      </c>
      <c r="Q2730" s="154">
        <v>52</v>
      </c>
      <c r="R2730" t="s">
        <v>457</v>
      </c>
    </row>
    <row r="2731" spans="1:18">
      <c r="A2731" s="153">
        <v>66</v>
      </c>
      <c r="B2731" s="23">
        <v>1328</v>
      </c>
      <c r="C2731" s="23">
        <v>66</v>
      </c>
      <c r="D2731" s="23">
        <v>1328</v>
      </c>
      <c r="E2731" s="23">
        <v>66</v>
      </c>
      <c r="F2731" s="23">
        <v>1328</v>
      </c>
      <c r="G2731" s="23">
        <v>66</v>
      </c>
      <c r="H2731" s="23">
        <v>1328</v>
      </c>
      <c r="I2731" s="23">
        <v>66</v>
      </c>
      <c r="J2731" s="23">
        <v>1328</v>
      </c>
      <c r="K2731" s="23">
        <v>66</v>
      </c>
      <c r="L2731" s="23">
        <v>1328</v>
      </c>
      <c r="M2731" s="23">
        <v>66</v>
      </c>
      <c r="N2731" s="23">
        <v>1328</v>
      </c>
      <c r="O2731" s="23">
        <v>66</v>
      </c>
      <c r="P2731" s="23">
        <v>1328</v>
      </c>
      <c r="Q2731" s="154">
        <v>53</v>
      </c>
      <c r="R2731" t="s">
        <v>458</v>
      </c>
    </row>
    <row r="2732" spans="1:18">
      <c r="A2732" s="153">
        <v>66</v>
      </c>
      <c r="B2732" s="23">
        <v>1328</v>
      </c>
      <c r="C2732" s="23">
        <v>66</v>
      </c>
      <c r="D2732" s="23">
        <v>1328</v>
      </c>
      <c r="E2732" s="23">
        <v>66</v>
      </c>
      <c r="F2732" s="23">
        <v>1328</v>
      </c>
      <c r="G2732" s="23">
        <v>66</v>
      </c>
      <c r="H2732" s="23">
        <v>1328</v>
      </c>
      <c r="I2732" s="23">
        <v>66</v>
      </c>
      <c r="J2732" s="23">
        <v>1328</v>
      </c>
      <c r="K2732" s="23">
        <v>66</v>
      </c>
      <c r="L2732" s="23">
        <v>1328</v>
      </c>
      <c r="M2732" s="23">
        <v>66</v>
      </c>
      <c r="N2732" s="23">
        <v>1328</v>
      </c>
      <c r="O2732" s="23">
        <v>66</v>
      </c>
      <c r="P2732" s="23">
        <v>1328</v>
      </c>
      <c r="Q2732" s="154">
        <v>54</v>
      </c>
      <c r="R2732" t="s">
        <v>459</v>
      </c>
    </row>
    <row r="2733" spans="1:18">
      <c r="A2733" s="153">
        <v>66</v>
      </c>
      <c r="B2733" s="23">
        <v>1328</v>
      </c>
      <c r="C2733" s="23">
        <v>66</v>
      </c>
      <c r="D2733" s="23">
        <v>1328</v>
      </c>
      <c r="E2733" s="23">
        <v>66</v>
      </c>
      <c r="F2733" s="23">
        <v>1328</v>
      </c>
      <c r="G2733" s="23">
        <v>66</v>
      </c>
      <c r="H2733" s="23">
        <v>1328</v>
      </c>
      <c r="I2733" s="23">
        <v>66</v>
      </c>
      <c r="J2733" s="23">
        <v>1328</v>
      </c>
      <c r="K2733" s="23">
        <v>66</v>
      </c>
      <c r="L2733" s="23">
        <v>1328</v>
      </c>
      <c r="M2733" s="23">
        <v>66</v>
      </c>
      <c r="N2733" s="23">
        <v>1328</v>
      </c>
      <c r="O2733" s="23">
        <v>66</v>
      </c>
      <c r="P2733" s="23">
        <v>1328</v>
      </c>
      <c r="Q2733" s="154">
        <v>55</v>
      </c>
      <c r="R2733" t="s">
        <v>460</v>
      </c>
    </row>
    <row r="2734" spans="1:18">
      <c r="A2734" s="153">
        <v>66</v>
      </c>
      <c r="B2734" s="23">
        <v>1328</v>
      </c>
      <c r="C2734" s="23">
        <v>66</v>
      </c>
      <c r="D2734" s="23">
        <v>1328</v>
      </c>
      <c r="E2734" s="23">
        <v>66</v>
      </c>
      <c r="F2734" s="23">
        <v>1328</v>
      </c>
      <c r="G2734" s="23">
        <v>66</v>
      </c>
      <c r="H2734" s="23">
        <v>1328</v>
      </c>
      <c r="I2734" s="23">
        <v>66</v>
      </c>
      <c r="J2734" s="23">
        <v>1328</v>
      </c>
      <c r="K2734" s="23">
        <v>66</v>
      </c>
      <c r="L2734" s="23">
        <v>1328</v>
      </c>
      <c r="M2734" s="23">
        <v>66</v>
      </c>
      <c r="N2734" s="23">
        <v>1328</v>
      </c>
      <c r="O2734" s="23">
        <v>66</v>
      </c>
      <c r="P2734" s="23">
        <v>1328</v>
      </c>
      <c r="Q2734" s="154">
        <v>56</v>
      </c>
      <c r="R2734" t="s">
        <v>461</v>
      </c>
    </row>
    <row r="2735" spans="1:18">
      <c r="A2735" s="153">
        <v>66</v>
      </c>
      <c r="B2735" s="23">
        <v>1328</v>
      </c>
      <c r="C2735" s="23">
        <v>66</v>
      </c>
      <c r="D2735" s="23">
        <v>1328</v>
      </c>
      <c r="E2735" s="23">
        <v>66</v>
      </c>
      <c r="F2735" s="23">
        <v>1328</v>
      </c>
      <c r="G2735" s="23">
        <v>66</v>
      </c>
      <c r="H2735" s="23">
        <v>1328</v>
      </c>
      <c r="I2735" s="23">
        <v>66</v>
      </c>
      <c r="J2735" s="23">
        <v>1328</v>
      </c>
      <c r="K2735" s="23">
        <v>66</v>
      </c>
      <c r="L2735" s="23">
        <v>1328</v>
      </c>
      <c r="M2735" s="23">
        <v>66</v>
      </c>
      <c r="N2735" s="23">
        <v>1328</v>
      </c>
      <c r="O2735" s="23">
        <v>66</v>
      </c>
      <c r="P2735" s="23">
        <v>1328</v>
      </c>
      <c r="Q2735" s="154">
        <v>57</v>
      </c>
      <c r="R2735" t="s">
        <v>462</v>
      </c>
    </row>
    <row r="2736" spans="1:18">
      <c r="A2736" s="153">
        <v>66</v>
      </c>
      <c r="B2736" s="23">
        <v>1328</v>
      </c>
      <c r="C2736" s="23">
        <v>66</v>
      </c>
      <c r="D2736" s="23">
        <v>1328</v>
      </c>
      <c r="E2736" s="23">
        <v>66</v>
      </c>
      <c r="F2736" s="23">
        <v>1328</v>
      </c>
      <c r="G2736" s="23">
        <v>66</v>
      </c>
      <c r="H2736" s="23">
        <v>1328</v>
      </c>
      <c r="I2736" s="23">
        <v>66</v>
      </c>
      <c r="J2736" s="23">
        <v>1328</v>
      </c>
      <c r="K2736" s="23">
        <v>66</v>
      </c>
      <c r="L2736" s="23">
        <v>1328</v>
      </c>
      <c r="M2736" s="23">
        <v>66</v>
      </c>
      <c r="N2736" s="23">
        <v>1328</v>
      </c>
      <c r="O2736" s="23">
        <v>66</v>
      </c>
      <c r="P2736" s="23">
        <v>1328</v>
      </c>
      <c r="Q2736" s="154">
        <v>58</v>
      </c>
      <c r="R2736" t="s">
        <v>463</v>
      </c>
    </row>
    <row r="2737" spans="1:19" s="3" customFormat="1">
      <c r="A2737" s="153">
        <v>66</v>
      </c>
      <c r="B2737" s="23">
        <v>1328</v>
      </c>
      <c r="C2737" s="23">
        <v>66</v>
      </c>
      <c r="D2737" s="23">
        <v>1328</v>
      </c>
      <c r="E2737" s="23">
        <v>66</v>
      </c>
      <c r="F2737" s="23">
        <v>1328</v>
      </c>
      <c r="G2737" s="23">
        <v>66</v>
      </c>
      <c r="H2737" s="23">
        <v>1328</v>
      </c>
      <c r="I2737" s="23">
        <v>66</v>
      </c>
      <c r="J2737" s="23">
        <v>1328</v>
      </c>
      <c r="K2737" s="23">
        <v>66</v>
      </c>
      <c r="L2737" s="23">
        <v>1328</v>
      </c>
      <c r="M2737" s="23">
        <v>66</v>
      </c>
      <c r="N2737" s="23">
        <v>1328</v>
      </c>
      <c r="O2737" s="23">
        <v>66</v>
      </c>
      <c r="P2737" s="23">
        <v>1328</v>
      </c>
      <c r="Q2737" s="154">
        <v>59</v>
      </c>
      <c r="R2737" t="s">
        <v>464</v>
      </c>
      <c r="S2737"/>
    </row>
    <row r="2738" spans="1:19" s="3" customFormat="1">
      <c r="A2738" s="153">
        <v>66</v>
      </c>
      <c r="B2738" s="23">
        <v>1328</v>
      </c>
      <c r="C2738" s="23">
        <v>66</v>
      </c>
      <c r="D2738" s="23">
        <v>1328</v>
      </c>
      <c r="E2738" s="23">
        <v>66</v>
      </c>
      <c r="F2738" s="23">
        <v>1328</v>
      </c>
      <c r="G2738" s="23">
        <v>66</v>
      </c>
      <c r="H2738" s="23">
        <v>1328</v>
      </c>
      <c r="I2738" s="23">
        <v>66</v>
      </c>
      <c r="J2738" s="23">
        <v>1328</v>
      </c>
      <c r="K2738" s="23">
        <v>66</v>
      </c>
      <c r="L2738" s="23">
        <v>1328</v>
      </c>
      <c r="M2738" s="23">
        <v>66</v>
      </c>
      <c r="N2738" s="23">
        <v>1328</v>
      </c>
      <c r="O2738" s="23">
        <v>66</v>
      </c>
      <c r="P2738" s="23">
        <v>1328</v>
      </c>
      <c r="Q2738" s="154">
        <v>60</v>
      </c>
      <c r="R2738" t="s">
        <v>465</v>
      </c>
      <c r="S2738"/>
    </row>
    <row r="2739" spans="1:19" s="3" customFormat="1">
      <c r="A2739" s="153">
        <v>66</v>
      </c>
      <c r="B2739" s="23">
        <v>1328</v>
      </c>
      <c r="C2739" s="23">
        <v>66</v>
      </c>
      <c r="D2739" s="23">
        <v>1328</v>
      </c>
      <c r="E2739" s="23">
        <v>66</v>
      </c>
      <c r="F2739" s="23">
        <v>1328</v>
      </c>
      <c r="G2739" s="23">
        <v>66</v>
      </c>
      <c r="H2739" s="23">
        <v>1328</v>
      </c>
      <c r="I2739" s="23">
        <v>66</v>
      </c>
      <c r="J2739" s="23">
        <v>1328</v>
      </c>
      <c r="K2739" s="23">
        <v>66</v>
      </c>
      <c r="L2739" s="23">
        <v>1328</v>
      </c>
      <c r="M2739" s="23">
        <v>66</v>
      </c>
      <c r="N2739" s="23">
        <v>1328</v>
      </c>
      <c r="O2739" s="23">
        <v>66</v>
      </c>
      <c r="P2739" s="23">
        <v>1328</v>
      </c>
      <c r="Q2739" s="154">
        <v>61</v>
      </c>
      <c r="R2739" t="s">
        <v>466</v>
      </c>
      <c r="S2739"/>
    </row>
    <row r="2740" spans="1:19" s="3" customFormat="1">
      <c r="A2740" s="153">
        <v>66</v>
      </c>
      <c r="B2740" s="23">
        <v>1328</v>
      </c>
      <c r="C2740" s="23">
        <v>66</v>
      </c>
      <c r="D2740" s="23">
        <v>1328</v>
      </c>
      <c r="E2740" s="23">
        <v>66</v>
      </c>
      <c r="F2740" s="23">
        <v>1328</v>
      </c>
      <c r="G2740" s="23">
        <v>66</v>
      </c>
      <c r="H2740" s="23">
        <v>1328</v>
      </c>
      <c r="I2740" s="23">
        <v>66</v>
      </c>
      <c r="J2740" s="23">
        <v>1328</v>
      </c>
      <c r="K2740" s="23">
        <v>66</v>
      </c>
      <c r="L2740" s="23">
        <v>1328</v>
      </c>
      <c r="M2740" s="23">
        <v>66</v>
      </c>
      <c r="N2740" s="23">
        <v>1328</v>
      </c>
      <c r="O2740" s="23">
        <v>66</v>
      </c>
      <c r="P2740" s="23">
        <v>1328</v>
      </c>
      <c r="Q2740" s="154">
        <v>62</v>
      </c>
      <c r="R2740" t="s">
        <v>467</v>
      </c>
      <c r="S2740"/>
    </row>
    <row r="2741" spans="1:19" s="3" customFormat="1">
      <c r="A2741" s="153">
        <v>66</v>
      </c>
      <c r="B2741" s="23">
        <v>1328</v>
      </c>
      <c r="C2741" s="23">
        <v>66</v>
      </c>
      <c r="D2741" s="23">
        <v>1328</v>
      </c>
      <c r="E2741" s="23">
        <v>66</v>
      </c>
      <c r="F2741" s="23">
        <v>1328</v>
      </c>
      <c r="G2741" s="23">
        <v>66</v>
      </c>
      <c r="H2741" s="23">
        <v>1328</v>
      </c>
      <c r="I2741" s="23">
        <v>66</v>
      </c>
      <c r="J2741" s="23">
        <v>1328</v>
      </c>
      <c r="K2741" s="23">
        <v>66</v>
      </c>
      <c r="L2741" s="23">
        <v>1328</v>
      </c>
      <c r="M2741" s="23">
        <v>66</v>
      </c>
      <c r="N2741" s="23">
        <v>1328</v>
      </c>
      <c r="O2741" s="23">
        <v>66</v>
      </c>
      <c r="P2741" s="23">
        <v>1328</v>
      </c>
      <c r="Q2741" s="154">
        <v>63</v>
      </c>
      <c r="R2741" t="s">
        <v>468</v>
      </c>
      <c r="S2741"/>
    </row>
    <row r="2742" spans="1:19" s="3" customFormat="1">
      <c r="A2742" s="153">
        <v>66</v>
      </c>
      <c r="B2742" s="23">
        <v>1328</v>
      </c>
      <c r="C2742" s="23">
        <v>66</v>
      </c>
      <c r="D2742" s="23">
        <v>1328</v>
      </c>
      <c r="E2742" s="23">
        <v>66</v>
      </c>
      <c r="F2742" s="23">
        <v>1328</v>
      </c>
      <c r="G2742" s="23">
        <v>66</v>
      </c>
      <c r="H2742" s="23">
        <v>1328</v>
      </c>
      <c r="I2742" s="23">
        <v>66</v>
      </c>
      <c r="J2742" s="23">
        <v>1328</v>
      </c>
      <c r="K2742" s="23">
        <v>66</v>
      </c>
      <c r="L2742" s="23">
        <v>1328</v>
      </c>
      <c r="M2742" s="23">
        <v>66</v>
      </c>
      <c r="N2742" s="23">
        <v>1328</v>
      </c>
      <c r="O2742" s="23">
        <v>66</v>
      </c>
      <c r="P2742" s="23">
        <v>1328</v>
      </c>
      <c r="Q2742" s="154">
        <v>64</v>
      </c>
      <c r="R2742" t="s">
        <v>469</v>
      </c>
      <c r="S2742"/>
    </row>
    <row r="2743" spans="1:19" s="3" customFormat="1">
      <c r="A2743" s="153">
        <v>66</v>
      </c>
      <c r="B2743" s="23">
        <v>1328</v>
      </c>
      <c r="C2743" s="23">
        <v>66</v>
      </c>
      <c r="D2743" s="23">
        <v>1328</v>
      </c>
      <c r="E2743" s="23">
        <v>66</v>
      </c>
      <c r="F2743" s="23">
        <v>1328</v>
      </c>
      <c r="G2743" s="23">
        <v>66</v>
      </c>
      <c r="H2743" s="23">
        <v>1328</v>
      </c>
      <c r="I2743" s="23">
        <v>66</v>
      </c>
      <c r="J2743" s="23">
        <v>1328</v>
      </c>
      <c r="K2743" s="23">
        <v>66</v>
      </c>
      <c r="L2743" s="23">
        <v>1328</v>
      </c>
      <c r="M2743" s="23">
        <v>66</v>
      </c>
      <c r="N2743" s="23">
        <v>1328</v>
      </c>
      <c r="O2743" s="23">
        <v>66</v>
      </c>
      <c r="P2743" s="23">
        <v>1328</v>
      </c>
      <c r="Q2743" s="154">
        <v>65</v>
      </c>
      <c r="R2743" t="s">
        <v>470</v>
      </c>
      <c r="S2743"/>
    </row>
    <row r="2744" spans="1:19" s="3" customFormat="1">
      <c r="A2744" s="153">
        <v>66</v>
      </c>
      <c r="B2744" s="23">
        <v>1328</v>
      </c>
      <c r="C2744" s="23">
        <v>66</v>
      </c>
      <c r="D2744" s="23">
        <v>1328</v>
      </c>
      <c r="E2744" s="23">
        <v>66</v>
      </c>
      <c r="F2744" s="23">
        <v>1328</v>
      </c>
      <c r="G2744" s="23">
        <v>66</v>
      </c>
      <c r="H2744" s="23">
        <v>1328</v>
      </c>
      <c r="I2744" s="23">
        <v>66</v>
      </c>
      <c r="J2744" s="23">
        <v>1328</v>
      </c>
      <c r="K2744" s="23">
        <v>66</v>
      </c>
      <c r="L2744" s="23">
        <v>1328</v>
      </c>
      <c r="M2744" s="23">
        <v>66</v>
      </c>
      <c r="N2744" s="23">
        <v>1328</v>
      </c>
      <c r="O2744" s="23">
        <v>66</v>
      </c>
      <c r="P2744" s="23">
        <v>1328</v>
      </c>
      <c r="Q2744" s="154">
        <v>66</v>
      </c>
      <c r="R2744" t="s">
        <v>471</v>
      </c>
      <c r="S2744"/>
    </row>
    <row r="2745" spans="1:19" s="3" customFormat="1">
      <c r="A2745" s="153">
        <v>66</v>
      </c>
      <c r="B2745" s="23">
        <v>1328</v>
      </c>
      <c r="C2745" s="23">
        <v>66</v>
      </c>
      <c r="D2745" s="23">
        <v>1328</v>
      </c>
      <c r="E2745" s="23">
        <v>66</v>
      </c>
      <c r="F2745" s="23">
        <v>1328</v>
      </c>
      <c r="G2745" s="23">
        <v>66</v>
      </c>
      <c r="H2745" s="23">
        <v>1328</v>
      </c>
      <c r="I2745" s="23">
        <v>66</v>
      </c>
      <c r="J2745" s="23">
        <v>1328</v>
      </c>
      <c r="K2745" s="23">
        <v>66</v>
      </c>
      <c r="L2745" s="23">
        <v>1328</v>
      </c>
      <c r="M2745" s="23">
        <v>66</v>
      </c>
      <c r="N2745" s="23">
        <v>1328</v>
      </c>
      <c r="O2745" s="23">
        <v>66</v>
      </c>
      <c r="P2745" s="23">
        <v>1328</v>
      </c>
      <c r="Q2745" s="154">
        <v>67</v>
      </c>
      <c r="R2745" t="s">
        <v>472</v>
      </c>
      <c r="S2745"/>
    </row>
    <row r="2746" spans="1:19" s="3" customFormat="1">
      <c r="A2746" s="153">
        <v>66</v>
      </c>
      <c r="B2746" s="23">
        <v>1328</v>
      </c>
      <c r="C2746" s="23">
        <v>66</v>
      </c>
      <c r="D2746" s="23">
        <v>1328</v>
      </c>
      <c r="E2746" s="23">
        <v>66</v>
      </c>
      <c r="F2746" s="23">
        <v>1328</v>
      </c>
      <c r="G2746" s="23">
        <v>66</v>
      </c>
      <c r="H2746" s="23">
        <v>1328</v>
      </c>
      <c r="I2746" s="23">
        <v>66</v>
      </c>
      <c r="J2746" s="23">
        <v>1328</v>
      </c>
      <c r="K2746" s="23">
        <v>66</v>
      </c>
      <c r="L2746" s="23">
        <v>1328</v>
      </c>
      <c r="M2746" s="23">
        <v>66</v>
      </c>
      <c r="N2746" s="23">
        <v>1328</v>
      </c>
      <c r="O2746" s="23">
        <v>66</v>
      </c>
      <c r="P2746" s="23">
        <v>1328</v>
      </c>
      <c r="Q2746" s="154">
        <v>68</v>
      </c>
      <c r="R2746" t="s">
        <v>473</v>
      </c>
      <c r="S2746"/>
    </row>
    <row r="2747" spans="1:19" s="3" customFormat="1">
      <c r="A2747" s="153">
        <v>66</v>
      </c>
      <c r="B2747" s="23">
        <v>1328</v>
      </c>
      <c r="C2747" s="23">
        <v>66</v>
      </c>
      <c r="D2747" s="23">
        <v>1328</v>
      </c>
      <c r="E2747" s="23">
        <v>66</v>
      </c>
      <c r="F2747" s="23">
        <v>1328</v>
      </c>
      <c r="G2747" s="23">
        <v>66</v>
      </c>
      <c r="H2747" s="23">
        <v>1328</v>
      </c>
      <c r="I2747" s="23">
        <v>66</v>
      </c>
      <c r="J2747" s="23">
        <v>1328</v>
      </c>
      <c r="K2747" s="23">
        <v>66</v>
      </c>
      <c r="L2747" s="23">
        <v>1328</v>
      </c>
      <c r="M2747" s="23">
        <v>66</v>
      </c>
      <c r="N2747" s="23">
        <v>1328</v>
      </c>
      <c r="O2747" s="23">
        <v>66</v>
      </c>
      <c r="P2747" s="23">
        <v>1328</v>
      </c>
      <c r="Q2747" s="154">
        <v>69</v>
      </c>
      <c r="R2747" t="s">
        <v>474</v>
      </c>
      <c r="S2747"/>
    </row>
    <row r="2748" spans="1:19" s="3" customFormat="1">
      <c r="A2748" s="153">
        <v>66</v>
      </c>
      <c r="B2748" s="23">
        <v>1328</v>
      </c>
      <c r="C2748" s="23">
        <v>66</v>
      </c>
      <c r="D2748" s="23">
        <v>1328</v>
      </c>
      <c r="E2748" s="23">
        <v>66</v>
      </c>
      <c r="F2748" s="23">
        <v>1328</v>
      </c>
      <c r="G2748" s="23">
        <v>66</v>
      </c>
      <c r="H2748" s="23">
        <v>1328</v>
      </c>
      <c r="I2748" s="23">
        <v>66</v>
      </c>
      <c r="J2748" s="23">
        <v>1328</v>
      </c>
      <c r="K2748" s="23">
        <v>66</v>
      </c>
      <c r="L2748" s="23">
        <v>1328</v>
      </c>
      <c r="M2748" s="23">
        <v>66</v>
      </c>
      <c r="N2748" s="23">
        <v>1328</v>
      </c>
      <c r="O2748" s="23">
        <v>66</v>
      </c>
      <c r="P2748" s="23">
        <v>1328</v>
      </c>
      <c r="Q2748" s="154">
        <v>70</v>
      </c>
      <c r="R2748" t="s">
        <v>475</v>
      </c>
      <c r="S2748"/>
    </row>
    <row r="2749" spans="1:19" s="3" customFormat="1">
      <c r="A2749" s="153">
        <v>66</v>
      </c>
      <c r="B2749" s="23">
        <v>1328</v>
      </c>
      <c r="C2749" s="23">
        <v>66</v>
      </c>
      <c r="D2749" s="23">
        <v>1328</v>
      </c>
      <c r="E2749" s="23">
        <v>66</v>
      </c>
      <c r="F2749" s="23">
        <v>1328</v>
      </c>
      <c r="G2749" s="23">
        <v>66</v>
      </c>
      <c r="H2749" s="23">
        <v>1328</v>
      </c>
      <c r="I2749" s="23">
        <v>66</v>
      </c>
      <c r="J2749" s="23">
        <v>1328</v>
      </c>
      <c r="K2749" s="23">
        <v>66</v>
      </c>
      <c r="L2749" s="23">
        <v>1328</v>
      </c>
      <c r="M2749" s="23">
        <v>66</v>
      </c>
      <c r="N2749" s="23">
        <v>1328</v>
      </c>
      <c r="O2749" s="23">
        <v>66</v>
      </c>
      <c r="P2749" s="23">
        <v>1328</v>
      </c>
      <c r="Q2749" s="154">
        <v>71</v>
      </c>
      <c r="R2749" t="s">
        <v>476</v>
      </c>
      <c r="S2749"/>
    </row>
    <row r="2750" spans="1:19" s="3" customFormat="1">
      <c r="A2750" s="153">
        <v>66</v>
      </c>
      <c r="B2750" s="23">
        <v>1328</v>
      </c>
      <c r="C2750" s="23">
        <v>66</v>
      </c>
      <c r="D2750" s="23">
        <v>1328</v>
      </c>
      <c r="E2750" s="23">
        <v>66</v>
      </c>
      <c r="F2750" s="23">
        <v>1328</v>
      </c>
      <c r="G2750" s="23">
        <v>66</v>
      </c>
      <c r="H2750" s="23">
        <v>1328</v>
      </c>
      <c r="I2750" s="23">
        <v>66</v>
      </c>
      <c r="J2750" s="23">
        <v>1328</v>
      </c>
      <c r="K2750" s="23">
        <v>66</v>
      </c>
      <c r="L2750" s="23">
        <v>1328</v>
      </c>
      <c r="M2750" s="23">
        <v>66</v>
      </c>
      <c r="N2750" s="23">
        <v>1328</v>
      </c>
      <c r="O2750" s="23">
        <v>66</v>
      </c>
      <c r="P2750" s="23">
        <v>1328</v>
      </c>
      <c r="Q2750" s="154">
        <v>72</v>
      </c>
      <c r="R2750" t="s">
        <v>477</v>
      </c>
      <c r="S2750"/>
    </row>
    <row r="2751" spans="1:19" s="3" customFormat="1">
      <c r="A2751" s="153">
        <v>66</v>
      </c>
      <c r="B2751" s="23">
        <v>1328</v>
      </c>
      <c r="C2751" s="23">
        <v>66</v>
      </c>
      <c r="D2751" s="23">
        <v>1328</v>
      </c>
      <c r="E2751" s="23">
        <v>66</v>
      </c>
      <c r="F2751" s="23">
        <v>1328</v>
      </c>
      <c r="G2751" s="23">
        <v>66</v>
      </c>
      <c r="H2751" s="23">
        <v>1328</v>
      </c>
      <c r="I2751" s="23">
        <v>66</v>
      </c>
      <c r="J2751" s="23">
        <v>1328</v>
      </c>
      <c r="K2751" s="23">
        <v>66</v>
      </c>
      <c r="L2751" s="23">
        <v>1328</v>
      </c>
      <c r="M2751" s="23">
        <v>66</v>
      </c>
      <c r="N2751" s="23">
        <v>1328</v>
      </c>
      <c r="O2751" s="23">
        <v>66</v>
      </c>
      <c r="P2751" s="23">
        <v>1328</v>
      </c>
      <c r="Q2751" s="154">
        <v>73</v>
      </c>
      <c r="R2751" t="s">
        <v>478</v>
      </c>
      <c r="S2751"/>
    </row>
    <row r="2752" spans="1:19" s="3" customFormat="1">
      <c r="A2752" s="153">
        <v>66</v>
      </c>
      <c r="B2752" s="23">
        <v>1328</v>
      </c>
      <c r="C2752" s="23">
        <v>66</v>
      </c>
      <c r="D2752" s="23">
        <v>1328</v>
      </c>
      <c r="E2752" s="23">
        <v>66</v>
      </c>
      <c r="F2752" s="23">
        <v>1328</v>
      </c>
      <c r="G2752" s="23">
        <v>66</v>
      </c>
      <c r="H2752" s="23">
        <v>1328</v>
      </c>
      <c r="I2752" s="23">
        <v>66</v>
      </c>
      <c r="J2752" s="23">
        <v>1328</v>
      </c>
      <c r="K2752" s="23">
        <v>66</v>
      </c>
      <c r="L2752" s="23">
        <v>1328</v>
      </c>
      <c r="M2752" s="23">
        <v>66</v>
      </c>
      <c r="N2752" s="23">
        <v>1328</v>
      </c>
      <c r="O2752" s="23">
        <v>66</v>
      </c>
      <c r="P2752" s="23">
        <v>1328</v>
      </c>
      <c r="Q2752" s="154">
        <v>74</v>
      </c>
      <c r="R2752" t="s">
        <v>479</v>
      </c>
      <c r="S2752"/>
    </row>
    <row r="2753" spans="1:19" s="3" customFormat="1">
      <c r="A2753" s="153">
        <v>66</v>
      </c>
      <c r="B2753" s="23">
        <v>1328</v>
      </c>
      <c r="C2753" s="23">
        <v>66</v>
      </c>
      <c r="D2753" s="23">
        <v>1328</v>
      </c>
      <c r="E2753" s="23">
        <v>66</v>
      </c>
      <c r="F2753" s="23">
        <v>1328</v>
      </c>
      <c r="G2753" s="23">
        <v>66</v>
      </c>
      <c r="H2753" s="23">
        <v>1328</v>
      </c>
      <c r="I2753" s="23">
        <v>66</v>
      </c>
      <c r="J2753" s="23">
        <v>1328</v>
      </c>
      <c r="K2753" s="23">
        <v>66</v>
      </c>
      <c r="L2753" s="23">
        <v>1328</v>
      </c>
      <c r="M2753" s="23">
        <v>66</v>
      </c>
      <c r="N2753" s="23">
        <v>1328</v>
      </c>
      <c r="O2753" s="23">
        <v>66</v>
      </c>
      <c r="P2753" s="23">
        <v>1328</v>
      </c>
      <c r="Q2753" s="154">
        <v>75</v>
      </c>
      <c r="R2753" t="s">
        <v>480</v>
      </c>
      <c r="S2753"/>
    </row>
    <row r="2754" spans="1:19" s="3" customFormat="1">
      <c r="A2754" s="153">
        <v>66</v>
      </c>
      <c r="B2754" s="23">
        <v>1328</v>
      </c>
      <c r="C2754" s="23">
        <v>66</v>
      </c>
      <c r="D2754" s="23">
        <v>1328</v>
      </c>
      <c r="E2754" s="23">
        <v>66</v>
      </c>
      <c r="F2754" s="23">
        <v>1328</v>
      </c>
      <c r="G2754" s="23">
        <v>66</v>
      </c>
      <c r="H2754" s="23">
        <v>1328</v>
      </c>
      <c r="I2754" s="23">
        <v>66</v>
      </c>
      <c r="J2754" s="23">
        <v>1328</v>
      </c>
      <c r="K2754" s="23">
        <v>66</v>
      </c>
      <c r="L2754" s="23">
        <v>1328</v>
      </c>
      <c r="M2754" s="23">
        <v>66</v>
      </c>
      <c r="N2754" s="23">
        <v>1328</v>
      </c>
      <c r="O2754" s="23">
        <v>66</v>
      </c>
      <c r="P2754" s="23">
        <v>1328</v>
      </c>
      <c r="Q2754" s="154">
        <v>76</v>
      </c>
      <c r="R2754" t="s">
        <v>481</v>
      </c>
      <c r="S2754"/>
    </row>
    <row r="2755" spans="1:19" s="3" customFormat="1">
      <c r="A2755" s="153">
        <v>66</v>
      </c>
      <c r="B2755" s="23">
        <v>1328</v>
      </c>
      <c r="C2755" s="23">
        <v>66</v>
      </c>
      <c r="D2755" s="23">
        <v>1328</v>
      </c>
      <c r="E2755" s="23">
        <v>66</v>
      </c>
      <c r="F2755" s="23">
        <v>1328</v>
      </c>
      <c r="G2755" s="23">
        <v>66</v>
      </c>
      <c r="H2755" s="23">
        <v>1328</v>
      </c>
      <c r="I2755" s="23">
        <v>66</v>
      </c>
      <c r="J2755" s="23">
        <v>1328</v>
      </c>
      <c r="K2755" s="23">
        <v>66</v>
      </c>
      <c r="L2755" s="23">
        <v>1328</v>
      </c>
      <c r="M2755" s="23">
        <v>66</v>
      </c>
      <c r="N2755" s="23">
        <v>1328</v>
      </c>
      <c r="O2755" s="23">
        <v>66</v>
      </c>
      <c r="P2755" s="23">
        <v>1328</v>
      </c>
      <c r="Q2755" s="154">
        <v>77</v>
      </c>
      <c r="R2755" t="s">
        <v>482</v>
      </c>
      <c r="S2755"/>
    </row>
    <row r="2756" spans="1:19" s="3" customFormat="1">
      <c r="A2756" s="153">
        <v>66</v>
      </c>
      <c r="B2756" s="23">
        <v>1328</v>
      </c>
      <c r="C2756" s="23">
        <v>66</v>
      </c>
      <c r="D2756" s="23">
        <v>1328</v>
      </c>
      <c r="E2756" s="23">
        <v>66</v>
      </c>
      <c r="F2756" s="23">
        <v>1328</v>
      </c>
      <c r="G2756" s="23">
        <v>66</v>
      </c>
      <c r="H2756" s="23">
        <v>1328</v>
      </c>
      <c r="I2756" s="23">
        <v>66</v>
      </c>
      <c r="J2756" s="23">
        <v>1328</v>
      </c>
      <c r="K2756" s="23">
        <v>66</v>
      </c>
      <c r="L2756" s="23">
        <v>1328</v>
      </c>
      <c r="M2756" s="23">
        <v>66</v>
      </c>
      <c r="N2756" s="23">
        <v>1328</v>
      </c>
      <c r="O2756" s="23">
        <v>66</v>
      </c>
      <c r="P2756" s="23">
        <v>1328</v>
      </c>
      <c r="Q2756" s="154">
        <v>78</v>
      </c>
      <c r="R2756" t="s">
        <v>483</v>
      </c>
      <c r="S2756"/>
    </row>
    <row r="2757" spans="1:19" s="3" customFormat="1">
      <c r="A2757" s="153">
        <v>66</v>
      </c>
      <c r="B2757" s="23">
        <v>1328</v>
      </c>
      <c r="C2757" s="23">
        <v>66</v>
      </c>
      <c r="D2757" s="23">
        <v>1328</v>
      </c>
      <c r="E2757" s="23">
        <v>66</v>
      </c>
      <c r="F2757" s="23">
        <v>1328</v>
      </c>
      <c r="G2757" s="23">
        <v>66</v>
      </c>
      <c r="H2757" s="23">
        <v>1328</v>
      </c>
      <c r="I2757" s="23">
        <v>66</v>
      </c>
      <c r="J2757" s="23">
        <v>1328</v>
      </c>
      <c r="K2757" s="23">
        <v>66</v>
      </c>
      <c r="L2757" s="23">
        <v>1328</v>
      </c>
      <c r="M2757" s="23">
        <v>66</v>
      </c>
      <c r="N2757" s="23">
        <v>1328</v>
      </c>
      <c r="O2757" s="23">
        <v>66</v>
      </c>
      <c r="P2757" s="23">
        <v>1328</v>
      </c>
      <c r="Q2757" s="154">
        <v>79</v>
      </c>
      <c r="R2757" t="s">
        <v>484</v>
      </c>
      <c r="S2757"/>
    </row>
    <row r="2758" spans="1:19" s="3" customFormat="1">
      <c r="A2758" s="153">
        <v>66</v>
      </c>
      <c r="B2758" s="23">
        <v>1328</v>
      </c>
      <c r="C2758" s="23">
        <v>66</v>
      </c>
      <c r="D2758" s="23">
        <v>1328</v>
      </c>
      <c r="E2758" s="23">
        <v>66</v>
      </c>
      <c r="F2758" s="23">
        <v>1328</v>
      </c>
      <c r="G2758" s="23">
        <v>66</v>
      </c>
      <c r="H2758" s="23">
        <v>1328</v>
      </c>
      <c r="I2758" s="23">
        <v>66</v>
      </c>
      <c r="J2758" s="23">
        <v>1328</v>
      </c>
      <c r="K2758" s="23">
        <v>66</v>
      </c>
      <c r="L2758" s="23">
        <v>1328</v>
      </c>
      <c r="M2758" s="23">
        <v>66</v>
      </c>
      <c r="N2758" s="23">
        <v>1328</v>
      </c>
      <c r="O2758" s="23">
        <v>66</v>
      </c>
      <c r="P2758" s="23">
        <v>1328</v>
      </c>
      <c r="Q2758" s="154">
        <v>80</v>
      </c>
      <c r="R2758" t="s">
        <v>485</v>
      </c>
      <c r="S2758"/>
    </row>
    <row r="2759" spans="1:19" s="3" customFormat="1">
      <c r="A2759" s="153">
        <v>66</v>
      </c>
      <c r="B2759" s="23">
        <v>1328</v>
      </c>
      <c r="C2759" s="23">
        <v>66</v>
      </c>
      <c r="D2759" s="23">
        <v>1328</v>
      </c>
      <c r="E2759" s="23">
        <v>66</v>
      </c>
      <c r="F2759" s="23">
        <v>1328</v>
      </c>
      <c r="G2759" s="23">
        <v>66</v>
      </c>
      <c r="H2759" s="23">
        <v>1328</v>
      </c>
      <c r="I2759" s="23">
        <v>66</v>
      </c>
      <c r="J2759" s="23">
        <v>1328</v>
      </c>
      <c r="K2759" s="23">
        <v>66</v>
      </c>
      <c r="L2759" s="23">
        <v>1328</v>
      </c>
      <c r="M2759" s="23">
        <v>66</v>
      </c>
      <c r="N2759" s="23">
        <v>1328</v>
      </c>
      <c r="O2759" s="23">
        <v>66</v>
      </c>
      <c r="P2759" s="23">
        <v>1328</v>
      </c>
      <c r="Q2759" s="154">
        <v>201</v>
      </c>
      <c r="R2759" t="s">
        <v>486</v>
      </c>
      <c r="S2759"/>
    </row>
    <row r="2760" spans="1:19" s="3" customFormat="1">
      <c r="A2760" s="153">
        <v>66</v>
      </c>
      <c r="B2760" s="23">
        <v>1328</v>
      </c>
      <c r="C2760" s="23">
        <v>66</v>
      </c>
      <c r="D2760" s="23">
        <v>1328</v>
      </c>
      <c r="E2760" s="23">
        <v>66</v>
      </c>
      <c r="F2760" s="23">
        <v>1328</v>
      </c>
      <c r="G2760" s="23">
        <v>66</v>
      </c>
      <c r="H2760" s="23">
        <v>1328</v>
      </c>
      <c r="I2760" s="23">
        <v>66</v>
      </c>
      <c r="J2760" s="23">
        <v>1328</v>
      </c>
      <c r="K2760" s="23">
        <v>66</v>
      </c>
      <c r="L2760" s="23">
        <v>1328</v>
      </c>
      <c r="M2760" s="23">
        <v>66</v>
      </c>
      <c r="N2760" s="23">
        <v>1328</v>
      </c>
      <c r="O2760" s="23">
        <v>66</v>
      </c>
      <c r="P2760" s="23">
        <v>1328</v>
      </c>
      <c r="Q2760" s="154">
        <v>202</v>
      </c>
      <c r="R2760" t="s">
        <v>487</v>
      </c>
      <c r="S2760"/>
    </row>
    <row r="2761" spans="1:19" s="3" customFormat="1">
      <c r="A2761" s="153">
        <v>66</v>
      </c>
      <c r="B2761" s="23">
        <v>1328</v>
      </c>
      <c r="C2761" s="23">
        <v>66</v>
      </c>
      <c r="D2761" s="23">
        <v>1328</v>
      </c>
      <c r="E2761" s="23">
        <v>66</v>
      </c>
      <c r="F2761" s="23">
        <v>1328</v>
      </c>
      <c r="G2761" s="23">
        <v>66</v>
      </c>
      <c r="H2761" s="23">
        <v>1328</v>
      </c>
      <c r="I2761" s="23">
        <v>66</v>
      </c>
      <c r="J2761" s="23">
        <v>1328</v>
      </c>
      <c r="K2761" s="23">
        <v>66</v>
      </c>
      <c r="L2761" s="23">
        <v>1328</v>
      </c>
      <c r="M2761" s="23">
        <v>66</v>
      </c>
      <c r="N2761" s="23">
        <v>1328</v>
      </c>
      <c r="O2761" s="23">
        <v>66</v>
      </c>
      <c r="P2761" s="23">
        <v>1328</v>
      </c>
      <c r="Q2761" s="154">
        <v>203</v>
      </c>
      <c r="R2761" t="s">
        <v>488</v>
      </c>
      <c r="S2761"/>
    </row>
    <row r="2762" spans="1:19" s="3" customFormat="1">
      <c r="A2762" s="153">
        <v>66</v>
      </c>
      <c r="B2762" s="23">
        <v>1328</v>
      </c>
      <c r="C2762" s="23">
        <v>66</v>
      </c>
      <c r="D2762" s="23">
        <v>1328</v>
      </c>
      <c r="E2762" s="23">
        <v>66</v>
      </c>
      <c r="F2762" s="23">
        <v>1328</v>
      </c>
      <c r="G2762" s="23">
        <v>66</v>
      </c>
      <c r="H2762" s="23">
        <v>1328</v>
      </c>
      <c r="I2762" s="23">
        <v>66</v>
      </c>
      <c r="J2762" s="23">
        <v>1328</v>
      </c>
      <c r="K2762" s="23">
        <v>66</v>
      </c>
      <c r="L2762" s="23">
        <v>1328</v>
      </c>
      <c r="M2762" s="23">
        <v>66</v>
      </c>
      <c r="N2762" s="23">
        <v>1328</v>
      </c>
      <c r="O2762" s="23">
        <v>66</v>
      </c>
      <c r="P2762" s="23">
        <v>1328</v>
      </c>
      <c r="Q2762" s="154">
        <v>204</v>
      </c>
      <c r="R2762" t="s">
        <v>489</v>
      </c>
      <c r="S2762"/>
    </row>
    <row r="2763" spans="1:19" s="3" customFormat="1">
      <c r="A2763" s="153">
        <v>66</v>
      </c>
      <c r="B2763" s="23">
        <v>1328</v>
      </c>
      <c r="C2763" s="23">
        <v>66</v>
      </c>
      <c r="D2763" s="23">
        <v>1328</v>
      </c>
      <c r="E2763" s="23">
        <v>66</v>
      </c>
      <c r="F2763" s="23">
        <v>1328</v>
      </c>
      <c r="G2763" s="23">
        <v>66</v>
      </c>
      <c r="H2763" s="23">
        <v>1328</v>
      </c>
      <c r="I2763" s="23">
        <v>66</v>
      </c>
      <c r="J2763" s="23">
        <v>1328</v>
      </c>
      <c r="K2763" s="23">
        <v>66</v>
      </c>
      <c r="L2763" s="23">
        <v>1328</v>
      </c>
      <c r="M2763" s="23">
        <v>66</v>
      </c>
      <c r="N2763" s="23">
        <v>1328</v>
      </c>
      <c r="O2763" s="23">
        <v>66</v>
      </c>
      <c r="P2763" s="23">
        <v>1328</v>
      </c>
      <c r="Q2763" s="154">
        <v>205</v>
      </c>
      <c r="R2763" t="s">
        <v>490</v>
      </c>
      <c r="S2763"/>
    </row>
    <row r="2764" spans="1:19" s="3" customFormat="1">
      <c r="A2764" s="153">
        <v>66</v>
      </c>
      <c r="B2764" s="23">
        <v>1328</v>
      </c>
      <c r="C2764" s="23">
        <v>66</v>
      </c>
      <c r="D2764" s="23">
        <v>1328</v>
      </c>
      <c r="E2764" s="23">
        <v>66</v>
      </c>
      <c r="F2764" s="23">
        <v>1328</v>
      </c>
      <c r="G2764" s="23">
        <v>66</v>
      </c>
      <c r="H2764" s="23">
        <v>1328</v>
      </c>
      <c r="I2764" s="23">
        <v>66</v>
      </c>
      <c r="J2764" s="23">
        <v>1328</v>
      </c>
      <c r="K2764" s="23">
        <v>66</v>
      </c>
      <c r="L2764" s="23">
        <v>1328</v>
      </c>
      <c r="M2764" s="23">
        <v>66</v>
      </c>
      <c r="N2764" s="23">
        <v>1328</v>
      </c>
      <c r="O2764" s="23">
        <v>66</v>
      </c>
      <c r="P2764" s="23">
        <v>1328</v>
      </c>
      <c r="Q2764" s="154">
        <v>206</v>
      </c>
      <c r="R2764" t="s">
        <v>491</v>
      </c>
      <c r="S2764"/>
    </row>
    <row r="2765" spans="1:19" s="3" customFormat="1">
      <c r="A2765" s="153">
        <v>66</v>
      </c>
      <c r="B2765" s="23">
        <v>1328</v>
      </c>
      <c r="C2765" s="23">
        <v>66</v>
      </c>
      <c r="D2765" s="23">
        <v>1328</v>
      </c>
      <c r="E2765" s="23">
        <v>66</v>
      </c>
      <c r="F2765" s="23">
        <v>1328</v>
      </c>
      <c r="G2765" s="23">
        <v>66</v>
      </c>
      <c r="H2765" s="23">
        <v>1328</v>
      </c>
      <c r="I2765" s="23">
        <v>66</v>
      </c>
      <c r="J2765" s="23">
        <v>1328</v>
      </c>
      <c r="K2765" s="23">
        <v>66</v>
      </c>
      <c r="L2765" s="23">
        <v>1328</v>
      </c>
      <c r="M2765" s="23">
        <v>66</v>
      </c>
      <c r="N2765" s="23">
        <v>1328</v>
      </c>
      <c r="O2765" s="23">
        <v>66</v>
      </c>
      <c r="P2765" s="23">
        <v>1328</v>
      </c>
      <c r="Q2765" s="154">
        <v>207</v>
      </c>
      <c r="R2765" t="s">
        <v>492</v>
      </c>
      <c r="S2765"/>
    </row>
    <row r="2766" spans="1:19" s="3" customFormat="1" ht="15" thickBot="1">
      <c r="A2766" s="155">
        <v>66</v>
      </c>
      <c r="B2766" s="147">
        <v>1328</v>
      </c>
      <c r="C2766" s="147">
        <v>66</v>
      </c>
      <c r="D2766" s="147">
        <v>1328</v>
      </c>
      <c r="E2766" s="147">
        <v>66</v>
      </c>
      <c r="F2766" s="147">
        <v>1328</v>
      </c>
      <c r="G2766" s="147">
        <v>66</v>
      </c>
      <c r="H2766" s="147">
        <v>1328</v>
      </c>
      <c r="I2766" s="147">
        <v>66</v>
      </c>
      <c r="J2766" s="147">
        <v>1328</v>
      </c>
      <c r="K2766" s="147">
        <v>66</v>
      </c>
      <c r="L2766" s="147">
        <v>1328</v>
      </c>
      <c r="M2766" s="147">
        <v>66</v>
      </c>
      <c r="N2766" s="147">
        <v>1328</v>
      </c>
      <c r="O2766" s="147">
        <v>66</v>
      </c>
      <c r="P2766" s="147">
        <v>1328</v>
      </c>
      <c r="Q2766" s="156">
        <v>208</v>
      </c>
      <c r="R2766" t="s">
        <v>493</v>
      </c>
      <c r="S2766"/>
    </row>
    <row r="2767" spans="1:19" s="3" customFormat="1" ht="15" thickBot="1">
      <c r="A2767" s="133" t="s">
        <v>1013</v>
      </c>
      <c r="B2767" s="133"/>
      <c r="C2767" s="133"/>
      <c r="D2767" s="133"/>
      <c r="E2767" s="133"/>
      <c r="F2767" s="133"/>
      <c r="G2767" s="133"/>
      <c r="H2767" s="133"/>
      <c r="I2767" s="133"/>
      <c r="J2767" s="133"/>
      <c r="K2767" s="133"/>
      <c r="L2767" s="133"/>
      <c r="M2767" s="133"/>
      <c r="N2767" s="133"/>
      <c r="O2767" s="133"/>
      <c r="P2767" s="133"/>
      <c r="Q2767" s="133"/>
      <c r="R2767"/>
      <c r="S2767"/>
    </row>
    <row r="2768" spans="1:19" s="3" customFormat="1">
      <c r="A2768" s="203">
        <v>214</v>
      </c>
      <c r="B2768" s="207">
        <v>214</v>
      </c>
      <c r="C2768" s="207">
        <v>216</v>
      </c>
      <c r="D2768" s="207">
        <v>216</v>
      </c>
      <c r="E2768" s="207">
        <v>160</v>
      </c>
      <c r="F2768" s="162">
        <v>162</v>
      </c>
      <c r="G2768" s="210">
        <v>197</v>
      </c>
      <c r="H2768" s="207">
        <v>197</v>
      </c>
      <c r="I2768" s="207">
        <v>198</v>
      </c>
      <c r="J2768" s="207">
        <v>198</v>
      </c>
      <c r="K2768" t="s">
        <v>1426</v>
      </c>
      <c r="L2768"/>
      <c r="M2768"/>
      <c r="N2768" t="s">
        <v>1403</v>
      </c>
      <c r="O2768" t="s">
        <v>1403</v>
      </c>
      <c r="P2768" t="s">
        <v>1404</v>
      </c>
      <c r="Q2768" t="s">
        <v>1404</v>
      </c>
      <c r="R2768" t="s">
        <v>1405</v>
      </c>
      <c r="S2768" t="s">
        <v>1405</v>
      </c>
    </row>
    <row r="2769" spans="1:19" s="3" customFormat="1" ht="15" thickBot="1">
      <c r="A2769" s="204">
        <v>213</v>
      </c>
      <c r="B2769" s="208">
        <v>213</v>
      </c>
      <c r="C2769" s="208">
        <v>215</v>
      </c>
      <c r="D2769" s="208">
        <v>215</v>
      </c>
      <c r="E2769" s="208"/>
      <c r="F2769" s="209"/>
      <c r="G2769" s="211">
        <v>196</v>
      </c>
      <c r="H2769" s="208">
        <v>196</v>
      </c>
      <c r="I2769" s="208">
        <v>199</v>
      </c>
      <c r="J2769" s="208">
        <v>199</v>
      </c>
      <c r="K2769" t="s">
        <v>1013</v>
      </c>
      <c r="L2769"/>
      <c r="M2769"/>
      <c r="N2769" s="133" t="s">
        <v>1407</v>
      </c>
      <c r="O2769" s="133" t="s">
        <v>1407</v>
      </c>
      <c r="P2769" s="133" t="s">
        <v>1408</v>
      </c>
      <c r="Q2769" s="133" t="s">
        <v>1408</v>
      </c>
      <c r="R2769" s="133" t="s">
        <v>1409</v>
      </c>
      <c r="S2769" t="s">
        <v>1409</v>
      </c>
    </row>
    <row r="2770" spans="1:19" s="3" customFormat="1">
      <c r="A2770" s="167"/>
      <c r="B2770" t="s">
        <v>1013</v>
      </c>
      <c r="C2770"/>
      <c r="D2770"/>
      <c r="E2770"/>
      <c r="F2770"/>
      <c r="G2770"/>
      <c r="H2770"/>
      <c r="I2770"/>
      <c r="J2770"/>
      <c r="K2770" t="s">
        <v>923</v>
      </c>
      <c r="L2770"/>
      <c r="M2770"/>
      <c r="N2770" s="133"/>
      <c r="O2770" s="133"/>
      <c r="P2770" s="133"/>
      <c r="Q2770" s="133"/>
      <c r="R2770" s="133"/>
      <c r="S2770"/>
    </row>
    <row r="2771" spans="1:19" s="3" customFormat="1">
      <c r="A2771" s="154"/>
      <c r="B2771" t="s">
        <v>1013</v>
      </c>
      <c r="C2771"/>
      <c r="D2771"/>
      <c r="E2771"/>
      <c r="F2771"/>
      <c r="G2771"/>
      <c r="H2771"/>
      <c r="I2771"/>
      <c r="J2771"/>
      <c r="K2771" t="s">
        <v>923</v>
      </c>
      <c r="L2771"/>
      <c r="M2771"/>
      <c r="N2771" s="133"/>
      <c r="O2771" s="133"/>
      <c r="P2771" s="133"/>
      <c r="Q2771" s="133"/>
      <c r="R2771" s="133"/>
      <c r="S2771"/>
    </row>
    <row r="2772" spans="1:19" s="3" customFormat="1">
      <c r="A2772" s="154"/>
      <c r="B2772" t="s">
        <v>1013</v>
      </c>
      <c r="C2772"/>
      <c r="D2772"/>
      <c r="E2772"/>
      <c r="F2772"/>
      <c r="G2772"/>
      <c r="H2772"/>
      <c r="I2772"/>
      <c r="J2772"/>
      <c r="K2772" t="s">
        <v>923</v>
      </c>
      <c r="L2772"/>
      <c r="M2772"/>
      <c r="N2772" s="133"/>
      <c r="O2772" s="133"/>
      <c r="P2772" s="133"/>
      <c r="Q2772" s="133"/>
      <c r="R2772" s="133"/>
      <c r="S2772"/>
    </row>
    <row r="2773" spans="1:19" s="3" customFormat="1" ht="15" thickBot="1">
      <c r="A2773" s="156"/>
      <c r="B2773" t="s">
        <v>1013</v>
      </c>
      <c r="C2773"/>
      <c r="D2773"/>
      <c r="E2773"/>
      <c r="F2773"/>
      <c r="G2773"/>
      <c r="H2773"/>
      <c r="I2773"/>
      <c r="J2773"/>
      <c r="K2773" t="s">
        <v>923</v>
      </c>
      <c r="L2773"/>
      <c r="M2773"/>
      <c r="N2773" s="133"/>
      <c r="O2773" s="133"/>
      <c r="P2773" s="133"/>
      <c r="Q2773" s="133"/>
      <c r="R2773" s="133"/>
      <c r="S2773"/>
    </row>
    <row r="2774" spans="1:19" s="3" customFormat="1" ht="15" thickBot="1">
      <c r="A2774" s="133" t="s">
        <v>1013</v>
      </c>
      <c r="B2774"/>
      <c r="C2774"/>
      <c r="D2774"/>
      <c r="E2774"/>
      <c r="F2774"/>
      <c r="G2774"/>
      <c r="H2774"/>
      <c r="I2774"/>
      <c r="J2774"/>
      <c r="K2774"/>
      <c r="L2774"/>
      <c r="M2774"/>
      <c r="N2774" s="133"/>
      <c r="O2774" s="133"/>
      <c r="P2774" s="133"/>
      <c r="Q2774" s="133"/>
      <c r="R2774" s="133"/>
      <c r="S2774"/>
    </row>
    <row r="2775" spans="1:19" s="3" customFormat="1">
      <c r="A2775" s="212">
        <v>2711</v>
      </c>
      <c r="B2775" s="212">
        <v>2711</v>
      </c>
      <c r="C2775" s="213">
        <v>2720</v>
      </c>
      <c r="D2775" s="213">
        <v>21</v>
      </c>
      <c r="E2775" s="213">
        <v>2722</v>
      </c>
      <c r="F2775" s="214">
        <v>2723</v>
      </c>
      <c r="G2775" s="213">
        <v>2721</v>
      </c>
      <c r="H2775" s="213">
        <v>2721</v>
      </c>
      <c r="I2775" s="213">
        <v>2708</v>
      </c>
      <c r="J2775" s="213">
        <v>2708</v>
      </c>
      <c r="K2775" t="s">
        <v>1402</v>
      </c>
      <c r="L2775"/>
      <c r="M2775"/>
      <c r="N2775" t="s">
        <v>1411</v>
      </c>
      <c r="O2775" t="s">
        <v>1411</v>
      </c>
      <c r="P2775" t="s">
        <v>1413</v>
      </c>
      <c r="Q2775" t="s">
        <v>1413</v>
      </c>
      <c r="R2775" t="s">
        <v>1414</v>
      </c>
      <c r="S2775" t="s">
        <v>1414</v>
      </c>
    </row>
    <row r="2776" spans="1:19" s="3" customFormat="1" ht="15" thickBot="1">
      <c r="A2776" s="215">
        <v>2712</v>
      </c>
      <c r="B2776" s="215">
        <v>2712</v>
      </c>
      <c r="C2776" s="216">
        <v>2719</v>
      </c>
      <c r="D2776" s="216">
        <v>20</v>
      </c>
      <c r="E2776" s="216"/>
      <c r="F2776" s="217"/>
      <c r="G2776" s="216"/>
      <c r="H2776" s="216"/>
      <c r="I2776" s="216"/>
      <c r="J2776" s="216"/>
      <c r="K2776" t="s">
        <v>1013</v>
      </c>
      <c r="L2776"/>
      <c r="M2776"/>
      <c r="N2776" t="s">
        <v>1412</v>
      </c>
      <c r="O2776" t="s">
        <v>1412</v>
      </c>
      <c r="P2776"/>
      <c r="Q2776"/>
      <c r="R2776"/>
      <c r="S2776"/>
    </row>
    <row r="2777" spans="1:19" s="3" customFormat="1">
      <c r="A2777" s="167"/>
      <c r="B2777" t="s">
        <v>1648</v>
      </c>
      <c r="C2777"/>
      <c r="D2777"/>
      <c r="E2777"/>
      <c r="F2777"/>
      <c r="G2777"/>
      <c r="H2777"/>
      <c r="I2777"/>
      <c r="J2777"/>
      <c r="K2777" t="s">
        <v>923</v>
      </c>
      <c r="L2777"/>
      <c r="M2777"/>
      <c r="N2777"/>
      <c r="O2777"/>
      <c r="P2777"/>
      <c r="Q2777"/>
      <c r="R2777"/>
      <c r="S2777"/>
    </row>
    <row r="2778" spans="1:19" s="3" customFormat="1">
      <c r="A2778" s="154"/>
      <c r="B2778" t="s">
        <v>1013</v>
      </c>
      <c r="C2778"/>
      <c r="D2778"/>
      <c r="E2778"/>
      <c r="F2778"/>
      <c r="G2778"/>
      <c r="H2778"/>
      <c r="I2778"/>
      <c r="J2778"/>
      <c r="K2778" t="s">
        <v>923</v>
      </c>
      <c r="L2778"/>
      <c r="M2778"/>
      <c r="N2778"/>
      <c r="O2778"/>
      <c r="P2778"/>
      <c r="Q2778"/>
      <c r="R2778"/>
      <c r="S2778"/>
    </row>
    <row r="2779" spans="1:19" s="3" customFormat="1">
      <c r="A2779" s="154"/>
      <c r="B2779" t="s">
        <v>1013</v>
      </c>
      <c r="C2779"/>
      <c r="D2779"/>
      <c r="E2779"/>
      <c r="F2779"/>
      <c r="G2779"/>
      <c r="H2779"/>
      <c r="I2779"/>
      <c r="J2779"/>
      <c r="K2779" t="s">
        <v>923</v>
      </c>
      <c r="L2779"/>
      <c r="M2779"/>
      <c r="N2779"/>
      <c r="O2779"/>
      <c r="P2779"/>
      <c r="Q2779"/>
      <c r="R2779"/>
      <c r="S2779"/>
    </row>
    <row r="2780" spans="1:19" s="3" customFormat="1" ht="15" thickBot="1">
      <c r="A2780" s="156"/>
      <c r="B2780" t="s">
        <v>1013</v>
      </c>
      <c r="C2780"/>
      <c r="D2780"/>
      <c r="E2780"/>
      <c r="F2780"/>
      <c r="G2780"/>
      <c r="H2780"/>
      <c r="I2780"/>
      <c r="J2780"/>
      <c r="K2780" t="s">
        <v>923</v>
      </c>
      <c r="L2780"/>
      <c r="M2780"/>
      <c r="N2780"/>
      <c r="O2780"/>
      <c r="P2780"/>
      <c r="Q2780"/>
      <c r="R2780"/>
      <c r="S2780"/>
    </row>
    <row r="2781" spans="1:19" s="3" customFormat="1" ht="15" thickBot="1">
      <c r="A2781" t="s">
        <v>1013</v>
      </c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</row>
    <row r="2782" spans="1:19" s="3" customFormat="1">
      <c r="A2782" s="24">
        <v>150</v>
      </c>
      <c r="B2782" s="24">
        <v>152</v>
      </c>
      <c r="C2782" s="24">
        <v>154</v>
      </c>
      <c r="D2782" s="24">
        <v>156</v>
      </c>
      <c r="E2782" s="24"/>
      <c r="F2782" s="24"/>
      <c r="G2782" s="24"/>
      <c r="H2782" s="218"/>
      <c r="I2782" s="24">
        <v>140</v>
      </c>
      <c r="J2782" s="24">
        <v>142</v>
      </c>
      <c r="K2782" s="24">
        <v>144</v>
      </c>
      <c r="L2782" s="24">
        <v>146</v>
      </c>
      <c r="M2782" s="24"/>
      <c r="N2782" s="24"/>
      <c r="O2782" s="24"/>
      <c r="P2782" s="24"/>
      <c r="Q2782" s="207">
        <v>148</v>
      </c>
    </row>
    <row r="2783" spans="1:19" s="3" customFormat="1" ht="15" thickBot="1">
      <c r="A2783" s="24">
        <v>151</v>
      </c>
      <c r="B2783" s="24">
        <v>153</v>
      </c>
      <c r="C2783" s="24">
        <v>155</v>
      </c>
      <c r="D2783" s="24">
        <v>157</v>
      </c>
      <c r="E2783" s="24"/>
      <c r="F2783" s="24"/>
      <c r="G2783" s="24"/>
      <c r="H2783" s="218"/>
      <c r="I2783" s="24">
        <v>141</v>
      </c>
      <c r="J2783" s="24">
        <v>143</v>
      </c>
      <c r="K2783" s="24">
        <v>145</v>
      </c>
      <c r="L2783" s="24">
        <v>147</v>
      </c>
      <c r="M2783" s="24"/>
      <c r="N2783" s="24"/>
      <c r="O2783" s="24"/>
      <c r="P2783" s="24"/>
      <c r="Q2783" s="208">
        <v>149</v>
      </c>
    </row>
    <row r="2784" spans="1:19" s="3" customFormat="1">
      <c r="A2784" s="3" t="s">
        <v>1013</v>
      </c>
    </row>
    <row r="2785" spans="1:19" s="3" customFormat="1">
      <c r="A2785" s="24">
        <v>2706</v>
      </c>
      <c r="B2785" s="24">
        <v>2715</v>
      </c>
      <c r="C2785" s="24">
        <v>2714</v>
      </c>
      <c r="D2785" s="24">
        <v>2713</v>
      </c>
      <c r="E2785" s="24"/>
      <c r="F2785" s="24"/>
      <c r="G2785" s="24"/>
      <c r="H2785" s="24"/>
      <c r="I2785" s="24">
        <v>2707</v>
      </c>
      <c r="J2785" s="24">
        <v>2718</v>
      </c>
      <c r="K2785" s="24">
        <v>2710</v>
      </c>
      <c r="L2785" s="24">
        <v>2717</v>
      </c>
      <c r="M2785" s="24"/>
      <c r="N2785" s="24"/>
      <c r="O2785" s="24"/>
      <c r="P2785" s="24"/>
      <c r="Q2785" s="24">
        <v>2716</v>
      </c>
    </row>
    <row r="2786" spans="1:19" s="3" customFormat="1">
      <c r="A2786" s="168" t="s">
        <v>1013</v>
      </c>
      <c r="B2786" s="170"/>
      <c r="C2786" s="169"/>
      <c r="D2786" s="133"/>
      <c r="E2786" s="133"/>
      <c r="F2786" s="133"/>
      <c r="G2786" s="133"/>
      <c r="H2786" s="133"/>
      <c r="I2786" s="133"/>
      <c r="J2786" s="133"/>
      <c r="K2786" s="133"/>
      <c r="L2786" s="133"/>
      <c r="M2786" s="133"/>
      <c r="N2786" s="133"/>
      <c r="O2786" s="133"/>
      <c r="P2786" s="133"/>
      <c r="Q2786" s="133"/>
      <c r="R2786" s="133"/>
      <c r="S2786" s="133"/>
    </row>
    <row r="2787" spans="1:19" s="3" customFormat="1">
      <c r="A2787" s="23">
        <v>2177</v>
      </c>
      <c r="B2787" s="23"/>
      <c r="C2787" s="149">
        <v>2165</v>
      </c>
      <c r="D2787" t="s">
        <v>1421</v>
      </c>
      <c r="E2787" s="133"/>
      <c r="F2787" s="133"/>
      <c r="G2787" s="133"/>
      <c r="H2787" s="133"/>
      <c r="I2787" s="133"/>
      <c r="J2787" s="133"/>
      <c r="K2787" s="133"/>
      <c r="L2787" s="133"/>
      <c r="M2787" s="133"/>
      <c r="N2787" s="133"/>
      <c r="O2787" s="133"/>
      <c r="P2787" s="133"/>
      <c r="Q2787" s="133"/>
      <c r="R2787" s="133"/>
      <c r="S2787"/>
    </row>
    <row r="2788" spans="1:19" s="3" customFormat="1">
      <c r="A2788" s="23">
        <v>2178</v>
      </c>
      <c r="B2788" s="23"/>
      <c r="C2788" s="23">
        <v>2166</v>
      </c>
      <c r="D2788" t="s">
        <v>1013</v>
      </c>
      <c r="E2788" s="133"/>
      <c r="F2788" s="133"/>
      <c r="G2788" s="133"/>
      <c r="H2788" s="133"/>
      <c r="I2788" s="133"/>
      <c r="J2788" s="133"/>
      <c r="K2788" s="133"/>
      <c r="L2788" s="133"/>
      <c r="M2788" s="133"/>
      <c r="N2788" s="133"/>
      <c r="O2788" s="133"/>
      <c r="P2788" s="133"/>
      <c r="Q2788" s="133"/>
      <c r="R2788" s="133"/>
      <c r="S2788"/>
    </row>
    <row r="2789" spans="1:19" s="3" customFormat="1">
      <c r="A2789" s="23"/>
      <c r="B2789" s="23"/>
      <c r="C2789" s="23">
        <v>2181</v>
      </c>
      <c r="D2789" t="s">
        <v>1013</v>
      </c>
      <c r="E2789" s="133"/>
      <c r="F2789" s="133"/>
      <c r="G2789" s="133"/>
      <c r="H2789" s="133"/>
      <c r="I2789" s="133"/>
      <c r="J2789" s="133"/>
      <c r="K2789" s="133"/>
      <c r="L2789" s="133"/>
      <c r="M2789" s="133"/>
      <c r="N2789" s="133"/>
      <c r="O2789" s="133"/>
      <c r="P2789" s="133"/>
      <c r="Q2789" s="133"/>
      <c r="R2789" s="133"/>
      <c r="S2789"/>
    </row>
    <row r="2790" spans="1:19" s="3" customFormat="1">
      <c r="A2790" s="23"/>
      <c r="B2790" t="s">
        <v>1013</v>
      </c>
      <c r="C2790"/>
      <c r="D2790"/>
      <c r="E2790"/>
      <c r="F2790"/>
      <c r="G2790"/>
      <c r="H2790"/>
      <c r="I2790"/>
      <c r="J2790"/>
      <c r="K2790" t="s">
        <v>923</v>
      </c>
      <c r="L2790" s="133"/>
      <c r="M2790" s="133"/>
      <c r="N2790" s="133"/>
      <c r="O2790" s="133"/>
      <c r="P2790" s="133"/>
      <c r="Q2790" s="133"/>
      <c r="R2790" s="133"/>
      <c r="S2790"/>
    </row>
    <row r="2791" spans="1:19" s="3" customFormat="1">
      <c r="A2791" s="23"/>
      <c r="B2791"/>
      <c r="C2791"/>
      <c r="D2791"/>
      <c r="E2791"/>
      <c r="F2791"/>
      <c r="G2791"/>
      <c r="H2791"/>
      <c r="I2791"/>
      <c r="J2791"/>
      <c r="K2791" t="s">
        <v>923</v>
      </c>
      <c r="L2791" s="133"/>
      <c r="M2791" s="133"/>
      <c r="N2791" s="133"/>
      <c r="O2791" s="133"/>
      <c r="P2791" s="133"/>
      <c r="Q2791" s="133"/>
      <c r="R2791" s="133"/>
      <c r="S2791"/>
    </row>
    <row r="2792" spans="1:19" s="3" customFormat="1">
      <c r="A2792" s="23"/>
      <c r="B2792"/>
      <c r="C2792"/>
      <c r="D2792"/>
      <c r="E2792" s="171"/>
      <c r="F2792"/>
      <c r="G2792"/>
      <c r="H2792"/>
      <c r="I2792"/>
      <c r="J2792"/>
      <c r="K2792" t="s">
        <v>923</v>
      </c>
      <c r="L2792" s="133"/>
      <c r="M2792" s="133"/>
      <c r="N2792" s="133"/>
      <c r="O2792" s="133"/>
      <c r="P2792" s="133"/>
      <c r="Q2792" s="133"/>
      <c r="R2792" s="133"/>
      <c r="S2792"/>
    </row>
    <row r="2793" spans="1:19" s="3" customFormat="1">
      <c r="A2793" s="23"/>
      <c r="B2793"/>
      <c r="C2793"/>
      <c r="D2793"/>
      <c r="E2793"/>
      <c r="F2793"/>
      <c r="G2793"/>
      <c r="H2793"/>
      <c r="I2793"/>
      <c r="J2793"/>
      <c r="K2793" t="s">
        <v>923</v>
      </c>
      <c r="L2793" s="133"/>
      <c r="M2793" s="133"/>
      <c r="N2793" s="133"/>
      <c r="O2793" s="133"/>
      <c r="P2793" s="133"/>
      <c r="Q2793" s="133"/>
      <c r="R2793" s="133"/>
      <c r="S2793"/>
    </row>
    <row r="2794" spans="1:19" s="3" customFormat="1">
      <c r="A2794" s="23"/>
      <c r="B2794"/>
      <c r="C2794"/>
      <c r="D2794"/>
      <c r="E2794"/>
      <c r="F2794"/>
      <c r="G2794"/>
      <c r="H2794"/>
      <c r="I2794"/>
      <c r="J2794"/>
      <c r="K2794" t="s">
        <v>923</v>
      </c>
      <c r="L2794" s="133"/>
      <c r="M2794" s="133"/>
      <c r="N2794" s="133"/>
      <c r="O2794" s="133"/>
      <c r="P2794" s="133"/>
      <c r="Q2794" s="133"/>
      <c r="R2794" s="133"/>
      <c r="S2794"/>
    </row>
    <row r="2795" spans="1:19" s="3" customFormat="1">
      <c r="A2795" s="23"/>
      <c r="B2795"/>
      <c r="C2795"/>
      <c r="D2795"/>
      <c r="E2795"/>
      <c r="F2795"/>
      <c r="G2795"/>
      <c r="H2795"/>
      <c r="I2795"/>
      <c r="J2795"/>
      <c r="K2795" t="s">
        <v>923</v>
      </c>
      <c r="L2795" s="133"/>
      <c r="M2795" s="133"/>
      <c r="N2795" s="133"/>
      <c r="O2795" s="133"/>
      <c r="P2795" s="133"/>
      <c r="Q2795" s="133"/>
      <c r="R2795" s="133"/>
      <c r="S2795"/>
    </row>
    <row r="2796" spans="1:19" s="3" customFormat="1">
      <c r="A2796" s="23"/>
      <c r="B2796" t="s">
        <v>1013</v>
      </c>
      <c r="C2796"/>
      <c r="D2796"/>
      <c r="E2796"/>
      <c r="F2796"/>
      <c r="G2796"/>
      <c r="H2796"/>
      <c r="I2796"/>
      <c r="J2796"/>
      <c r="K2796" t="s">
        <v>923</v>
      </c>
      <c r="L2796" s="133"/>
      <c r="M2796" s="133"/>
      <c r="N2796" s="133"/>
      <c r="O2796" s="133"/>
      <c r="P2796" s="133"/>
      <c r="Q2796" s="133"/>
      <c r="R2796" s="133"/>
      <c r="S2796"/>
    </row>
    <row r="2797" spans="1:19" s="3" customFormat="1">
      <c r="A2797" s="133" t="s">
        <v>1013</v>
      </c>
      <c r="B2797" s="133"/>
      <c r="C2797" s="133"/>
      <c r="D2797" s="133"/>
      <c r="E2797" s="133"/>
      <c r="F2797" s="133"/>
      <c r="G2797" s="133"/>
      <c r="H2797" s="133"/>
      <c r="I2797" s="133"/>
      <c r="J2797" s="133"/>
      <c r="K2797" s="133"/>
      <c r="L2797" s="133"/>
      <c r="M2797" s="133"/>
      <c r="N2797" s="133"/>
      <c r="O2797" s="133"/>
      <c r="P2797" s="133"/>
      <c r="Q2797" s="133"/>
      <c r="R2797" s="133"/>
      <c r="S2797"/>
    </row>
    <row r="2798" spans="1:19" s="3" customFormat="1">
      <c r="A2798">
        <v>2134</v>
      </c>
      <c r="B2798">
        <v>2133</v>
      </c>
      <c r="C2798">
        <v>2135</v>
      </c>
      <c r="D2798">
        <v>2136</v>
      </c>
      <c r="E2798">
        <v>2167</v>
      </c>
      <c r="F2798">
        <v>2169</v>
      </c>
      <c r="G2798">
        <v>2130</v>
      </c>
      <c r="H2798">
        <v>2131</v>
      </c>
      <c r="I2798">
        <v>2132</v>
      </c>
      <c r="J2798">
        <v>2129</v>
      </c>
      <c r="K2798" t="s">
        <v>1423</v>
      </c>
      <c r="L2798" s="133"/>
      <c r="M2798" s="133"/>
      <c r="N2798" s="133"/>
      <c r="O2798" s="133"/>
      <c r="P2798" s="133"/>
      <c r="Q2798" s="133"/>
      <c r="R2798" s="133"/>
      <c r="S2798"/>
    </row>
    <row r="2799" spans="1:19" s="3" customFormat="1">
      <c r="A2799">
        <v>2182</v>
      </c>
      <c r="B2799">
        <v>2182</v>
      </c>
      <c r="C2799">
        <v>2183</v>
      </c>
      <c r="D2799">
        <v>2183</v>
      </c>
      <c r="E2799">
        <v>2168</v>
      </c>
      <c r="F2799">
        <v>2299</v>
      </c>
      <c r="G2799">
        <v>2186</v>
      </c>
      <c r="H2799">
        <v>2186</v>
      </c>
      <c r="I2799">
        <v>2185</v>
      </c>
      <c r="J2799">
        <v>2185</v>
      </c>
      <c r="K2799" t="s">
        <v>1013</v>
      </c>
      <c r="L2799" s="133"/>
      <c r="M2799" s="133"/>
      <c r="N2799" s="133"/>
      <c r="O2799" s="133"/>
      <c r="P2799" s="133"/>
      <c r="Q2799" s="133"/>
      <c r="R2799" s="133"/>
      <c r="S2799"/>
    </row>
    <row r="2800" spans="1:19" s="3" customFormat="1">
      <c r="A2800"/>
      <c r="B2800"/>
      <c r="C2800"/>
      <c r="D2800"/>
      <c r="E2800">
        <v>2295</v>
      </c>
      <c r="F2800"/>
      <c r="G2800"/>
      <c r="H2800"/>
      <c r="I2800"/>
      <c r="J2800"/>
      <c r="K2800" t="s">
        <v>1013</v>
      </c>
      <c r="L2800" s="133"/>
      <c r="M2800" s="133"/>
      <c r="N2800" s="133"/>
      <c r="O2800" s="133"/>
      <c r="P2800" s="133"/>
      <c r="Q2800" s="133"/>
      <c r="R2800" s="133"/>
      <c r="S2800"/>
    </row>
    <row r="2801" spans="1:19" s="3" customFormat="1">
      <c r="A2801" s="167"/>
      <c r="B2801" t="s">
        <v>3</v>
      </c>
      <c r="C2801"/>
      <c r="D2801"/>
      <c r="E2801"/>
      <c r="F2801"/>
      <c r="G2801"/>
      <c r="H2801"/>
      <c r="I2801"/>
      <c r="J2801"/>
      <c r="K2801" t="s">
        <v>923</v>
      </c>
      <c r="L2801" s="133"/>
      <c r="M2801" s="133"/>
      <c r="N2801" s="133"/>
      <c r="O2801" s="133"/>
      <c r="P2801" s="133"/>
      <c r="Q2801" s="133"/>
      <c r="R2801" s="133"/>
      <c r="S2801"/>
    </row>
    <row r="2802" spans="1:19" s="3" customFormat="1" ht="15" thickBot="1">
      <c r="A2802" s="156"/>
      <c r="B2802" t="s">
        <v>3</v>
      </c>
      <c r="C2802"/>
      <c r="D2802"/>
      <c r="E2802"/>
      <c r="F2802"/>
      <c r="G2802"/>
      <c r="H2802"/>
      <c r="I2802"/>
      <c r="J2802"/>
      <c r="K2802" t="s">
        <v>923</v>
      </c>
      <c r="L2802" s="133"/>
      <c r="M2802" s="133"/>
      <c r="N2802" s="133"/>
      <c r="O2802" s="133"/>
      <c r="P2802" s="133"/>
      <c r="Q2802" s="133"/>
      <c r="R2802" s="133"/>
      <c r="S2802"/>
    </row>
    <row r="2803" spans="1:19" s="3" customFormat="1" ht="15" thickBot="1">
      <c r="A2803" t="s">
        <v>3</v>
      </c>
      <c r="B2803" s="133"/>
      <c r="C2803" s="133"/>
      <c r="D2803" s="133"/>
      <c r="E2803" s="133"/>
      <c r="F2803" s="133"/>
      <c r="G2803" s="133"/>
      <c r="H2803" s="133"/>
      <c r="I2803" s="133"/>
      <c r="J2803" s="133"/>
      <c r="K2803" s="133"/>
      <c r="L2803" s="133"/>
      <c r="M2803" s="133"/>
      <c r="N2803" s="133"/>
      <c r="O2803" s="133"/>
      <c r="P2803" s="133"/>
      <c r="Q2803" s="133"/>
      <c r="R2803" s="133"/>
      <c r="S2803"/>
    </row>
    <row r="2804" spans="1:19" s="3" customFormat="1">
      <c r="A2804" s="212">
        <v>2137</v>
      </c>
      <c r="B2804" s="212">
        <v>2137</v>
      </c>
      <c r="C2804" s="212">
        <v>2137</v>
      </c>
      <c r="D2804" s="212">
        <v>2137</v>
      </c>
      <c r="E2804" s="213" t="s">
        <v>1649</v>
      </c>
      <c r="F2804" s="213" t="s">
        <v>1649</v>
      </c>
      <c r="G2804" s="213" t="s">
        <v>1649</v>
      </c>
      <c r="H2804" s="213" t="s">
        <v>1649</v>
      </c>
      <c r="I2804" s="212">
        <v>2137</v>
      </c>
      <c r="J2804" s="212">
        <v>2137</v>
      </c>
      <c r="K2804" s="212">
        <v>2137</v>
      </c>
      <c r="L2804" s="212">
        <v>2137</v>
      </c>
      <c r="M2804" s="213" t="s">
        <v>1651</v>
      </c>
      <c r="N2804" s="213" t="s">
        <v>1651</v>
      </c>
      <c r="O2804" s="213" t="s">
        <v>1651</v>
      </c>
      <c r="P2804" s="213" t="s">
        <v>1651</v>
      </c>
      <c r="Q2804" s="213" t="s">
        <v>1651</v>
      </c>
      <c r="R2804" s="213" t="s">
        <v>1651</v>
      </c>
      <c r="S2804" s="214" t="s">
        <v>1422</v>
      </c>
    </row>
    <row r="2805" spans="1:19" s="3" customFormat="1" ht="15" thickBot="1">
      <c r="A2805" s="215">
        <v>2197</v>
      </c>
      <c r="B2805" s="197">
        <v>2198</v>
      </c>
      <c r="C2805" s="197">
        <v>2199</v>
      </c>
      <c r="D2805" s="197">
        <v>2200</v>
      </c>
      <c r="E2805" s="197" t="s">
        <v>1649</v>
      </c>
      <c r="F2805" s="197" t="s">
        <v>1649</v>
      </c>
      <c r="G2805" s="197" t="s">
        <v>1649</v>
      </c>
      <c r="H2805" s="197" t="s">
        <v>1649</v>
      </c>
      <c r="I2805" s="197">
        <v>2193</v>
      </c>
      <c r="J2805" s="197">
        <v>2194</v>
      </c>
      <c r="K2805" s="197">
        <v>2195</v>
      </c>
      <c r="L2805" s="197">
        <v>2196</v>
      </c>
      <c r="M2805" s="197" t="s">
        <v>1651</v>
      </c>
      <c r="N2805" s="197" t="s">
        <v>1651</v>
      </c>
      <c r="O2805" s="197" t="s">
        <v>1651</v>
      </c>
      <c r="P2805" s="197" t="s">
        <v>1651</v>
      </c>
      <c r="Q2805" s="197" t="s">
        <v>1651</v>
      </c>
      <c r="R2805" s="197" t="s">
        <v>1651</v>
      </c>
      <c r="S2805" s="219" t="s">
        <v>1651</v>
      </c>
    </row>
    <row r="2806" spans="1:19" s="3" customFormat="1">
      <c r="A2806" s="212">
        <v>2138</v>
      </c>
      <c r="B2806" s="212">
        <v>2138</v>
      </c>
      <c r="C2806" s="212">
        <v>2138</v>
      </c>
      <c r="D2806" s="212">
        <v>2138</v>
      </c>
      <c r="E2806" s="197" t="s">
        <v>1649</v>
      </c>
      <c r="F2806" s="197" t="s">
        <v>1649</v>
      </c>
      <c r="G2806" s="197" t="s">
        <v>1649</v>
      </c>
      <c r="H2806" s="197" t="s">
        <v>1649</v>
      </c>
      <c r="I2806" s="212">
        <v>2138</v>
      </c>
      <c r="J2806" s="212">
        <v>2138</v>
      </c>
      <c r="K2806" s="212">
        <v>2138</v>
      </c>
      <c r="L2806" s="212">
        <v>2138</v>
      </c>
      <c r="M2806" s="197" t="s">
        <v>1651</v>
      </c>
      <c r="N2806" s="197" t="s">
        <v>1651</v>
      </c>
      <c r="O2806" s="197" t="s">
        <v>1651</v>
      </c>
      <c r="P2806" s="197" t="s">
        <v>1651</v>
      </c>
      <c r="Q2806" s="197" t="s">
        <v>1651</v>
      </c>
      <c r="R2806" s="197" t="s">
        <v>1651</v>
      </c>
      <c r="S2806" s="219" t="s">
        <v>1650</v>
      </c>
    </row>
    <row r="2807" spans="1:19" s="3" customFormat="1" ht="15" thickBot="1">
      <c r="A2807" s="220">
        <v>2205</v>
      </c>
      <c r="B2807" s="216">
        <v>2206</v>
      </c>
      <c r="C2807" s="216">
        <v>2207</v>
      </c>
      <c r="D2807" s="216">
        <v>2208</v>
      </c>
      <c r="E2807" s="216" t="s">
        <v>1649</v>
      </c>
      <c r="F2807" s="216" t="s">
        <v>1649</v>
      </c>
      <c r="G2807" s="216" t="s">
        <v>1649</v>
      </c>
      <c r="H2807" s="216" t="s">
        <v>1649</v>
      </c>
      <c r="I2807" s="216">
        <v>2201</v>
      </c>
      <c r="J2807" s="216">
        <v>2202</v>
      </c>
      <c r="K2807" s="216">
        <v>2203</v>
      </c>
      <c r="L2807" s="216">
        <v>2204</v>
      </c>
      <c r="M2807" s="216" t="s">
        <v>1652</v>
      </c>
      <c r="N2807" s="216" t="s">
        <v>1652</v>
      </c>
      <c r="O2807" s="216" t="s">
        <v>1422</v>
      </c>
      <c r="P2807" s="216" t="s">
        <v>1652</v>
      </c>
      <c r="Q2807" s="216" t="s">
        <v>1652</v>
      </c>
      <c r="R2807" s="216" t="s">
        <v>1422</v>
      </c>
      <c r="S2807" s="217" t="s">
        <v>1422</v>
      </c>
    </row>
    <row r="2808" spans="1:19" ht="15" thickBot="1">
      <c r="A2808" t="s">
        <v>3</v>
      </c>
      <c r="B2808" s="171"/>
      <c r="C2808" s="171"/>
      <c r="D2808" s="171"/>
      <c r="E2808" s="171"/>
      <c r="F2808" s="171"/>
      <c r="G2808" s="171"/>
      <c r="H2808" s="171"/>
      <c r="I2808" s="171"/>
      <c r="J2808" s="171"/>
      <c r="K2808" s="171"/>
      <c r="L2808" s="171"/>
      <c r="M2808" s="171"/>
      <c r="N2808" s="171"/>
      <c r="O2808" s="171"/>
      <c r="P2808" s="171"/>
      <c r="Q2808" s="171"/>
      <c r="R2808" s="171"/>
      <c r="S2808" s="171"/>
    </row>
    <row r="2809" spans="1:19">
      <c r="A2809" s="173">
        <v>2125</v>
      </c>
      <c r="B2809" s="174">
        <v>2133</v>
      </c>
      <c r="C2809" s="174">
        <v>2141</v>
      </c>
      <c r="D2809" s="174">
        <v>2149</v>
      </c>
      <c r="E2809" s="174">
        <v>2157</v>
      </c>
      <c r="F2809" s="174">
        <v>2165</v>
      </c>
      <c r="G2809" s="174">
        <v>2173</v>
      </c>
      <c r="H2809" s="174">
        <v>2181</v>
      </c>
      <c r="I2809" s="174">
        <v>2189</v>
      </c>
      <c r="J2809" s="174">
        <v>2197</v>
      </c>
      <c r="K2809" s="174">
        <v>2205</v>
      </c>
      <c r="L2809" s="174">
        <v>2213</v>
      </c>
      <c r="M2809" s="174">
        <v>2221</v>
      </c>
      <c r="N2809" s="174">
        <v>2229</v>
      </c>
      <c r="O2809" s="174">
        <v>2237</v>
      </c>
      <c r="P2809" s="174">
        <v>2245</v>
      </c>
      <c r="Q2809" s="174">
        <v>2253</v>
      </c>
      <c r="R2809" s="175">
        <v>2261</v>
      </c>
      <c r="S2809" t="s">
        <v>1424</v>
      </c>
    </row>
    <row r="2810" spans="1:19">
      <c r="A2810" s="164">
        <v>2126</v>
      </c>
      <c r="B2810" s="149">
        <v>2134</v>
      </c>
      <c r="C2810" s="149">
        <v>2142</v>
      </c>
      <c r="D2810" s="149">
        <v>2150</v>
      </c>
      <c r="E2810" s="149">
        <v>2158</v>
      </c>
      <c r="F2810" s="149">
        <v>2166</v>
      </c>
      <c r="G2810" s="149">
        <v>2174</v>
      </c>
      <c r="H2810" s="149">
        <v>2182</v>
      </c>
      <c r="I2810" s="149">
        <v>2190</v>
      </c>
      <c r="J2810" s="149">
        <v>2198</v>
      </c>
      <c r="K2810" s="149">
        <v>2206</v>
      </c>
      <c r="L2810" s="149">
        <v>2214</v>
      </c>
      <c r="M2810" s="149">
        <v>2222</v>
      </c>
      <c r="N2810" s="149">
        <v>2230</v>
      </c>
      <c r="O2810" s="149">
        <v>2238</v>
      </c>
      <c r="P2810" s="149">
        <v>2246</v>
      </c>
      <c r="Q2810" s="149">
        <v>2254</v>
      </c>
      <c r="R2810" s="165">
        <v>2262</v>
      </c>
      <c r="S2810" t="s">
        <v>1013</v>
      </c>
    </row>
    <row r="2811" spans="1:19">
      <c r="A2811" s="164">
        <v>2127</v>
      </c>
      <c r="B2811" s="149">
        <v>2135</v>
      </c>
      <c r="C2811" s="149">
        <v>2143</v>
      </c>
      <c r="D2811" s="149">
        <v>2151</v>
      </c>
      <c r="E2811" s="149">
        <v>2159</v>
      </c>
      <c r="F2811" s="149">
        <v>2167</v>
      </c>
      <c r="G2811" s="149">
        <v>2175</v>
      </c>
      <c r="H2811" s="149">
        <v>2183</v>
      </c>
      <c r="I2811" s="149">
        <v>2191</v>
      </c>
      <c r="J2811" s="149">
        <v>2199</v>
      </c>
      <c r="K2811" s="149">
        <v>2207</v>
      </c>
      <c r="L2811" s="149">
        <v>2215</v>
      </c>
      <c r="M2811" s="149">
        <v>2223</v>
      </c>
      <c r="N2811" s="149">
        <v>2231</v>
      </c>
      <c r="O2811" s="149">
        <v>2239</v>
      </c>
      <c r="P2811" s="149">
        <v>2247</v>
      </c>
      <c r="Q2811" s="149">
        <v>2255</v>
      </c>
      <c r="R2811" s="165">
        <v>2263</v>
      </c>
      <c r="S2811" t="s">
        <v>1013</v>
      </c>
    </row>
    <row r="2812" spans="1:19">
      <c r="A2812" s="164">
        <v>2128</v>
      </c>
      <c r="B2812" s="149">
        <v>2136</v>
      </c>
      <c r="C2812" s="149">
        <v>2144</v>
      </c>
      <c r="D2812" s="149">
        <v>2152</v>
      </c>
      <c r="E2812" s="149">
        <v>2160</v>
      </c>
      <c r="F2812" s="149">
        <v>2168</v>
      </c>
      <c r="G2812" s="149">
        <v>2176</v>
      </c>
      <c r="H2812" s="149">
        <v>2184</v>
      </c>
      <c r="I2812" s="149">
        <v>2192</v>
      </c>
      <c r="J2812" s="149">
        <v>2200</v>
      </c>
      <c r="K2812" s="149">
        <v>2208</v>
      </c>
      <c r="L2812" s="149">
        <v>2216</v>
      </c>
      <c r="M2812" s="149">
        <v>2224</v>
      </c>
      <c r="N2812" s="149">
        <v>2232</v>
      </c>
      <c r="O2812" s="149">
        <v>2240</v>
      </c>
      <c r="P2812" s="149">
        <v>2248</v>
      </c>
      <c r="Q2812" s="149">
        <v>2256</v>
      </c>
      <c r="R2812" s="165">
        <v>2264</v>
      </c>
      <c r="S2812" t="s">
        <v>1013</v>
      </c>
    </row>
    <row r="2813" spans="1:19">
      <c r="A2813" s="164">
        <v>2129</v>
      </c>
      <c r="B2813" s="149">
        <v>2137</v>
      </c>
      <c r="C2813" s="149">
        <v>2145</v>
      </c>
      <c r="D2813" s="149">
        <v>2153</v>
      </c>
      <c r="E2813" s="149">
        <v>2161</v>
      </c>
      <c r="F2813" s="149">
        <v>2169</v>
      </c>
      <c r="G2813" s="149">
        <v>2177</v>
      </c>
      <c r="H2813" s="149">
        <v>2185</v>
      </c>
      <c r="I2813" s="149">
        <v>2193</v>
      </c>
      <c r="J2813" s="149">
        <v>2201</v>
      </c>
      <c r="K2813" s="149">
        <v>2209</v>
      </c>
      <c r="L2813" s="149">
        <v>2217</v>
      </c>
      <c r="M2813" s="149">
        <v>2225</v>
      </c>
      <c r="N2813" s="149">
        <v>2233</v>
      </c>
      <c r="O2813" s="149">
        <v>2241</v>
      </c>
      <c r="P2813" s="149">
        <v>2249</v>
      </c>
      <c r="Q2813" s="149">
        <v>2257</v>
      </c>
      <c r="R2813" s="165">
        <v>2265</v>
      </c>
      <c r="S2813" t="s">
        <v>1013</v>
      </c>
    </row>
    <row r="2814" spans="1:19">
      <c r="A2814" s="164">
        <v>2130</v>
      </c>
      <c r="B2814" s="149">
        <v>2138</v>
      </c>
      <c r="C2814" s="149">
        <v>2146</v>
      </c>
      <c r="D2814" s="149">
        <v>2154</v>
      </c>
      <c r="E2814" s="149">
        <v>2162</v>
      </c>
      <c r="F2814" s="149">
        <v>2170</v>
      </c>
      <c r="G2814" s="149">
        <v>2178</v>
      </c>
      <c r="H2814" s="149">
        <v>2186</v>
      </c>
      <c r="I2814" s="149">
        <v>2194</v>
      </c>
      <c r="J2814" s="149">
        <v>2202</v>
      </c>
      <c r="K2814" s="149">
        <v>2210</v>
      </c>
      <c r="L2814" s="149">
        <v>2218</v>
      </c>
      <c r="M2814" s="149">
        <v>2226</v>
      </c>
      <c r="N2814" s="149">
        <v>2234</v>
      </c>
      <c r="O2814" s="149">
        <v>2242</v>
      </c>
      <c r="P2814" s="149">
        <v>2250</v>
      </c>
      <c r="Q2814" s="149">
        <v>2258</v>
      </c>
      <c r="R2814" s="165">
        <v>2266</v>
      </c>
      <c r="S2814" t="s">
        <v>1013</v>
      </c>
    </row>
    <row r="2815" spans="1:19">
      <c r="A2815" s="164">
        <v>2131</v>
      </c>
      <c r="B2815" s="149">
        <v>2139</v>
      </c>
      <c r="C2815" s="149">
        <v>2147</v>
      </c>
      <c r="D2815" s="149">
        <v>2155</v>
      </c>
      <c r="E2815" s="149">
        <v>2163</v>
      </c>
      <c r="F2815" s="149">
        <v>2171</v>
      </c>
      <c r="G2815" s="149">
        <v>2179</v>
      </c>
      <c r="H2815" s="149">
        <v>2187</v>
      </c>
      <c r="I2815" s="149">
        <v>2195</v>
      </c>
      <c r="J2815" s="149">
        <v>2203</v>
      </c>
      <c r="K2815" s="149">
        <v>2211</v>
      </c>
      <c r="L2815" s="149">
        <v>2219</v>
      </c>
      <c r="M2815" s="149">
        <v>2227</v>
      </c>
      <c r="N2815" s="149">
        <v>2235</v>
      </c>
      <c r="O2815" s="149">
        <v>2243</v>
      </c>
      <c r="P2815" s="149">
        <v>2251</v>
      </c>
      <c r="Q2815" s="149">
        <v>2259</v>
      </c>
      <c r="R2815" s="165">
        <v>2267</v>
      </c>
      <c r="S2815" t="s">
        <v>1013</v>
      </c>
    </row>
    <row r="2816" spans="1:19" ht="15" thickBot="1">
      <c r="A2816" s="177">
        <v>2132</v>
      </c>
      <c r="B2816" s="176">
        <v>2140</v>
      </c>
      <c r="C2816" s="176">
        <v>2148</v>
      </c>
      <c r="D2816" s="176">
        <v>2156</v>
      </c>
      <c r="E2816" s="176">
        <v>2164</v>
      </c>
      <c r="F2816" s="176">
        <v>2172</v>
      </c>
      <c r="G2816" s="176">
        <v>2180</v>
      </c>
      <c r="H2816" s="176">
        <v>2188</v>
      </c>
      <c r="I2816" s="176">
        <v>2196</v>
      </c>
      <c r="J2816" s="176">
        <v>2204</v>
      </c>
      <c r="K2816" s="176">
        <v>2212</v>
      </c>
      <c r="L2816" s="176">
        <v>2220</v>
      </c>
      <c r="M2816" s="176">
        <v>2228</v>
      </c>
      <c r="N2816" s="176">
        <v>2236</v>
      </c>
      <c r="O2816" s="176">
        <v>2244</v>
      </c>
      <c r="P2816" s="176">
        <v>2252</v>
      </c>
      <c r="Q2816" s="176">
        <v>2260</v>
      </c>
      <c r="R2816" s="172">
        <v>2268</v>
      </c>
      <c r="S2816" t="s">
        <v>1013</v>
      </c>
    </row>
    <row r="2817" spans="1:19">
      <c r="A2817" s="133" t="s">
        <v>3</v>
      </c>
      <c r="B2817" s="171"/>
      <c r="C2817" s="171"/>
      <c r="D2817" s="171"/>
      <c r="E2817" s="171"/>
      <c r="F2817" s="171"/>
      <c r="G2817" s="171"/>
      <c r="H2817" s="171"/>
      <c r="I2817" s="171"/>
      <c r="J2817" s="171"/>
      <c r="K2817" s="171"/>
      <c r="L2817" s="171"/>
      <c r="M2817" s="171"/>
      <c r="N2817" s="171"/>
      <c r="O2817" s="171"/>
      <c r="P2817" s="171"/>
      <c r="Q2817" s="171"/>
      <c r="R2817" s="171"/>
    </row>
    <row r="2818" spans="1:19">
      <c r="A2818" s="114" t="s">
        <v>1471</v>
      </c>
      <c r="B2818" s="171"/>
      <c r="C2818" s="171"/>
      <c r="D2818" s="171"/>
      <c r="E2818" s="171"/>
      <c r="F2818" s="171"/>
      <c r="G2818" s="171"/>
      <c r="H2818" s="171"/>
      <c r="I2818" s="171"/>
      <c r="J2818" s="171"/>
      <c r="K2818" s="171"/>
      <c r="L2818" s="171"/>
      <c r="M2818" s="171"/>
      <c r="N2818" s="171"/>
      <c r="O2818" s="171"/>
      <c r="P2818" s="171"/>
      <c r="Q2818" s="171"/>
      <c r="R2818" s="171"/>
    </row>
    <row r="2819" spans="1:19">
      <c r="A2819" s="23">
        <v>66</v>
      </c>
      <c r="B2819" s="23">
        <v>1328</v>
      </c>
      <c r="C2819" s="22" t="s">
        <v>3</v>
      </c>
      <c r="F2819" s="114" t="s">
        <v>1472</v>
      </c>
      <c r="J2819" s="171"/>
      <c r="K2819" s="171"/>
      <c r="L2819" s="171"/>
      <c r="M2819" s="171"/>
      <c r="N2819" s="171"/>
      <c r="O2819" s="171"/>
      <c r="P2819" s="171"/>
      <c r="Q2819" s="171"/>
      <c r="R2819" s="171"/>
    </row>
    <row r="2820" spans="1:19" ht="15">
      <c r="A2820" s="23"/>
      <c r="B2820" s="22" t="s">
        <v>3</v>
      </c>
      <c r="F2820" s="84" t="s">
        <v>661</v>
      </c>
      <c r="G2820" s="133"/>
      <c r="H2820" s="133"/>
      <c r="I2820" s="22"/>
      <c r="J2820" s="171"/>
      <c r="K2820" s="171"/>
      <c r="L2820" s="171"/>
      <c r="M2820" s="171"/>
      <c r="N2820" s="171"/>
      <c r="O2820" s="171"/>
      <c r="P2820" s="171"/>
      <c r="Q2820" s="171"/>
      <c r="R2820" s="171"/>
    </row>
    <row r="2821" spans="1:19" ht="15">
      <c r="A2821" s="23"/>
      <c r="B2821" s="22" t="s">
        <v>3</v>
      </c>
      <c r="F2821" s="84" t="s">
        <v>661</v>
      </c>
      <c r="G2821" s="133"/>
      <c r="H2821" s="133"/>
      <c r="I2821" s="22"/>
      <c r="J2821" s="171"/>
      <c r="K2821" s="171"/>
      <c r="L2821" s="171"/>
      <c r="M2821" s="171"/>
      <c r="N2821" s="171"/>
      <c r="O2821" s="171"/>
      <c r="P2821" s="171"/>
      <c r="Q2821" s="171"/>
      <c r="R2821" s="171"/>
    </row>
    <row r="2822" spans="1:19" ht="15">
      <c r="A2822" s="23"/>
      <c r="B2822" s="22" t="s">
        <v>3</v>
      </c>
      <c r="E2822" s="133"/>
      <c r="F2822" s="84" t="s">
        <v>661</v>
      </c>
      <c r="G2822" s="133"/>
      <c r="H2822" s="133"/>
      <c r="I2822" s="22"/>
      <c r="J2822" s="171"/>
      <c r="K2822" s="171"/>
      <c r="L2822" s="171"/>
      <c r="M2822" s="171"/>
      <c r="N2822" s="171"/>
      <c r="O2822" s="171"/>
      <c r="P2822" s="171"/>
      <c r="Q2822" s="171"/>
      <c r="R2822" s="171"/>
    </row>
    <row r="2823" spans="1:19" ht="15">
      <c r="A2823" s="23"/>
      <c r="B2823" s="22" t="s">
        <v>3</v>
      </c>
      <c r="D2823" s="133"/>
      <c r="E2823" s="133"/>
      <c r="F2823" s="84" t="s">
        <v>661</v>
      </c>
      <c r="G2823" s="133"/>
      <c r="H2823" s="133"/>
      <c r="I2823" s="22"/>
      <c r="J2823" s="171"/>
      <c r="K2823" s="171"/>
      <c r="L2823" s="171"/>
      <c r="M2823" s="171"/>
      <c r="N2823" s="171"/>
      <c r="O2823" s="171"/>
      <c r="P2823" s="171"/>
      <c r="Q2823" s="171"/>
      <c r="R2823" s="171"/>
    </row>
    <row r="2824" spans="1:19" ht="15">
      <c r="A2824" s="23"/>
      <c r="B2824" s="22" t="s">
        <v>3</v>
      </c>
      <c r="C2824" s="133"/>
      <c r="D2824" s="133"/>
      <c r="E2824" s="133"/>
      <c r="F2824" s="84" t="s">
        <v>661</v>
      </c>
      <c r="G2824" s="133"/>
      <c r="H2824" s="133"/>
      <c r="I2824" s="22"/>
      <c r="J2824" s="171"/>
      <c r="K2824" s="171"/>
      <c r="L2824" s="171"/>
      <c r="M2824" s="171"/>
      <c r="N2824" s="171"/>
      <c r="O2824" s="171"/>
      <c r="P2824" s="171"/>
      <c r="Q2824" s="171"/>
      <c r="R2824" s="171"/>
    </row>
    <row r="2825" spans="1:19" ht="15">
      <c r="A2825" s="23"/>
      <c r="B2825" s="22" t="s">
        <v>3</v>
      </c>
      <c r="C2825" s="133"/>
      <c r="D2825" s="133"/>
      <c r="E2825" s="133"/>
      <c r="F2825" s="84" t="s">
        <v>661</v>
      </c>
      <c r="G2825" s="133"/>
      <c r="H2825" s="133"/>
      <c r="I2825" s="22"/>
      <c r="J2825" s="171"/>
      <c r="K2825" s="171"/>
      <c r="L2825" s="171"/>
      <c r="M2825" s="171"/>
      <c r="N2825" s="171"/>
      <c r="O2825" s="171"/>
      <c r="P2825" s="171"/>
      <c r="Q2825" s="171"/>
      <c r="R2825" s="171"/>
    </row>
    <row r="2826" spans="1:19">
      <c r="A2826" s="22" t="s">
        <v>3</v>
      </c>
      <c r="C2826" s="133"/>
      <c r="D2826" s="133"/>
      <c r="E2826" s="133"/>
      <c r="F2826" s="133"/>
      <c r="G2826" s="133"/>
      <c r="H2826" s="133"/>
      <c r="I2826" s="22"/>
      <c r="J2826" s="171"/>
      <c r="K2826" s="171"/>
      <c r="L2826" s="171"/>
      <c r="M2826" s="171"/>
      <c r="N2826" s="171"/>
      <c r="O2826" s="171"/>
      <c r="P2826" s="171"/>
      <c r="Q2826" s="171"/>
      <c r="R2826" s="171"/>
    </row>
    <row r="2827" spans="1:19">
      <c r="A2827" s="36" t="s">
        <v>277</v>
      </c>
      <c r="B2827" s="54">
        <f>B2374+1</f>
        <v>17</v>
      </c>
      <c r="C2827" s="36" t="s">
        <v>1035</v>
      </c>
      <c r="D2827" s="36"/>
      <c r="E2827" s="36"/>
      <c r="F2827" s="36"/>
      <c r="G2827" s="36"/>
      <c r="H2827" s="36"/>
      <c r="I2827" s="36"/>
      <c r="J2827" s="36"/>
      <c r="K2827" s="36"/>
      <c r="L2827" s="36"/>
      <c r="M2827" s="36"/>
      <c r="N2827" s="36"/>
      <c r="O2827" s="36"/>
      <c r="P2827" s="36"/>
    </row>
    <row r="2828" spans="1:19">
      <c r="A2828" s="83" t="s">
        <v>2</v>
      </c>
      <c r="B2828" s="84" t="s">
        <v>3</v>
      </c>
      <c r="C2828" s="3"/>
      <c r="D2828" s="3"/>
      <c r="E2828" s="3"/>
      <c r="F2828" s="3" t="s">
        <v>884</v>
      </c>
      <c r="G2828" s="3"/>
      <c r="H2828" s="3"/>
      <c r="I2828" s="40"/>
      <c r="J2828" s="40"/>
      <c r="K2828" s="3"/>
      <c r="L2828" s="35"/>
      <c r="M2828" s="40"/>
      <c r="N2828" s="40"/>
      <c r="O2828" s="40"/>
      <c r="P2828" s="40"/>
      <c r="Q2828" s="3"/>
      <c r="R2828" s="3"/>
      <c r="S2828" s="3"/>
    </row>
    <row r="2829" spans="1:19" ht="15">
      <c r="A2829" s="8">
        <v>0</v>
      </c>
      <c r="B2829" s="8">
        <v>0</v>
      </c>
      <c r="C2829" s="8">
        <v>0</v>
      </c>
      <c r="D2829" s="84" t="s">
        <v>3</v>
      </c>
      <c r="E2829" s="3"/>
      <c r="F2829" s="84" t="s">
        <v>885</v>
      </c>
      <c r="G2829" s="3"/>
      <c r="H2829" s="3"/>
      <c r="I2829" s="40"/>
      <c r="J2829" s="40"/>
      <c r="K2829" s="35"/>
      <c r="L2829" s="35"/>
      <c r="M2829" s="40"/>
      <c r="N2829" s="40"/>
      <c r="O2829" s="40"/>
      <c r="P2829" s="40"/>
      <c r="Q2829" s="3"/>
      <c r="R2829" s="3"/>
      <c r="S2829" s="3"/>
    </row>
    <row r="2830" spans="1:19" ht="15">
      <c r="A2830" s="8">
        <v>5</v>
      </c>
      <c r="B2830" s="84" t="s">
        <v>3</v>
      </c>
      <c r="C2830" s="40"/>
      <c r="D2830" s="40"/>
      <c r="E2830" s="3"/>
      <c r="F2830" s="84" t="s">
        <v>1309</v>
      </c>
      <c r="G2830" s="3"/>
      <c r="H2830" s="3"/>
      <c r="I2830" s="40"/>
      <c r="J2830" s="40"/>
      <c r="K2830" s="3"/>
      <c r="L2830" s="35"/>
      <c r="M2830" s="40"/>
      <c r="N2830" s="40"/>
      <c r="O2830" s="40"/>
      <c r="P2830" s="40"/>
      <c r="Q2830" s="3"/>
      <c r="R2830" s="3"/>
      <c r="S2830" s="3"/>
    </row>
    <row r="2831" spans="1:19" ht="15">
      <c r="A2831" s="8">
        <v>255</v>
      </c>
      <c r="B2831" s="8">
        <v>242</v>
      </c>
      <c r="C2831" s="8">
        <v>0</v>
      </c>
      <c r="D2831" s="84" t="s">
        <v>3</v>
      </c>
      <c r="E2831" s="3"/>
      <c r="F2831" s="84" t="s">
        <v>1314</v>
      </c>
      <c r="G2831" s="85"/>
      <c r="H2831" s="3"/>
      <c r="I2831" s="40"/>
      <c r="J2831" s="40"/>
      <c r="K2831" s="3"/>
      <c r="L2831" s="35"/>
      <c r="M2831" s="40"/>
      <c r="N2831" s="40"/>
      <c r="O2831" s="40"/>
      <c r="P2831" s="40"/>
      <c r="Q2831" s="3"/>
      <c r="R2831" s="3"/>
      <c r="S2831" s="3"/>
    </row>
    <row r="2832" spans="1:19" ht="15">
      <c r="A2832" s="8">
        <v>0</v>
      </c>
      <c r="B2832" s="84" t="s">
        <v>3</v>
      </c>
      <c r="C2832" s="40"/>
      <c r="D2832" s="40"/>
      <c r="E2832" s="40"/>
      <c r="F2832" s="84" t="s">
        <v>661</v>
      </c>
      <c r="G2832" s="40"/>
      <c r="H2832" s="40"/>
      <c r="I2832" s="40"/>
      <c r="J2832" s="40"/>
      <c r="K2832" s="40"/>
      <c r="L2832" s="40"/>
      <c r="M2832" s="40"/>
      <c r="N2832" s="40"/>
      <c r="O2832" s="40"/>
      <c r="P2832" s="40"/>
      <c r="Q2832" s="3"/>
      <c r="R2832" s="3"/>
      <c r="S2832" s="3"/>
    </row>
    <row r="2833" spans="1:19">
      <c r="A2833" s="3" t="s">
        <v>176</v>
      </c>
      <c r="B2833" s="3" t="s">
        <v>3</v>
      </c>
      <c r="C2833" s="40"/>
      <c r="D2833" s="40"/>
      <c r="E2833" s="40"/>
      <c r="F2833" s="84"/>
      <c r="G2833" s="40"/>
      <c r="H2833" s="40"/>
      <c r="I2833" s="40"/>
      <c r="J2833" s="40"/>
      <c r="K2833" s="40"/>
      <c r="L2833" s="40"/>
      <c r="M2833" s="40"/>
      <c r="N2833" s="40"/>
      <c r="O2833" s="40"/>
      <c r="P2833" s="40"/>
      <c r="Q2833" s="3"/>
      <c r="R2833" s="3"/>
      <c r="S2833" s="3"/>
    </row>
    <row r="2834" spans="1:19">
      <c r="A2834" s="48" t="s">
        <v>886</v>
      </c>
      <c r="B2834" s="3"/>
      <c r="C2834" s="40"/>
      <c r="D2834" s="40"/>
      <c r="E2834" s="40"/>
      <c r="F2834" s="3"/>
      <c r="G2834" s="40"/>
      <c r="H2834" s="40"/>
      <c r="I2834" s="40"/>
      <c r="J2834" s="40"/>
      <c r="K2834" s="40"/>
      <c r="L2834" s="40"/>
      <c r="M2834" s="40"/>
      <c r="N2834" s="40"/>
      <c r="O2834" s="40"/>
      <c r="P2834" s="40"/>
      <c r="Q2834" s="3"/>
      <c r="R2834" s="3"/>
      <c r="S2834" s="3"/>
    </row>
    <row r="2835" spans="1:19">
      <c r="A2835" s="8">
        <f>HEX2DEC(20)</f>
        <v>32</v>
      </c>
      <c r="B2835" s="3" t="s">
        <v>3</v>
      </c>
      <c r="C2835" s="40"/>
      <c r="D2835" s="40"/>
      <c r="E2835" s="40"/>
      <c r="F2835" s="3"/>
      <c r="G2835" s="40"/>
      <c r="H2835" s="40"/>
      <c r="I2835" s="40"/>
      <c r="J2835" s="40"/>
      <c r="K2835" s="40"/>
      <c r="L2835" s="40"/>
      <c r="M2835" s="40"/>
      <c r="N2835" s="40"/>
      <c r="O2835" s="40"/>
      <c r="P2835" s="40"/>
      <c r="Q2835" s="3"/>
      <c r="R2835" s="3"/>
      <c r="S2835" s="3"/>
    </row>
    <row r="2836" spans="1:19">
      <c r="A2836" s="83" t="s">
        <v>2</v>
      </c>
      <c r="B2836" s="84" t="s">
        <v>3</v>
      </c>
      <c r="C2836" s="3"/>
      <c r="D2836" s="3"/>
      <c r="E2836" s="3"/>
      <c r="F2836" s="3" t="s">
        <v>887</v>
      </c>
      <c r="G2836" s="3"/>
      <c r="H2836" s="3"/>
      <c r="I2836" s="40"/>
      <c r="J2836" s="40"/>
      <c r="K2836" s="40"/>
      <c r="L2836" s="40"/>
      <c r="M2836" s="40"/>
      <c r="N2836" s="40"/>
      <c r="O2836" s="40"/>
      <c r="P2836" s="40"/>
      <c r="Q2836" s="3"/>
      <c r="R2836" s="3"/>
      <c r="S2836" s="3"/>
    </row>
    <row r="2837" spans="1:19">
      <c r="A2837" s="8" t="s">
        <v>1323</v>
      </c>
      <c r="B2837" s="8" t="s">
        <v>888</v>
      </c>
      <c r="C2837" s="40" t="s">
        <v>32</v>
      </c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</row>
    <row r="2838" spans="1:19">
      <c r="A2838" s="8">
        <v>8</v>
      </c>
      <c r="B2838" s="8">
        <v>0</v>
      </c>
      <c r="C2838" s="40" t="s">
        <v>32</v>
      </c>
      <c r="D2838" s="3"/>
      <c r="E2838" s="3"/>
      <c r="F2838" s="3" t="s">
        <v>890</v>
      </c>
      <c r="G2838" s="40"/>
      <c r="H2838" s="40"/>
      <c r="I2838" s="3"/>
      <c r="J2838" s="3" t="s">
        <v>1326</v>
      </c>
      <c r="K2838" s="40"/>
      <c r="L2838" s="40"/>
      <c r="M2838" s="40"/>
      <c r="N2838" s="40"/>
      <c r="O2838" s="40"/>
      <c r="P2838" s="40"/>
      <c r="Q2838" s="3"/>
      <c r="R2838" s="3"/>
      <c r="S2838" s="3"/>
    </row>
    <row r="2839" spans="1:19">
      <c r="A2839" s="8">
        <v>8</v>
      </c>
      <c r="B2839" s="8">
        <v>1</v>
      </c>
      <c r="C2839" s="40" t="s">
        <v>32</v>
      </c>
      <c r="D2839" s="3"/>
      <c r="E2839" s="3"/>
      <c r="F2839" s="3" t="s">
        <v>891</v>
      </c>
      <c r="G2839" s="40"/>
      <c r="H2839" s="40"/>
      <c r="I2839" s="3"/>
      <c r="J2839" s="142" t="s">
        <v>11</v>
      </c>
      <c r="K2839" s="142" t="s">
        <v>11</v>
      </c>
      <c r="L2839" s="142" t="s">
        <v>11</v>
      </c>
      <c r="M2839" s="142" t="s">
        <v>1340</v>
      </c>
      <c r="N2839" s="142" t="s">
        <v>1339</v>
      </c>
      <c r="O2839" s="142" t="s">
        <v>889</v>
      </c>
      <c r="P2839" s="142" t="s">
        <v>1338</v>
      </c>
      <c r="Q2839" s="142" t="s">
        <v>1337</v>
      </c>
      <c r="R2839" s="3"/>
      <c r="S2839" s="3"/>
    </row>
    <row r="2840" spans="1:19">
      <c r="A2840" s="8">
        <v>8</v>
      </c>
      <c r="B2840" s="8">
        <v>2</v>
      </c>
      <c r="C2840" s="40" t="s">
        <v>32</v>
      </c>
      <c r="D2840" s="3"/>
      <c r="E2840" s="3"/>
      <c r="F2840" s="3" t="s">
        <v>892</v>
      </c>
      <c r="G2840" s="40"/>
      <c r="H2840" s="40"/>
      <c r="I2840" s="3"/>
      <c r="J2840" s="142">
        <v>0</v>
      </c>
      <c r="K2840" s="142">
        <v>0</v>
      </c>
      <c r="L2840" s="142">
        <v>0</v>
      </c>
      <c r="M2840" s="142">
        <v>1</v>
      </c>
      <c r="N2840" s="142">
        <v>1</v>
      </c>
      <c r="O2840" s="142">
        <v>1</v>
      </c>
      <c r="P2840" s="142">
        <v>1</v>
      </c>
      <c r="Q2840" s="142">
        <v>1</v>
      </c>
      <c r="R2840" s="3"/>
      <c r="S2840" s="3"/>
    </row>
    <row r="2841" spans="1:19">
      <c r="A2841" s="8">
        <v>8</v>
      </c>
      <c r="B2841" s="8">
        <v>3</v>
      </c>
      <c r="C2841" s="40" t="s">
        <v>32</v>
      </c>
      <c r="D2841" s="3"/>
      <c r="E2841" s="3"/>
      <c r="F2841" s="84" t="s">
        <v>893</v>
      </c>
      <c r="G2841" s="40"/>
      <c r="H2841" s="40"/>
      <c r="I2841" s="3"/>
      <c r="J2841" s="3" t="s">
        <v>1327</v>
      </c>
      <c r="K2841" s="3"/>
      <c r="L2841" s="40"/>
      <c r="M2841" s="40"/>
      <c r="N2841" s="3"/>
      <c r="O2841" s="3"/>
      <c r="P2841" s="40"/>
      <c r="Q2841" s="3"/>
      <c r="R2841" s="3"/>
      <c r="S2841" s="3"/>
    </row>
    <row r="2842" spans="1:19">
      <c r="A2842" s="8">
        <v>10</v>
      </c>
      <c r="B2842" s="8">
        <v>0</v>
      </c>
      <c r="C2842" s="40" t="s">
        <v>32</v>
      </c>
      <c r="D2842" s="3"/>
      <c r="E2842" s="3"/>
      <c r="F2842" s="117" t="s">
        <v>894</v>
      </c>
      <c r="G2842" s="40"/>
      <c r="H2842" s="40"/>
      <c r="I2842" s="3"/>
      <c r="J2842" s="127" t="s">
        <v>1336</v>
      </c>
      <c r="K2842" s="3"/>
      <c r="L2842" s="40"/>
      <c r="M2842" s="40"/>
      <c r="N2842" s="3"/>
      <c r="O2842" s="3"/>
      <c r="P2842" s="23" t="s">
        <v>1324</v>
      </c>
      <c r="Q2842" s="6">
        <v>0</v>
      </c>
      <c r="R2842" s="3"/>
      <c r="S2842" s="3"/>
    </row>
    <row r="2843" spans="1:19">
      <c r="A2843" s="8">
        <v>11</v>
      </c>
      <c r="B2843" s="8">
        <v>0</v>
      </c>
      <c r="C2843" s="40" t="s">
        <v>32</v>
      </c>
      <c r="D2843" s="3"/>
      <c r="E2843" s="3"/>
      <c r="F2843" s="117" t="s">
        <v>895</v>
      </c>
      <c r="G2843" s="40"/>
      <c r="H2843" s="40"/>
      <c r="I2843" s="3"/>
      <c r="J2843" s="3"/>
      <c r="K2843" s="3"/>
      <c r="L2843" s="3"/>
      <c r="M2843" s="3"/>
      <c r="N2843" s="3"/>
      <c r="O2843" s="3"/>
      <c r="P2843" s="23" t="s">
        <v>1325</v>
      </c>
      <c r="Q2843" s="6">
        <v>1</v>
      </c>
      <c r="R2843" s="3"/>
      <c r="S2843" s="3"/>
    </row>
    <row r="2844" spans="1:19">
      <c r="A2844" s="8">
        <v>11</v>
      </c>
      <c r="B2844" s="8">
        <v>1</v>
      </c>
      <c r="C2844" s="40" t="s">
        <v>32</v>
      </c>
      <c r="D2844" s="3"/>
      <c r="E2844" s="3"/>
      <c r="F2844" s="117" t="s">
        <v>896</v>
      </c>
      <c r="G2844" s="40"/>
      <c r="H2844" s="40"/>
      <c r="I2844" s="3"/>
      <c r="J2844" s="3"/>
      <c r="K2844" s="3"/>
      <c r="L2844" s="3"/>
      <c r="M2844" s="40"/>
      <c r="N2844" s="40"/>
      <c r="O2844" s="40"/>
      <c r="P2844" s="40"/>
      <c r="Q2844" s="3"/>
      <c r="R2844" s="3"/>
      <c r="S2844" s="3"/>
    </row>
    <row r="2845" spans="1:19">
      <c r="A2845" s="8">
        <v>12</v>
      </c>
      <c r="B2845" s="8">
        <v>0</v>
      </c>
      <c r="C2845" s="40" t="s">
        <v>32</v>
      </c>
      <c r="D2845" s="3"/>
      <c r="E2845" s="3"/>
      <c r="F2845" s="117" t="s">
        <v>897</v>
      </c>
      <c r="G2845" s="40"/>
      <c r="H2845" s="40"/>
      <c r="I2845" s="3"/>
      <c r="J2845" s="3"/>
      <c r="K2845" s="3"/>
      <c r="L2845" s="40"/>
      <c r="M2845" s="40"/>
      <c r="N2845" s="40"/>
      <c r="O2845" s="40"/>
      <c r="P2845" s="40"/>
      <c r="Q2845" s="3"/>
      <c r="R2845" s="3"/>
      <c r="S2845" s="3"/>
    </row>
    <row r="2846" spans="1:19">
      <c r="A2846" s="8">
        <v>12</v>
      </c>
      <c r="B2846" s="8">
        <v>1</v>
      </c>
      <c r="C2846" s="40" t="s">
        <v>32</v>
      </c>
      <c r="D2846" s="3"/>
      <c r="E2846" s="3"/>
      <c r="F2846" s="117" t="s">
        <v>898</v>
      </c>
      <c r="G2846" s="40"/>
      <c r="H2846" s="40"/>
      <c r="I2846" s="3"/>
      <c r="J2846" s="3"/>
      <c r="K2846" s="3"/>
      <c r="L2846" s="40"/>
      <c r="M2846" s="40"/>
      <c r="N2846" s="40"/>
      <c r="O2846" s="40"/>
      <c r="P2846" s="40"/>
      <c r="Q2846" s="3"/>
      <c r="R2846" s="3"/>
      <c r="S2846" s="3"/>
    </row>
    <row r="2847" spans="1:19">
      <c r="A2847" s="8">
        <v>13</v>
      </c>
      <c r="B2847" s="8">
        <v>0</v>
      </c>
      <c r="C2847" s="40" t="s">
        <v>32</v>
      </c>
      <c r="D2847" s="3"/>
      <c r="E2847" s="3"/>
      <c r="F2847" s="117" t="s">
        <v>899</v>
      </c>
      <c r="G2847" s="40"/>
      <c r="H2847" s="40"/>
      <c r="I2847" s="3"/>
      <c r="J2847" s="3"/>
      <c r="K2847" s="3"/>
      <c r="L2847" s="40"/>
      <c r="M2847" s="40"/>
      <c r="N2847" s="40"/>
      <c r="O2847" s="40"/>
      <c r="P2847" s="40"/>
      <c r="Q2847" s="3"/>
      <c r="R2847" s="3"/>
      <c r="S2847" s="3"/>
    </row>
    <row r="2848" spans="1:19">
      <c r="A2848" s="8">
        <v>14</v>
      </c>
      <c r="B2848" s="8">
        <v>0</v>
      </c>
      <c r="C2848" s="40" t="s">
        <v>32</v>
      </c>
      <c r="D2848" s="3"/>
      <c r="E2848" s="3"/>
      <c r="F2848" s="117" t="s">
        <v>900</v>
      </c>
      <c r="G2848" s="40"/>
      <c r="H2848" s="40"/>
      <c r="I2848" s="3"/>
      <c r="J2848" s="3"/>
      <c r="K2848" s="3"/>
      <c r="L2848" s="40"/>
      <c r="M2848" s="40"/>
      <c r="N2848" s="40"/>
      <c r="O2848" s="40"/>
      <c r="P2848" s="40"/>
      <c r="Q2848" s="3"/>
      <c r="R2848" s="3"/>
      <c r="S2848" s="3"/>
    </row>
    <row r="2849" spans="1:19">
      <c r="A2849" s="8">
        <v>15</v>
      </c>
      <c r="B2849" s="8">
        <v>0</v>
      </c>
      <c r="C2849" s="40" t="s">
        <v>32</v>
      </c>
      <c r="D2849" s="3"/>
      <c r="E2849" s="3"/>
      <c r="F2849" s="117" t="s">
        <v>901</v>
      </c>
      <c r="G2849" s="40"/>
      <c r="H2849" s="40"/>
      <c r="I2849" s="3"/>
      <c r="J2849" s="3"/>
      <c r="K2849" s="3"/>
      <c r="L2849" s="40"/>
      <c r="M2849" s="40"/>
      <c r="N2849" s="40"/>
      <c r="O2849" s="40"/>
      <c r="P2849" s="40"/>
      <c r="Q2849" s="3"/>
      <c r="R2849" s="3"/>
      <c r="S2849" s="3"/>
    </row>
    <row r="2850" spans="1:19">
      <c r="A2850" s="8">
        <v>16</v>
      </c>
      <c r="B2850" s="8">
        <v>0</v>
      </c>
      <c r="C2850" s="40" t="s">
        <v>32</v>
      </c>
      <c r="D2850" s="3"/>
      <c r="E2850" s="3"/>
      <c r="F2850" s="117" t="s">
        <v>902</v>
      </c>
      <c r="G2850" s="40"/>
      <c r="H2850" s="40"/>
      <c r="I2850" s="3"/>
      <c r="J2850" s="3"/>
      <c r="K2850" s="3"/>
      <c r="L2850" s="40"/>
      <c r="M2850" s="40"/>
      <c r="N2850" s="40"/>
      <c r="O2850" s="40"/>
      <c r="P2850" s="40"/>
      <c r="Q2850" s="3"/>
      <c r="R2850" s="3"/>
      <c r="S2850" s="3"/>
    </row>
    <row r="2851" spans="1:19">
      <c r="A2851" s="8">
        <v>17</v>
      </c>
      <c r="B2851" s="8">
        <v>0</v>
      </c>
      <c r="C2851" s="40" t="s">
        <v>32</v>
      </c>
      <c r="D2851" s="3"/>
      <c r="E2851" s="3"/>
      <c r="F2851" s="117" t="s">
        <v>903</v>
      </c>
      <c r="G2851" s="40"/>
      <c r="H2851" s="40"/>
      <c r="I2851" s="3"/>
      <c r="J2851" s="3"/>
      <c r="K2851" s="3"/>
      <c r="L2851" s="40"/>
      <c r="M2851" s="40"/>
      <c r="N2851" s="40"/>
      <c r="O2851" s="40"/>
      <c r="P2851" s="40"/>
      <c r="Q2851" s="3"/>
      <c r="R2851" s="3"/>
      <c r="S2851" s="3"/>
    </row>
    <row r="2852" spans="1:19">
      <c r="A2852" s="8">
        <v>17</v>
      </c>
      <c r="B2852" s="8">
        <v>1</v>
      </c>
      <c r="C2852" s="40" t="s">
        <v>32</v>
      </c>
      <c r="D2852" s="3"/>
      <c r="E2852" s="3"/>
      <c r="F2852" s="117" t="s">
        <v>904</v>
      </c>
      <c r="G2852" s="40"/>
      <c r="H2852" s="40"/>
      <c r="I2852" s="3"/>
      <c r="J2852" s="3"/>
      <c r="K2852" s="3"/>
      <c r="L2852" s="40"/>
      <c r="M2852" s="40"/>
      <c r="N2852" s="40"/>
      <c r="O2852" s="40"/>
      <c r="P2852" s="40"/>
      <c r="Q2852" s="3"/>
      <c r="R2852" s="3"/>
      <c r="S2852" s="3"/>
    </row>
    <row r="2853" spans="1:19">
      <c r="A2853" s="8">
        <v>17</v>
      </c>
      <c r="B2853" s="8">
        <v>2</v>
      </c>
      <c r="C2853" s="40" t="s">
        <v>32</v>
      </c>
      <c r="D2853" s="3"/>
      <c r="E2853" s="3"/>
      <c r="F2853" s="117" t="s">
        <v>905</v>
      </c>
      <c r="G2853" s="40"/>
      <c r="H2853" s="40"/>
      <c r="I2853" s="3"/>
      <c r="J2853" s="3"/>
      <c r="K2853" s="3"/>
      <c r="L2853" s="40"/>
      <c r="M2853" s="40"/>
      <c r="N2853" s="40"/>
      <c r="O2853" s="40"/>
      <c r="P2853" s="40"/>
      <c r="Q2853" s="3"/>
      <c r="R2853" s="3"/>
      <c r="S2853" s="3"/>
    </row>
    <row r="2854" spans="1:19">
      <c r="A2854" s="8">
        <v>18</v>
      </c>
      <c r="B2854" s="8">
        <v>0</v>
      </c>
      <c r="C2854" s="40" t="s">
        <v>32</v>
      </c>
      <c r="D2854" s="3"/>
      <c r="E2854" s="3"/>
      <c r="F2854" s="117" t="s">
        <v>906</v>
      </c>
      <c r="G2854" s="40"/>
      <c r="H2854" s="40"/>
      <c r="I2854" s="3"/>
      <c r="J2854" s="3"/>
      <c r="K2854" s="3"/>
      <c r="L2854" s="40"/>
      <c r="M2854" s="40"/>
      <c r="N2854" s="40"/>
      <c r="O2854" s="40"/>
      <c r="P2854" s="40"/>
      <c r="Q2854" s="3"/>
      <c r="R2854" s="3"/>
      <c r="S2854" s="3"/>
    </row>
    <row r="2855" spans="1:19">
      <c r="A2855" s="8">
        <v>18</v>
      </c>
      <c r="B2855" s="8">
        <v>1</v>
      </c>
      <c r="C2855" s="40" t="s">
        <v>32</v>
      </c>
      <c r="D2855" s="3"/>
      <c r="E2855" s="3"/>
      <c r="F2855" s="117" t="s">
        <v>907</v>
      </c>
      <c r="G2855" s="40"/>
      <c r="H2855" s="40"/>
      <c r="I2855" s="3"/>
      <c r="J2855" s="3"/>
      <c r="K2855" s="3"/>
      <c r="L2855" s="40"/>
      <c r="M2855" s="40"/>
      <c r="N2855" s="40"/>
      <c r="O2855" s="40"/>
      <c r="P2855" s="40"/>
      <c r="Q2855" s="3"/>
      <c r="R2855" s="3"/>
      <c r="S2855" s="3"/>
    </row>
    <row r="2856" spans="1:19">
      <c r="A2856" s="8">
        <v>18</v>
      </c>
      <c r="B2856" s="8">
        <v>2</v>
      </c>
      <c r="C2856" s="40" t="s">
        <v>32</v>
      </c>
      <c r="D2856" s="3"/>
      <c r="E2856" s="3"/>
      <c r="F2856" s="117" t="s">
        <v>908</v>
      </c>
      <c r="G2856" s="40"/>
      <c r="H2856" s="40"/>
      <c r="I2856" s="3"/>
      <c r="J2856" s="3"/>
      <c r="K2856" s="3"/>
      <c r="L2856" s="40"/>
      <c r="M2856" s="40"/>
      <c r="N2856" s="40"/>
      <c r="O2856" s="40"/>
      <c r="P2856" s="40"/>
      <c r="Q2856" s="3"/>
      <c r="R2856" s="3"/>
      <c r="S2856" s="3"/>
    </row>
    <row r="2857" spans="1:19">
      <c r="A2857" s="8">
        <v>19</v>
      </c>
      <c r="B2857" s="8">
        <v>0</v>
      </c>
      <c r="C2857" s="40" t="s">
        <v>32</v>
      </c>
      <c r="D2857" s="3"/>
      <c r="E2857" s="3"/>
      <c r="F2857" s="117" t="s">
        <v>909</v>
      </c>
      <c r="G2857" s="40"/>
      <c r="H2857" s="40"/>
      <c r="I2857" s="3"/>
      <c r="J2857" s="3"/>
      <c r="K2857" s="3"/>
      <c r="L2857" s="40"/>
      <c r="M2857" s="40"/>
      <c r="N2857" s="40"/>
      <c r="O2857" s="40"/>
      <c r="P2857" s="40"/>
      <c r="Q2857" s="3"/>
      <c r="R2857" s="3"/>
      <c r="S2857" s="3"/>
    </row>
    <row r="2858" spans="1:19">
      <c r="A2858" s="8">
        <v>19</v>
      </c>
      <c r="B2858" s="8">
        <v>1</v>
      </c>
      <c r="C2858" s="40" t="s">
        <v>32</v>
      </c>
      <c r="D2858" s="3"/>
      <c r="E2858" s="3"/>
      <c r="F2858" s="117" t="s">
        <v>910</v>
      </c>
      <c r="G2858" s="40"/>
      <c r="H2858" s="40"/>
      <c r="I2858" s="3"/>
      <c r="J2858" s="3"/>
      <c r="K2858" s="3"/>
      <c r="L2858" s="40"/>
      <c r="M2858" s="40"/>
      <c r="N2858" s="40"/>
      <c r="O2858" s="40"/>
      <c r="P2858" s="40"/>
      <c r="Q2858" s="3"/>
      <c r="R2858" s="3"/>
      <c r="S2858" s="3"/>
    </row>
    <row r="2859" spans="1:19">
      <c r="A2859" s="8">
        <v>20</v>
      </c>
      <c r="B2859" s="8">
        <v>0</v>
      </c>
      <c r="C2859" s="40" t="s">
        <v>32</v>
      </c>
      <c r="D2859" s="3"/>
      <c r="E2859" s="3"/>
      <c r="F2859" s="117" t="s">
        <v>911</v>
      </c>
      <c r="G2859" s="40"/>
      <c r="H2859" s="40"/>
      <c r="I2859" s="3"/>
      <c r="J2859" s="3"/>
      <c r="K2859" s="3"/>
      <c r="L2859" s="40"/>
      <c r="M2859" s="40"/>
      <c r="N2859" s="40"/>
      <c r="O2859" s="40"/>
      <c r="P2859" s="40"/>
      <c r="Q2859" s="3"/>
      <c r="R2859" s="3"/>
      <c r="S2859" s="3"/>
    </row>
    <row r="2860" spans="1:19">
      <c r="A2860" s="8">
        <v>20</v>
      </c>
      <c r="B2860" s="8">
        <v>1</v>
      </c>
      <c r="C2860" s="40" t="s">
        <v>32</v>
      </c>
      <c r="D2860" s="3"/>
      <c r="E2860" s="3"/>
      <c r="F2860" s="117" t="s">
        <v>912</v>
      </c>
      <c r="G2860" s="40"/>
      <c r="H2860" s="40"/>
      <c r="I2860" s="3"/>
      <c r="J2860" s="3"/>
      <c r="K2860" s="3"/>
      <c r="L2860" s="40"/>
      <c r="M2860" s="40"/>
      <c r="N2860" s="40"/>
      <c r="O2860" s="40"/>
      <c r="P2860" s="40"/>
      <c r="Q2860" s="3"/>
      <c r="R2860" s="3"/>
      <c r="S2860" s="3"/>
    </row>
    <row r="2861" spans="1:19">
      <c r="A2861" s="8">
        <v>21</v>
      </c>
      <c r="B2861" s="8">
        <v>0</v>
      </c>
      <c r="C2861" s="40" t="s">
        <v>32</v>
      </c>
      <c r="D2861" s="3"/>
      <c r="E2861" s="3"/>
      <c r="F2861" s="117" t="s">
        <v>913</v>
      </c>
      <c r="G2861" s="40"/>
      <c r="H2861" s="40"/>
      <c r="I2861" s="3"/>
      <c r="J2861" s="3"/>
      <c r="K2861" s="3"/>
      <c r="L2861" s="40"/>
      <c r="M2861" s="40"/>
      <c r="N2861" s="40"/>
      <c r="O2861" s="40"/>
      <c r="P2861" s="40"/>
      <c r="Q2861" s="3"/>
      <c r="R2861" s="3"/>
      <c r="S2861" s="3"/>
    </row>
    <row r="2862" spans="1:19">
      <c r="A2862" s="8">
        <v>22</v>
      </c>
      <c r="B2862" s="8">
        <v>0</v>
      </c>
      <c r="C2862" s="40" t="s">
        <v>32</v>
      </c>
      <c r="D2862" s="3"/>
      <c r="E2862" s="3"/>
      <c r="F2862" s="117" t="s">
        <v>914</v>
      </c>
      <c r="G2862" s="40"/>
      <c r="H2862" s="40"/>
      <c r="I2862" s="3"/>
      <c r="J2862" s="3"/>
      <c r="K2862" s="3"/>
      <c r="L2862" s="40"/>
      <c r="M2862" s="40"/>
      <c r="N2862" s="40"/>
      <c r="O2862" s="40"/>
      <c r="P2862" s="40"/>
      <c r="Q2862" s="3"/>
      <c r="R2862" s="3"/>
      <c r="S2862" s="3"/>
    </row>
    <row r="2863" spans="1:19">
      <c r="A2863" s="8">
        <v>23</v>
      </c>
      <c r="B2863" s="8">
        <v>0</v>
      </c>
      <c r="C2863" s="40" t="s">
        <v>32</v>
      </c>
      <c r="D2863" s="3"/>
      <c r="E2863" s="3"/>
      <c r="F2863" s="117" t="s">
        <v>915</v>
      </c>
      <c r="G2863" s="40"/>
      <c r="H2863" s="40"/>
      <c r="I2863" s="3"/>
      <c r="J2863" s="3"/>
      <c r="K2863" s="3"/>
      <c r="L2863" s="40"/>
      <c r="M2863" s="40"/>
      <c r="N2863" s="40"/>
      <c r="O2863" s="40"/>
      <c r="P2863" s="40"/>
      <c r="Q2863" s="3"/>
      <c r="R2863" s="3"/>
      <c r="S2863" s="3"/>
    </row>
    <row r="2864" spans="1:19">
      <c r="A2864" s="8">
        <v>24</v>
      </c>
      <c r="B2864" s="8">
        <v>0</v>
      </c>
      <c r="C2864" s="40" t="s">
        <v>32</v>
      </c>
      <c r="D2864" s="3"/>
      <c r="E2864" s="3"/>
      <c r="F2864" s="117" t="s">
        <v>916</v>
      </c>
      <c r="G2864" s="40"/>
      <c r="H2864" s="40"/>
      <c r="I2864" s="3"/>
      <c r="J2864" s="3"/>
      <c r="K2864" s="3"/>
      <c r="L2864" s="40"/>
      <c r="M2864" s="40"/>
      <c r="N2864" s="40"/>
      <c r="O2864" s="40"/>
      <c r="P2864" s="40"/>
      <c r="Q2864" s="3"/>
      <c r="R2864" s="3"/>
      <c r="S2864" s="3"/>
    </row>
    <row r="2865" spans="1:19">
      <c r="A2865" s="8">
        <v>25</v>
      </c>
      <c r="B2865" s="8">
        <v>0</v>
      </c>
      <c r="C2865" s="40" t="s">
        <v>32</v>
      </c>
      <c r="D2865" s="3"/>
      <c r="E2865" s="3"/>
      <c r="F2865" s="117" t="s">
        <v>917</v>
      </c>
      <c r="G2865" s="40"/>
      <c r="H2865" s="40"/>
      <c r="I2865" s="3"/>
      <c r="J2865" s="3"/>
      <c r="K2865" s="3"/>
      <c r="L2865" s="40"/>
      <c r="M2865" s="40"/>
      <c r="N2865" s="40"/>
      <c r="O2865" s="40"/>
      <c r="P2865" s="40"/>
      <c r="Q2865" s="3"/>
      <c r="R2865" s="3"/>
      <c r="S2865" s="3"/>
    </row>
    <row r="2866" spans="1:19">
      <c r="A2866" s="8">
        <v>25</v>
      </c>
      <c r="B2866" s="8">
        <v>1</v>
      </c>
      <c r="C2866" s="40" t="s">
        <v>32</v>
      </c>
      <c r="D2866" s="3"/>
      <c r="E2866" s="3"/>
      <c r="F2866" s="117" t="s">
        <v>918</v>
      </c>
      <c r="G2866" s="40"/>
      <c r="H2866" s="40"/>
      <c r="I2866" s="3"/>
      <c r="J2866" s="3"/>
      <c r="K2866" s="3"/>
      <c r="L2866" s="40"/>
      <c r="M2866" s="40"/>
      <c r="N2866" s="40"/>
      <c r="O2866" s="40"/>
      <c r="P2866" s="40"/>
      <c r="Q2866" s="3"/>
      <c r="R2866" s="3"/>
      <c r="S2866" s="3"/>
    </row>
    <row r="2867" spans="1:19">
      <c r="A2867" s="8">
        <v>25</v>
      </c>
      <c r="B2867" s="8">
        <v>2</v>
      </c>
      <c r="C2867" s="40" t="s">
        <v>32</v>
      </c>
      <c r="D2867" s="3"/>
      <c r="E2867" s="3"/>
      <c r="F2867" s="117" t="s">
        <v>919</v>
      </c>
      <c r="G2867" s="40"/>
      <c r="H2867" s="40"/>
      <c r="I2867" s="3"/>
      <c r="J2867" s="3"/>
      <c r="K2867" s="3"/>
      <c r="L2867" s="40"/>
      <c r="M2867" s="40"/>
      <c r="N2867" s="40"/>
      <c r="O2867" s="40"/>
      <c r="P2867" s="40"/>
      <c r="Q2867" s="3"/>
      <c r="R2867" s="3"/>
      <c r="S2867" s="3"/>
    </row>
    <row r="2868" spans="1:19">
      <c r="A2868" s="8">
        <v>26</v>
      </c>
      <c r="B2868" s="8">
        <v>0</v>
      </c>
      <c r="C2868" s="40" t="s">
        <v>32</v>
      </c>
      <c r="D2868" s="3"/>
      <c r="E2868" s="3"/>
      <c r="F2868" s="117" t="s">
        <v>920</v>
      </c>
      <c r="G2868" s="40"/>
      <c r="H2868" s="40"/>
      <c r="I2868" s="3"/>
      <c r="J2868" s="3"/>
      <c r="K2868" s="3"/>
      <c r="L2868" s="40"/>
      <c r="M2868" s="40"/>
      <c r="N2868" s="40"/>
      <c r="O2868" s="40"/>
      <c r="P2868" s="40"/>
      <c r="Q2868" s="3"/>
      <c r="R2868" s="3"/>
      <c r="S2868" s="3"/>
    </row>
    <row r="2869" spans="1:19">
      <c r="A2869" s="8">
        <v>26</v>
      </c>
      <c r="B2869" s="8">
        <v>1</v>
      </c>
      <c r="C2869" s="40" t="s">
        <v>32</v>
      </c>
      <c r="D2869" s="3"/>
      <c r="E2869" s="3"/>
      <c r="F2869" s="117" t="s">
        <v>921</v>
      </c>
      <c r="G2869" s="40"/>
      <c r="H2869" s="40"/>
      <c r="I2869" s="3"/>
      <c r="J2869" s="3"/>
      <c r="K2869" s="3"/>
      <c r="L2869" s="40"/>
      <c r="M2869" s="40"/>
      <c r="N2869" s="40"/>
      <c r="O2869" s="40"/>
      <c r="P2869" s="40"/>
      <c r="Q2869" s="3"/>
      <c r="R2869" s="3"/>
      <c r="S2869" s="3"/>
    </row>
    <row r="2870" spans="1:19">
      <c r="A2870" s="8">
        <v>26</v>
      </c>
      <c r="B2870" s="8">
        <v>2</v>
      </c>
      <c r="C2870" s="40" t="s">
        <v>32</v>
      </c>
      <c r="D2870" s="3"/>
      <c r="E2870" s="3"/>
      <c r="F2870" s="117" t="s">
        <v>922</v>
      </c>
      <c r="G2870" s="40"/>
      <c r="H2870" s="40"/>
      <c r="I2870" s="3"/>
      <c r="J2870" s="3"/>
      <c r="K2870" s="3"/>
      <c r="L2870" s="40"/>
      <c r="M2870" s="40"/>
      <c r="N2870" s="40"/>
      <c r="O2870" s="40"/>
      <c r="P2870" s="40"/>
      <c r="Q2870" s="3"/>
      <c r="R2870" s="3"/>
      <c r="S2870" s="3"/>
    </row>
    <row r="2871" spans="1:19">
      <c r="A2871" s="8">
        <v>0</v>
      </c>
      <c r="B2871" s="8">
        <v>0</v>
      </c>
      <c r="C2871" s="40" t="s">
        <v>32</v>
      </c>
      <c r="D2871" s="3"/>
      <c r="E2871" s="3"/>
      <c r="F2871" s="3" t="s">
        <v>923</v>
      </c>
      <c r="G2871" s="40"/>
      <c r="H2871" s="40"/>
      <c r="I2871" s="3"/>
      <c r="J2871" s="3"/>
      <c r="K2871" s="3"/>
      <c r="L2871" s="40"/>
      <c r="M2871" s="40"/>
      <c r="N2871" s="40"/>
      <c r="O2871" s="40"/>
      <c r="P2871" s="40"/>
      <c r="Q2871" s="3"/>
      <c r="R2871" s="3"/>
      <c r="S2871" s="3"/>
    </row>
    <row r="2872" spans="1:19">
      <c r="A2872" s="8">
        <v>0</v>
      </c>
      <c r="B2872" s="8">
        <v>0</v>
      </c>
      <c r="C2872" s="40" t="s">
        <v>32</v>
      </c>
      <c r="D2872" s="3"/>
      <c r="E2872" s="3"/>
      <c r="F2872" s="3" t="s">
        <v>923</v>
      </c>
      <c r="G2872" s="40"/>
      <c r="H2872" s="40"/>
      <c r="I2872" s="3"/>
      <c r="J2872" s="3"/>
      <c r="K2872" s="3"/>
      <c r="L2872" s="40"/>
      <c r="M2872" s="40"/>
      <c r="N2872" s="40"/>
      <c r="O2872" s="40"/>
      <c r="P2872" s="40"/>
      <c r="Q2872" s="3"/>
      <c r="R2872" s="3"/>
      <c r="S2872" s="3"/>
    </row>
    <row r="2873" spans="1:19">
      <c r="A2873" s="8">
        <v>0</v>
      </c>
      <c r="B2873" s="8">
        <v>0</v>
      </c>
      <c r="C2873" s="40" t="s">
        <v>32</v>
      </c>
      <c r="D2873" s="3"/>
      <c r="E2873" s="3"/>
      <c r="F2873" s="3" t="s">
        <v>923</v>
      </c>
      <c r="G2873" s="40"/>
      <c r="H2873" s="40"/>
      <c r="I2873" s="3"/>
      <c r="J2873" s="3"/>
      <c r="K2873" s="3"/>
      <c r="L2873" s="40"/>
      <c r="M2873" s="40"/>
      <c r="N2873" s="40"/>
      <c r="O2873" s="40"/>
      <c r="P2873" s="40"/>
      <c r="Q2873" s="3"/>
      <c r="R2873" s="3"/>
      <c r="S2873" s="3"/>
    </row>
    <row r="2874" spans="1:19">
      <c r="A2874" s="8">
        <v>0</v>
      </c>
      <c r="B2874" s="8">
        <v>0</v>
      </c>
      <c r="C2874" s="40" t="s">
        <v>32</v>
      </c>
      <c r="D2874" s="3"/>
      <c r="E2874" s="3"/>
      <c r="F2874" s="3" t="s">
        <v>923</v>
      </c>
      <c r="G2874" s="40"/>
      <c r="H2874" s="40"/>
      <c r="I2874" s="3"/>
      <c r="J2874" s="3"/>
      <c r="K2874" s="3"/>
      <c r="L2874" s="40"/>
      <c r="M2874" s="40"/>
      <c r="N2874" s="40"/>
      <c r="O2874" s="40"/>
      <c r="P2874" s="40"/>
      <c r="Q2874" s="3"/>
      <c r="R2874" s="3"/>
      <c r="S2874" s="3"/>
    </row>
    <row r="2875" spans="1:19">
      <c r="A2875" s="8">
        <v>0</v>
      </c>
      <c r="B2875" s="8">
        <v>0</v>
      </c>
      <c r="C2875" s="40" t="s">
        <v>32</v>
      </c>
      <c r="D2875" s="3"/>
      <c r="E2875" s="3"/>
      <c r="F2875" s="3" t="s">
        <v>923</v>
      </c>
      <c r="G2875" s="40"/>
      <c r="H2875" s="40"/>
      <c r="I2875" s="3"/>
      <c r="J2875" s="3"/>
      <c r="K2875" s="3"/>
      <c r="L2875" s="40"/>
      <c r="M2875" s="40"/>
      <c r="N2875" s="40"/>
      <c r="O2875" s="40"/>
      <c r="P2875" s="40"/>
      <c r="Q2875" s="3"/>
      <c r="R2875" s="3"/>
      <c r="S2875" s="3"/>
    </row>
    <row r="2876" spans="1:19">
      <c r="A2876" s="8">
        <v>0</v>
      </c>
      <c r="B2876" s="8">
        <v>0</v>
      </c>
      <c r="C2876" s="40" t="s">
        <v>32</v>
      </c>
      <c r="D2876" s="3"/>
      <c r="E2876" s="3"/>
      <c r="F2876" s="3" t="s">
        <v>923</v>
      </c>
      <c r="G2876" s="40"/>
      <c r="H2876" s="40"/>
      <c r="I2876" s="3"/>
      <c r="J2876" s="3"/>
      <c r="K2876" s="3"/>
      <c r="L2876" s="40"/>
      <c r="M2876" s="40"/>
      <c r="N2876" s="40"/>
      <c r="O2876" s="40"/>
      <c r="P2876" s="40"/>
      <c r="Q2876" s="3"/>
      <c r="R2876" s="3"/>
      <c r="S2876" s="3"/>
    </row>
    <row r="2877" spans="1:19">
      <c r="A2877" s="8">
        <v>0</v>
      </c>
      <c r="B2877" s="8">
        <v>0</v>
      </c>
      <c r="C2877" s="40" t="s">
        <v>32</v>
      </c>
      <c r="D2877" s="3"/>
      <c r="E2877" s="3"/>
      <c r="F2877" s="3" t="s">
        <v>923</v>
      </c>
      <c r="G2877" s="40"/>
      <c r="H2877" s="40"/>
      <c r="I2877" s="3"/>
      <c r="J2877" s="3"/>
      <c r="K2877" s="3"/>
      <c r="L2877" s="40"/>
      <c r="M2877" s="40"/>
      <c r="N2877" s="40"/>
      <c r="O2877" s="40"/>
      <c r="P2877" s="40"/>
      <c r="Q2877" s="3"/>
      <c r="R2877" s="3"/>
      <c r="S2877" s="3"/>
    </row>
    <row r="2878" spans="1:19">
      <c r="A2878" s="83" t="s">
        <v>2</v>
      </c>
      <c r="B2878" s="84" t="s">
        <v>3</v>
      </c>
      <c r="C2878" s="3"/>
      <c r="D2878" s="3"/>
      <c r="E2878" s="3"/>
      <c r="F2878" s="3" t="s">
        <v>924</v>
      </c>
      <c r="G2878" s="3"/>
      <c r="H2878" s="3"/>
      <c r="I2878" s="3"/>
      <c r="J2878" s="40"/>
      <c r="K2878" s="40"/>
      <c r="L2878" s="40"/>
      <c r="M2878" s="40"/>
      <c r="N2878" s="40"/>
      <c r="O2878" s="40"/>
      <c r="P2878" s="40"/>
      <c r="Q2878" s="3"/>
      <c r="R2878" s="3"/>
      <c r="S2878" s="3"/>
    </row>
    <row r="2879" spans="1:19" ht="15">
      <c r="A2879" s="8">
        <v>255</v>
      </c>
      <c r="B2879" s="8">
        <v>242</v>
      </c>
      <c r="C2879" s="8">
        <v>0</v>
      </c>
      <c r="D2879" s="84" t="s">
        <v>3</v>
      </c>
      <c r="E2879" s="40"/>
      <c r="F2879" s="84" t="s">
        <v>1314</v>
      </c>
      <c r="G2879" s="85"/>
      <c r="H2879" s="40"/>
      <c r="I2879" s="3"/>
      <c r="J2879" s="40"/>
      <c r="K2879" s="40"/>
      <c r="L2879" s="40"/>
      <c r="M2879" s="40"/>
      <c r="N2879" s="40"/>
      <c r="O2879" s="40"/>
      <c r="P2879" s="40"/>
      <c r="Q2879" s="3"/>
      <c r="R2879" s="3"/>
      <c r="S2879" s="3"/>
    </row>
    <row r="2880" spans="1:19">
      <c r="A2880" s="8">
        <v>5</v>
      </c>
      <c r="B2880" s="84" t="s">
        <v>3</v>
      </c>
      <c r="C2880" s="40"/>
      <c r="D2880" s="40"/>
      <c r="E2880" s="40"/>
      <c r="F2880" s="84" t="s">
        <v>1515</v>
      </c>
      <c r="G2880" s="85"/>
      <c r="H2880" s="40"/>
      <c r="I2880" s="3"/>
      <c r="J2880" s="40"/>
      <c r="K2880" s="40"/>
      <c r="L2880" s="40"/>
      <c r="M2880" s="40"/>
      <c r="N2880" s="40"/>
      <c r="O2880" s="40"/>
      <c r="P2880" s="40"/>
      <c r="Q2880" s="3"/>
      <c r="R2880" s="3"/>
      <c r="S2880" s="3"/>
    </row>
    <row r="2881" spans="1:19" ht="15">
      <c r="A2881" s="8">
        <v>0</v>
      </c>
      <c r="B2881" s="84" t="s">
        <v>3</v>
      </c>
      <c r="C2881" s="40"/>
      <c r="D2881" s="40"/>
      <c r="E2881" s="40"/>
      <c r="F2881" s="84" t="s">
        <v>661</v>
      </c>
      <c r="G2881" s="85"/>
      <c r="H2881" s="40"/>
      <c r="I2881" s="3"/>
      <c r="J2881" s="40"/>
      <c r="K2881" s="40"/>
      <c r="L2881" s="40"/>
      <c r="M2881" s="40"/>
      <c r="N2881" s="40"/>
      <c r="O2881" s="40"/>
      <c r="P2881" s="40"/>
      <c r="Q2881" s="3"/>
      <c r="R2881" s="3"/>
      <c r="S2881" s="3"/>
    </row>
    <row r="2882" spans="1:19" ht="15">
      <c r="A2882" s="8">
        <v>0</v>
      </c>
      <c r="B2882" s="84" t="s">
        <v>3</v>
      </c>
      <c r="C2882" s="40"/>
      <c r="D2882" s="40"/>
      <c r="E2882" s="40"/>
      <c r="F2882" s="84" t="s">
        <v>661</v>
      </c>
      <c r="G2882" s="85"/>
      <c r="H2882" s="40"/>
      <c r="I2882" s="3"/>
      <c r="J2882" s="40"/>
      <c r="K2882" s="40"/>
      <c r="L2882" s="40"/>
      <c r="M2882" s="40"/>
      <c r="N2882" s="40"/>
      <c r="O2882" s="40"/>
      <c r="P2882" s="40"/>
      <c r="Q2882" s="3"/>
      <c r="R2882" s="3"/>
      <c r="S2882" s="3"/>
    </row>
    <row r="2883" spans="1:19" ht="15">
      <c r="A2883" s="8">
        <v>0</v>
      </c>
      <c r="B2883" s="84" t="s">
        <v>3</v>
      </c>
      <c r="C2883" s="40"/>
      <c r="D2883" s="40"/>
      <c r="E2883" s="40"/>
      <c r="F2883" s="84" t="s">
        <v>661</v>
      </c>
      <c r="G2883" s="85"/>
      <c r="H2883" s="40"/>
      <c r="I2883" s="3"/>
      <c r="J2883" s="40"/>
      <c r="K2883" s="40"/>
      <c r="L2883" s="40"/>
      <c r="M2883" s="40"/>
      <c r="N2883" s="40"/>
      <c r="O2883" s="40"/>
      <c r="P2883" s="40"/>
      <c r="Q2883" s="3"/>
      <c r="R2883" s="3"/>
      <c r="S2883" s="3"/>
    </row>
    <row r="2884" spans="1:19" ht="15">
      <c r="A2884" s="8">
        <v>0</v>
      </c>
      <c r="B2884" s="84" t="s">
        <v>3</v>
      </c>
      <c r="C2884" s="40"/>
      <c r="D2884" s="40"/>
      <c r="E2884" s="40"/>
      <c r="F2884" s="84" t="s">
        <v>661</v>
      </c>
      <c r="G2884" s="85"/>
      <c r="H2884" s="40"/>
      <c r="I2884" s="3"/>
      <c r="J2884" s="40"/>
      <c r="K2884" s="40"/>
      <c r="L2884" s="40"/>
      <c r="M2884" s="40"/>
      <c r="N2884" s="40"/>
      <c r="O2884" s="40"/>
      <c r="P2884" s="40"/>
      <c r="Q2884" s="3"/>
      <c r="R2884" s="3"/>
      <c r="S2884" s="3"/>
    </row>
    <row r="2885" spans="1:19">
      <c r="A2885" s="84" t="s">
        <v>3</v>
      </c>
      <c r="B2885" s="84"/>
      <c r="C2885" s="40"/>
      <c r="D2885" s="40"/>
      <c r="E2885" s="40"/>
      <c r="F2885" s="84"/>
      <c r="G2885" s="85"/>
      <c r="H2885" s="40"/>
      <c r="I2885" s="3"/>
      <c r="J2885" s="40"/>
      <c r="K2885" s="40"/>
      <c r="L2885" s="40"/>
      <c r="M2885" s="40"/>
      <c r="N2885" s="40"/>
      <c r="O2885" s="40"/>
      <c r="P2885" s="40"/>
      <c r="Q2885" s="3"/>
      <c r="R2885" s="3"/>
      <c r="S2885" s="3"/>
    </row>
    <row r="2886" spans="1:19">
      <c r="A2886" s="84" t="s">
        <v>1516</v>
      </c>
      <c r="B2886" s="84"/>
      <c r="C2886" s="40"/>
      <c r="D2886" s="40"/>
      <c r="E2886" s="40"/>
      <c r="F2886" s="84"/>
      <c r="G2886" s="85"/>
      <c r="H2886" s="40"/>
      <c r="I2886" s="3"/>
      <c r="J2886" s="40"/>
      <c r="K2886" s="40"/>
      <c r="L2886" s="40"/>
      <c r="M2886" s="40"/>
      <c r="N2886" s="40"/>
      <c r="O2886" s="40"/>
      <c r="P2886" s="40"/>
      <c r="Q2886" s="3"/>
      <c r="R2886" s="3"/>
      <c r="S2886" s="3"/>
    </row>
    <row r="2887" spans="1:19">
      <c r="A2887" s="84" t="s">
        <v>1517</v>
      </c>
      <c r="B2887" s="84" t="s">
        <v>1518</v>
      </c>
      <c r="C2887" s="40"/>
      <c r="D2887" s="40"/>
      <c r="E2887" s="40"/>
      <c r="F2887" s="84"/>
      <c r="G2887" s="85"/>
      <c r="H2887" s="40"/>
      <c r="I2887" s="3"/>
      <c r="J2887" s="40"/>
      <c r="K2887" s="40"/>
      <c r="L2887" s="40"/>
      <c r="M2887" s="40"/>
      <c r="N2887" s="40"/>
      <c r="O2887" s="40"/>
      <c r="P2887" s="40"/>
      <c r="Q2887" s="3"/>
      <c r="R2887" s="3"/>
      <c r="S2887" s="3"/>
    </row>
    <row r="2888" spans="1:19">
      <c r="A2888" s="6"/>
      <c r="B2888" s="6"/>
      <c r="C2888" s="84" t="s">
        <v>3</v>
      </c>
      <c r="D2888" s="40"/>
      <c r="E2888" s="40"/>
      <c r="F2888" s="84" t="s">
        <v>1519</v>
      </c>
      <c r="G2888" s="85"/>
      <c r="H2888" s="84" t="s">
        <v>1527</v>
      </c>
      <c r="I2888" s="3"/>
      <c r="J2888" s="40"/>
      <c r="K2888" s="40"/>
      <c r="L2888" s="40"/>
      <c r="M2888" s="40"/>
      <c r="N2888" s="40"/>
      <c r="O2888" s="40"/>
      <c r="P2888" s="40"/>
      <c r="Q2888" s="3"/>
      <c r="R2888" s="3"/>
      <c r="S2888" s="3"/>
    </row>
    <row r="2889" spans="1:19">
      <c r="A2889" s="6"/>
      <c r="B2889" s="6"/>
      <c r="C2889" s="84" t="s">
        <v>3</v>
      </c>
      <c r="D2889" s="40"/>
      <c r="E2889" s="40"/>
      <c r="F2889" s="84" t="s">
        <v>1520</v>
      </c>
      <c r="G2889" s="85"/>
      <c r="H2889" s="84" t="s">
        <v>1528</v>
      </c>
      <c r="I2889" s="3"/>
      <c r="J2889" s="40"/>
      <c r="K2889" s="40"/>
      <c r="L2889" s="40"/>
      <c r="M2889" s="40"/>
      <c r="N2889" s="40"/>
      <c r="O2889" s="40"/>
      <c r="P2889" s="40"/>
      <c r="Q2889" s="3"/>
      <c r="R2889" s="3"/>
      <c r="S2889" s="3"/>
    </row>
    <row r="2890" spans="1:19">
      <c r="A2890" s="6"/>
      <c r="B2890" s="6"/>
      <c r="C2890" s="84" t="s">
        <v>3</v>
      </c>
      <c r="D2890" s="40"/>
      <c r="E2890" s="40"/>
      <c r="F2890" s="84" t="s">
        <v>1521</v>
      </c>
      <c r="G2890" s="85"/>
      <c r="H2890" s="84" t="s">
        <v>1529</v>
      </c>
      <c r="I2890" s="3"/>
      <c r="J2890" s="40"/>
      <c r="K2890" s="40"/>
      <c r="L2890" s="40"/>
      <c r="M2890" s="40"/>
      <c r="N2890" s="40"/>
      <c r="O2890" s="40"/>
      <c r="P2890" s="40"/>
      <c r="Q2890" s="3"/>
      <c r="R2890" s="3"/>
      <c r="S2890" s="3"/>
    </row>
    <row r="2891" spans="1:19">
      <c r="A2891" s="6"/>
      <c r="B2891" s="6"/>
      <c r="C2891" s="84" t="s">
        <v>3</v>
      </c>
      <c r="D2891" s="40"/>
      <c r="E2891" s="40"/>
      <c r="F2891" s="84" t="s">
        <v>1522</v>
      </c>
      <c r="G2891" s="85"/>
      <c r="H2891" s="84" t="s">
        <v>1530</v>
      </c>
      <c r="I2891" s="3"/>
      <c r="J2891" s="40"/>
      <c r="K2891" s="40"/>
      <c r="L2891" s="40"/>
      <c r="M2891" s="40"/>
      <c r="N2891" s="40"/>
      <c r="O2891" s="40"/>
      <c r="P2891" s="40"/>
      <c r="Q2891" s="3"/>
      <c r="R2891" s="3"/>
      <c r="S2891" s="3"/>
    </row>
    <row r="2892" spans="1:19">
      <c r="A2892" s="6">
        <v>255</v>
      </c>
      <c r="B2892" s="6"/>
      <c r="C2892" s="84" t="s">
        <v>3</v>
      </c>
      <c r="D2892" s="40"/>
      <c r="E2892" s="40"/>
      <c r="F2892" s="84" t="s">
        <v>1523</v>
      </c>
      <c r="G2892" s="85"/>
      <c r="H2892" s="84" t="s">
        <v>1531</v>
      </c>
      <c r="I2892" s="3"/>
      <c r="J2892" s="40"/>
      <c r="K2892" s="40"/>
      <c r="L2892" s="40"/>
      <c r="M2892" s="40"/>
      <c r="N2892" s="40"/>
      <c r="O2892" s="40"/>
      <c r="P2892" s="40"/>
      <c r="Q2892" s="3"/>
      <c r="R2892" s="3"/>
      <c r="S2892" s="3"/>
    </row>
    <row r="2893" spans="1:19">
      <c r="A2893" s="6"/>
      <c r="B2893" s="6"/>
      <c r="C2893" s="84" t="s">
        <v>3</v>
      </c>
      <c r="D2893" s="40"/>
      <c r="E2893" s="40"/>
      <c r="F2893" s="84" t="s">
        <v>1524</v>
      </c>
      <c r="G2893" s="85"/>
      <c r="H2893" s="84" t="s">
        <v>1532</v>
      </c>
      <c r="I2893" s="3"/>
      <c r="J2893" s="40"/>
      <c r="K2893" s="40"/>
      <c r="L2893" s="40"/>
      <c r="M2893" s="40"/>
      <c r="N2893" s="40"/>
      <c r="O2893" s="40"/>
      <c r="P2893" s="40"/>
      <c r="Q2893" s="3"/>
      <c r="R2893" s="3"/>
      <c r="S2893" s="3"/>
    </row>
    <row r="2894" spans="1:19">
      <c r="A2894" s="6"/>
      <c r="B2894" s="6">
        <v>255</v>
      </c>
      <c r="C2894" s="84" t="s">
        <v>3</v>
      </c>
      <c r="D2894" s="40"/>
      <c r="E2894" s="40"/>
      <c r="F2894" s="84" t="s">
        <v>1525</v>
      </c>
      <c r="G2894" s="85"/>
      <c r="H2894" s="84" t="s">
        <v>1533</v>
      </c>
      <c r="I2894" s="3"/>
      <c r="J2894" s="40"/>
      <c r="K2894" s="40"/>
      <c r="L2894" s="40"/>
      <c r="M2894" s="40"/>
      <c r="N2894" s="40"/>
      <c r="O2894" s="40"/>
      <c r="P2894" s="40"/>
      <c r="Q2894" s="3"/>
      <c r="R2894" s="3"/>
      <c r="S2894" s="3"/>
    </row>
    <row r="2895" spans="1:19">
      <c r="A2895" s="6">
        <v>255</v>
      </c>
      <c r="B2895" s="6">
        <v>255</v>
      </c>
      <c r="C2895" s="84" t="s">
        <v>3</v>
      </c>
      <c r="D2895" s="40"/>
      <c r="E2895" s="40"/>
      <c r="F2895" s="84" t="s">
        <v>1526</v>
      </c>
      <c r="G2895" s="85"/>
      <c r="H2895" s="84" t="s">
        <v>1534</v>
      </c>
      <c r="I2895" s="3"/>
      <c r="J2895" s="40"/>
      <c r="K2895" s="40"/>
      <c r="L2895" s="40"/>
      <c r="M2895" s="40"/>
      <c r="N2895" s="40"/>
      <c r="O2895" s="40"/>
      <c r="P2895" s="40"/>
      <c r="Q2895" s="3"/>
      <c r="R2895" s="3"/>
      <c r="S2895" s="3"/>
    </row>
    <row r="2896" spans="1:19">
      <c r="A2896" s="36" t="s">
        <v>277</v>
      </c>
      <c r="B2896" s="54">
        <f>B2827+1</f>
        <v>18</v>
      </c>
      <c r="C2896" s="36" t="s">
        <v>664</v>
      </c>
      <c r="D2896" s="36"/>
      <c r="E2896" s="36"/>
      <c r="F2896" s="36"/>
      <c r="G2896" s="36"/>
      <c r="H2896" s="36"/>
      <c r="I2896" s="36"/>
      <c r="J2896" s="36"/>
      <c r="K2896" s="36"/>
      <c r="L2896" s="36"/>
      <c r="M2896" s="36"/>
      <c r="N2896" s="36"/>
      <c r="O2896" s="36"/>
      <c r="P2896" s="36"/>
    </row>
    <row r="2897" spans="1:17">
      <c r="A2897" s="83" t="s">
        <v>2</v>
      </c>
      <c r="B2897" s="84" t="s">
        <v>3</v>
      </c>
      <c r="C2897" s="3"/>
      <c r="D2897" s="3"/>
      <c r="E2897" s="3"/>
      <c r="F2897" s="3" t="s">
        <v>665</v>
      </c>
      <c r="G2897" s="3"/>
      <c r="H2897" s="3"/>
      <c r="I2897" s="40"/>
      <c r="J2897" s="40"/>
      <c r="K2897" s="40"/>
      <c r="L2897" s="40"/>
      <c r="M2897" s="40"/>
      <c r="N2897" s="40"/>
      <c r="O2897" s="40"/>
      <c r="P2897" s="40"/>
      <c r="Q2897" s="3"/>
    </row>
    <row r="2898" spans="1:17">
      <c r="A2898" s="8">
        <v>0</v>
      </c>
      <c r="B2898" s="8">
        <v>0</v>
      </c>
      <c r="C2898" s="8">
        <v>0</v>
      </c>
      <c r="D2898" s="84" t="s">
        <v>3</v>
      </c>
      <c r="E2898" s="3"/>
      <c r="F2898" s="84" t="s">
        <v>666</v>
      </c>
      <c r="G2898" s="3"/>
      <c r="H2898" s="3"/>
      <c r="I2898" s="40"/>
      <c r="J2898" s="40"/>
      <c r="K2898" s="40"/>
      <c r="L2898" s="40"/>
      <c r="M2898" s="40"/>
      <c r="N2898" s="40"/>
      <c r="O2898" s="40"/>
      <c r="P2898" s="40"/>
      <c r="Q2898" s="3"/>
    </row>
    <row r="2899" spans="1:17">
      <c r="A2899" s="8">
        <v>0</v>
      </c>
      <c r="B2899" s="8">
        <v>0</v>
      </c>
      <c r="C2899" s="8">
        <v>0</v>
      </c>
      <c r="D2899" s="84" t="s">
        <v>3</v>
      </c>
      <c r="E2899" s="3"/>
      <c r="F2899" s="84" t="s">
        <v>872</v>
      </c>
      <c r="G2899" s="3"/>
      <c r="H2899" s="3"/>
      <c r="I2899" s="40"/>
      <c r="J2899" s="40"/>
      <c r="K2899" s="40"/>
      <c r="L2899" s="40"/>
      <c r="M2899" s="40"/>
      <c r="N2899" s="40"/>
      <c r="O2899" s="40"/>
      <c r="P2899" s="40"/>
      <c r="Q2899" s="3"/>
    </row>
    <row r="2900" spans="1:17">
      <c r="A2900" s="8">
        <v>0</v>
      </c>
      <c r="B2900" s="8">
        <v>0</v>
      </c>
      <c r="C2900" s="8">
        <v>0</v>
      </c>
      <c r="D2900" s="84" t="s">
        <v>3</v>
      </c>
      <c r="E2900" s="3"/>
      <c r="F2900" s="84" t="s">
        <v>667</v>
      </c>
      <c r="G2900" s="3"/>
      <c r="H2900" s="3"/>
      <c r="I2900" s="40"/>
      <c r="J2900" s="40"/>
      <c r="K2900" s="40"/>
      <c r="L2900" s="40"/>
      <c r="M2900" s="40"/>
      <c r="N2900" s="40"/>
      <c r="O2900" s="40"/>
      <c r="P2900" s="40"/>
      <c r="Q2900" s="3"/>
    </row>
    <row r="2901" spans="1:17" ht="15">
      <c r="A2901" s="8">
        <v>0</v>
      </c>
      <c r="B2901" s="8">
        <v>0</v>
      </c>
      <c r="C2901" s="8">
        <v>0</v>
      </c>
      <c r="D2901" s="84" t="s">
        <v>3</v>
      </c>
      <c r="E2901" s="3"/>
      <c r="F2901" s="84" t="s">
        <v>668</v>
      </c>
      <c r="G2901" s="3"/>
      <c r="H2901" s="3"/>
      <c r="I2901" s="40"/>
      <c r="J2901" s="40"/>
      <c r="K2901" s="40"/>
      <c r="L2901" s="40"/>
      <c r="M2901" s="40"/>
      <c r="N2901" s="40"/>
      <c r="O2901" s="40"/>
      <c r="P2901" s="40"/>
      <c r="Q2901" s="3"/>
    </row>
    <row r="2902" spans="1:17">
      <c r="A2902" s="8">
        <v>0</v>
      </c>
      <c r="B2902" s="8">
        <v>0</v>
      </c>
      <c r="C2902" s="8">
        <v>0</v>
      </c>
      <c r="D2902" s="84" t="s">
        <v>3</v>
      </c>
      <c r="E2902" s="83"/>
      <c r="F2902" s="84" t="s">
        <v>659</v>
      </c>
      <c r="G2902" s="83"/>
      <c r="H2902" s="83"/>
      <c r="I2902" s="40"/>
      <c r="J2902" s="40"/>
      <c r="K2902" s="40"/>
      <c r="L2902" s="40"/>
      <c r="M2902" s="40"/>
      <c r="N2902" s="40"/>
      <c r="O2902" s="40"/>
      <c r="P2902" s="40"/>
      <c r="Q2902" s="3"/>
    </row>
    <row r="2903" spans="1:17" ht="15">
      <c r="A2903" s="8">
        <v>0</v>
      </c>
      <c r="B2903" s="8">
        <v>0</v>
      </c>
      <c r="C2903" s="8">
        <v>0</v>
      </c>
      <c r="D2903" s="84" t="s">
        <v>3</v>
      </c>
      <c r="E2903" s="40"/>
      <c r="F2903" s="84" t="s">
        <v>873</v>
      </c>
      <c r="G2903" s="40"/>
      <c r="H2903" s="40"/>
      <c r="I2903" s="40"/>
      <c r="J2903" s="40"/>
      <c r="K2903" s="40"/>
      <c r="L2903" s="40"/>
      <c r="M2903" s="40"/>
      <c r="N2903" s="40"/>
      <c r="O2903" s="40"/>
      <c r="P2903" s="40"/>
      <c r="Q2903" s="3"/>
    </row>
    <row r="2904" spans="1:17" ht="15">
      <c r="A2904" s="8">
        <v>255</v>
      </c>
      <c r="B2904" s="8">
        <v>0</v>
      </c>
      <c r="C2904" s="8">
        <v>0</v>
      </c>
      <c r="D2904" s="84" t="s">
        <v>3</v>
      </c>
      <c r="E2904" s="40"/>
      <c r="F2904" s="84" t="s">
        <v>1019</v>
      </c>
      <c r="G2904" s="40"/>
      <c r="H2904" s="40"/>
      <c r="I2904" s="40"/>
      <c r="J2904" s="40"/>
      <c r="K2904" s="40"/>
      <c r="L2904" s="40"/>
      <c r="M2904" s="40"/>
      <c r="N2904" s="40"/>
      <c r="O2904" s="40"/>
      <c r="P2904" s="40"/>
      <c r="Q2904" s="3"/>
    </row>
    <row r="2905" spans="1:17" ht="15">
      <c r="A2905" s="8">
        <v>0</v>
      </c>
      <c r="B2905" s="84" t="s">
        <v>3</v>
      </c>
      <c r="C2905" s="40"/>
      <c r="D2905" s="40"/>
      <c r="E2905" s="40"/>
      <c r="F2905" s="84" t="s">
        <v>1462</v>
      </c>
      <c r="G2905" s="40"/>
      <c r="H2905" s="40"/>
      <c r="I2905" s="40"/>
      <c r="J2905" s="40"/>
      <c r="K2905" s="40"/>
      <c r="L2905" s="40"/>
      <c r="M2905" s="40"/>
      <c r="N2905" s="40"/>
      <c r="O2905" s="40"/>
      <c r="P2905" s="40"/>
      <c r="Q2905" s="3"/>
    </row>
    <row r="2906" spans="1:17" ht="15">
      <c r="A2906" s="8">
        <v>0</v>
      </c>
      <c r="B2906" s="84" t="s">
        <v>3</v>
      </c>
      <c r="C2906" s="40"/>
      <c r="D2906" s="40"/>
      <c r="E2906" s="40"/>
      <c r="F2906" s="84" t="s">
        <v>661</v>
      </c>
      <c r="G2906" s="40"/>
      <c r="H2906" s="40"/>
      <c r="I2906" s="40"/>
      <c r="J2906" s="40"/>
      <c r="K2906" s="40"/>
      <c r="L2906" s="40"/>
      <c r="M2906" s="40"/>
      <c r="N2906" s="40"/>
      <c r="O2906" s="40"/>
      <c r="P2906" s="40"/>
      <c r="Q2906" s="3"/>
    </row>
    <row r="2907" spans="1:17" ht="15">
      <c r="A2907" s="8">
        <v>0</v>
      </c>
      <c r="B2907" s="84" t="s">
        <v>3</v>
      </c>
      <c r="C2907" s="40"/>
      <c r="D2907" s="40"/>
      <c r="E2907" s="40"/>
      <c r="F2907" s="84" t="s">
        <v>661</v>
      </c>
      <c r="G2907" s="40"/>
      <c r="H2907" s="40"/>
      <c r="I2907" s="40"/>
      <c r="J2907" s="40"/>
      <c r="K2907" s="40"/>
      <c r="L2907" s="40"/>
      <c r="M2907" s="40"/>
      <c r="N2907" s="40"/>
      <c r="O2907" s="40"/>
      <c r="P2907" s="40"/>
      <c r="Q2907" s="3"/>
    </row>
    <row r="2908" spans="1:17">
      <c r="A2908" s="3" t="s">
        <v>176</v>
      </c>
      <c r="B2908" s="3" t="s">
        <v>3</v>
      </c>
      <c r="C2908" s="15"/>
      <c r="D2908" s="3"/>
      <c r="E2908" s="3"/>
      <c r="F2908" s="3"/>
      <c r="G2908" s="40"/>
      <c r="H2908" s="40"/>
      <c r="I2908" s="40"/>
      <c r="J2908" s="40"/>
      <c r="K2908" s="40"/>
      <c r="L2908" s="40"/>
      <c r="M2908" s="40"/>
      <c r="N2908" s="40"/>
      <c r="O2908" s="40"/>
      <c r="P2908" s="40"/>
      <c r="Q2908" s="3"/>
    </row>
    <row r="2909" spans="1:17">
      <c r="A2909" t="s">
        <v>1010</v>
      </c>
      <c r="B2909"/>
      <c r="D2909" s="3" t="s">
        <v>1013</v>
      </c>
      <c r="E2909" s="3"/>
      <c r="F2909" s="3"/>
      <c r="G2909" s="40"/>
      <c r="H2909" s="40"/>
      <c r="I2909" s="40"/>
      <c r="J2909" s="40"/>
      <c r="K2909" s="40"/>
      <c r="L2909" s="40"/>
      <c r="M2909" s="40"/>
      <c r="N2909" s="40"/>
      <c r="O2909" s="40"/>
      <c r="P2909" s="40"/>
      <c r="Q2909" s="3"/>
    </row>
    <row r="2910" spans="1:17">
      <c r="A2910" s="121" t="s">
        <v>1011</v>
      </c>
      <c r="B2910" s="122" t="s">
        <v>1012</v>
      </c>
      <c r="C2910" s="125"/>
      <c r="D2910" s="3" t="s">
        <v>1013</v>
      </c>
      <c r="E2910" s="3"/>
      <c r="F2910" s="3"/>
      <c r="G2910" s="40"/>
      <c r="H2910" s="40"/>
      <c r="I2910" s="40"/>
      <c r="J2910" s="40"/>
      <c r="K2910" s="40"/>
      <c r="L2910" s="40"/>
      <c r="M2910" s="40"/>
      <c r="N2910" s="40"/>
      <c r="O2910" s="40"/>
      <c r="P2910" s="40"/>
      <c r="Q2910" s="3"/>
    </row>
    <row r="2911" spans="1:17">
      <c r="A2911" s="121">
        <v>0</v>
      </c>
      <c r="B2911" s="122" t="s">
        <v>697</v>
      </c>
      <c r="C2911" s="125"/>
      <c r="D2911" s="3"/>
      <c r="E2911" s="3"/>
      <c r="F2911" s="3"/>
      <c r="G2911" s="40"/>
      <c r="H2911" s="40"/>
      <c r="I2911" s="40"/>
      <c r="J2911" s="40"/>
      <c r="K2911" s="40"/>
      <c r="L2911" s="40"/>
      <c r="M2911" s="40"/>
      <c r="N2911" s="40"/>
      <c r="O2911" s="40"/>
      <c r="P2911" s="40"/>
      <c r="Q2911" s="3"/>
    </row>
    <row r="2912" spans="1:17">
      <c r="A2912" s="121">
        <v>1</v>
      </c>
      <c r="B2912" s="122" t="s">
        <v>697</v>
      </c>
      <c r="C2912" s="125"/>
      <c r="D2912" s="3" t="s">
        <v>1013</v>
      </c>
      <c r="E2912" s="3"/>
      <c r="F2912" s="3"/>
      <c r="G2912" s="40"/>
      <c r="H2912" s="40"/>
      <c r="I2912" s="40"/>
      <c r="J2912" s="40"/>
      <c r="K2912" s="40"/>
      <c r="L2912" s="40"/>
      <c r="M2912" s="40"/>
      <c r="N2912" s="40"/>
      <c r="O2912" s="40"/>
      <c r="P2912" s="40"/>
      <c r="Q2912" s="3"/>
    </row>
    <row r="2913" spans="1:17">
      <c r="A2913" s="121">
        <v>2</v>
      </c>
      <c r="B2913" s="122" t="s">
        <v>1002</v>
      </c>
      <c r="C2913" s="125"/>
      <c r="D2913" s="3" t="s">
        <v>1013</v>
      </c>
      <c r="E2913" s="3"/>
      <c r="F2913" s="3"/>
      <c r="G2913" s="40"/>
      <c r="H2913" s="40"/>
      <c r="I2913" s="40"/>
      <c r="J2913" s="40"/>
      <c r="K2913" s="40"/>
      <c r="L2913" s="40"/>
      <c r="M2913" s="40"/>
      <c r="N2913" s="40"/>
      <c r="O2913" s="40"/>
      <c r="P2913" s="40"/>
      <c r="Q2913" s="3"/>
    </row>
    <row r="2914" spans="1:17" ht="16.5">
      <c r="A2914" s="121">
        <v>3</v>
      </c>
      <c r="B2914" s="122" t="s">
        <v>1003</v>
      </c>
      <c r="C2914" s="125"/>
      <c r="D2914" s="3" t="s">
        <v>1013</v>
      </c>
      <c r="E2914" s="3"/>
      <c r="F2914" s="3"/>
      <c r="G2914" s="40"/>
      <c r="H2914" s="40"/>
      <c r="I2914" s="40"/>
      <c r="J2914" s="40"/>
      <c r="K2914" s="40"/>
      <c r="L2914" s="40"/>
      <c r="M2914" s="40"/>
      <c r="N2914" s="40"/>
      <c r="O2914" s="40"/>
      <c r="P2914" s="40"/>
      <c r="Q2914" s="3"/>
    </row>
    <row r="2915" spans="1:17">
      <c r="A2915" s="121">
        <v>4</v>
      </c>
      <c r="B2915" s="122" t="s">
        <v>697</v>
      </c>
      <c r="C2915" s="125"/>
      <c r="D2915" s="3" t="s">
        <v>1013</v>
      </c>
      <c r="E2915" s="3"/>
      <c r="F2915" s="3"/>
      <c r="G2915" s="40"/>
      <c r="H2915" s="40"/>
      <c r="I2915" s="40"/>
      <c r="J2915" s="40"/>
      <c r="K2915" s="40"/>
      <c r="L2915" s="40"/>
      <c r="M2915" s="40"/>
      <c r="N2915" s="40"/>
      <c r="O2915" s="40"/>
      <c r="P2915" s="40"/>
      <c r="Q2915" s="3"/>
    </row>
    <row r="2916" spans="1:17" ht="15">
      <c r="A2916" s="121">
        <v>5</v>
      </c>
      <c r="B2916" s="123" t="s">
        <v>1004</v>
      </c>
      <c r="C2916" s="125"/>
      <c r="D2916" s="3" t="s">
        <v>1013</v>
      </c>
      <c r="E2916" s="3"/>
      <c r="F2916" s="3"/>
      <c r="G2916" s="40"/>
      <c r="H2916" s="40"/>
      <c r="I2916" s="40"/>
      <c r="J2916" s="40"/>
      <c r="K2916" s="40"/>
      <c r="L2916" s="40"/>
      <c r="M2916" s="40"/>
      <c r="N2916" s="40"/>
      <c r="O2916" s="40"/>
      <c r="P2916" s="40"/>
      <c r="Q2916" s="3"/>
    </row>
    <row r="2917" spans="1:17">
      <c r="A2917" s="121">
        <v>6</v>
      </c>
      <c r="B2917" s="122" t="s">
        <v>697</v>
      </c>
      <c r="C2917" s="125"/>
      <c r="D2917" s="3" t="s">
        <v>1013</v>
      </c>
      <c r="E2917" s="3"/>
      <c r="F2917" s="3"/>
      <c r="G2917" s="40"/>
      <c r="H2917" s="40"/>
      <c r="I2917" s="40"/>
      <c r="J2917" s="40"/>
      <c r="K2917" s="40"/>
      <c r="L2917" s="40"/>
      <c r="M2917" s="40"/>
      <c r="N2917" s="40"/>
      <c r="O2917" s="40"/>
      <c r="P2917" s="40"/>
      <c r="Q2917" s="3"/>
    </row>
    <row r="2918" spans="1:17">
      <c r="A2918" s="121">
        <v>7</v>
      </c>
      <c r="B2918" s="122" t="s">
        <v>697</v>
      </c>
      <c r="C2918" s="125"/>
      <c r="D2918" s="3" t="s">
        <v>1013</v>
      </c>
      <c r="E2918" s="3"/>
      <c r="F2918" s="3"/>
      <c r="G2918" s="40"/>
      <c r="H2918" s="40"/>
      <c r="I2918" s="40"/>
      <c r="J2918" s="40"/>
      <c r="K2918" s="40"/>
      <c r="L2918" s="40"/>
      <c r="M2918" s="40"/>
      <c r="N2918" s="40"/>
      <c r="O2918" s="40"/>
      <c r="P2918" s="40"/>
      <c r="Q2918" s="3"/>
    </row>
    <row r="2919" spans="1:17">
      <c r="A2919" s="121">
        <v>8</v>
      </c>
      <c r="B2919" s="122" t="s">
        <v>1005</v>
      </c>
      <c r="C2919" s="125"/>
      <c r="D2919" s="3" t="s">
        <v>1013</v>
      </c>
      <c r="E2919" s="3"/>
      <c r="F2919" s="3"/>
      <c r="G2919" s="40"/>
      <c r="H2919" s="40"/>
      <c r="I2919" s="40"/>
      <c r="J2919" s="40"/>
      <c r="K2919" s="40"/>
      <c r="L2919" s="40"/>
      <c r="M2919" s="40"/>
      <c r="N2919" s="40"/>
      <c r="O2919" s="40"/>
      <c r="P2919" s="40"/>
      <c r="Q2919" s="3"/>
    </row>
    <row r="2920" spans="1:17">
      <c r="A2920" s="121">
        <v>9</v>
      </c>
      <c r="B2920" s="122" t="s">
        <v>697</v>
      </c>
      <c r="C2920" s="125"/>
      <c r="D2920" s="3" t="s">
        <v>1013</v>
      </c>
      <c r="E2920" s="3"/>
      <c r="F2920" s="3"/>
      <c r="G2920" s="40"/>
      <c r="H2920" s="40"/>
      <c r="I2920" s="40"/>
      <c r="J2920" s="40"/>
      <c r="K2920" s="40"/>
      <c r="L2920" s="40"/>
      <c r="M2920" s="40"/>
      <c r="N2920" s="40"/>
      <c r="O2920" s="40"/>
      <c r="P2920" s="40"/>
      <c r="Q2920" s="3"/>
    </row>
    <row r="2921" spans="1:17" ht="15">
      <c r="A2921" s="121">
        <v>10</v>
      </c>
      <c r="B2921" s="124" t="s">
        <v>1006</v>
      </c>
      <c r="C2921" s="125"/>
      <c r="D2921" s="3" t="s">
        <v>1013</v>
      </c>
      <c r="E2921" s="3"/>
      <c r="F2921" s="3"/>
      <c r="G2921" s="40"/>
      <c r="H2921" s="40"/>
      <c r="I2921" s="40"/>
      <c r="J2921" s="40"/>
      <c r="K2921" s="40"/>
      <c r="L2921" s="40"/>
      <c r="M2921" s="40"/>
      <c r="N2921" s="40"/>
      <c r="O2921" s="40"/>
      <c r="P2921" s="40"/>
      <c r="Q2921" s="3"/>
    </row>
    <row r="2922" spans="1:17" ht="15">
      <c r="A2922" s="121">
        <v>11</v>
      </c>
      <c r="B2922" s="123" t="s">
        <v>1007</v>
      </c>
      <c r="C2922" s="125"/>
      <c r="D2922" s="3" t="s">
        <v>1013</v>
      </c>
      <c r="E2922" s="3"/>
      <c r="F2922" s="3"/>
      <c r="G2922" s="40"/>
      <c r="H2922" s="40"/>
      <c r="I2922" s="40"/>
      <c r="J2922" s="40"/>
      <c r="K2922" s="40"/>
      <c r="L2922" s="40"/>
      <c r="M2922" s="40"/>
      <c r="N2922" s="40"/>
      <c r="O2922" s="40"/>
      <c r="P2922" s="40"/>
      <c r="Q2922" s="3"/>
    </row>
    <row r="2923" spans="1:17" ht="15">
      <c r="A2923" s="121">
        <v>12</v>
      </c>
      <c r="B2923" s="124" t="s">
        <v>1008</v>
      </c>
      <c r="C2923" s="125"/>
      <c r="D2923" s="3" t="s">
        <v>1013</v>
      </c>
      <c r="E2923" s="3"/>
      <c r="F2923" s="3"/>
      <c r="G2923" s="40"/>
      <c r="H2923" s="40"/>
      <c r="I2923" s="40"/>
      <c r="J2923" s="40"/>
      <c r="K2923" s="40"/>
      <c r="L2923" s="40"/>
      <c r="M2923" s="40"/>
      <c r="N2923" s="40"/>
      <c r="O2923" s="40"/>
      <c r="P2923" s="40"/>
      <c r="Q2923" s="3"/>
    </row>
    <row r="2924" spans="1:17">
      <c r="A2924" s="121">
        <v>13</v>
      </c>
      <c r="B2924" s="122" t="s">
        <v>1009</v>
      </c>
      <c r="C2924" s="125"/>
      <c r="D2924" s="3" t="s">
        <v>1013</v>
      </c>
      <c r="E2924" s="3"/>
      <c r="F2924" s="3"/>
      <c r="G2924" s="40"/>
      <c r="H2924" s="40"/>
      <c r="I2924" s="40"/>
      <c r="J2924" s="40"/>
      <c r="K2924" s="40"/>
      <c r="L2924" s="40"/>
      <c r="M2924" s="40"/>
      <c r="N2924" s="40"/>
      <c r="O2924" s="40"/>
      <c r="P2924" s="40"/>
      <c r="Q2924" s="3"/>
    </row>
    <row r="2925" spans="1:17">
      <c r="A2925" s="121">
        <v>14</v>
      </c>
      <c r="B2925" s="122" t="s">
        <v>697</v>
      </c>
      <c r="C2925" s="125"/>
      <c r="D2925" s="3" t="s">
        <v>1013</v>
      </c>
      <c r="E2925" s="3"/>
      <c r="F2925" s="3"/>
      <c r="G2925" s="40"/>
      <c r="H2925" s="40"/>
      <c r="I2925" s="40"/>
      <c r="J2925" s="40"/>
      <c r="K2925" s="40"/>
      <c r="L2925" s="40"/>
      <c r="M2925" s="40"/>
      <c r="N2925" s="40"/>
      <c r="O2925" s="40"/>
      <c r="P2925" s="40"/>
      <c r="Q2925" s="3"/>
    </row>
    <row r="2926" spans="1:17">
      <c r="A2926" s="121">
        <v>15</v>
      </c>
      <c r="B2926" s="122" t="s">
        <v>1005</v>
      </c>
      <c r="C2926" s="125"/>
      <c r="D2926" s="3" t="s">
        <v>1013</v>
      </c>
      <c r="E2926" s="3"/>
      <c r="F2926" s="3"/>
      <c r="G2926" s="40"/>
      <c r="H2926" s="40"/>
      <c r="I2926" s="40"/>
      <c r="J2926" s="40"/>
      <c r="K2926" s="40"/>
      <c r="L2926" s="40"/>
      <c r="M2926" s="40"/>
      <c r="N2926" s="40"/>
      <c r="O2926" s="40"/>
      <c r="P2926" s="40"/>
      <c r="Q2926" s="3"/>
    </row>
    <row r="2927" spans="1:17">
      <c r="A2927" s="48" t="s">
        <v>669</v>
      </c>
      <c r="B2927" s="26"/>
      <c r="C2927" s="26"/>
      <c r="D2927" s="48"/>
      <c r="E2927" s="3"/>
      <c r="F2927" s="3"/>
      <c r="G2927" s="40"/>
      <c r="H2927" s="40"/>
      <c r="I2927" s="40"/>
      <c r="J2927" s="40"/>
      <c r="K2927" s="40"/>
      <c r="L2927" s="40"/>
      <c r="M2927" s="40"/>
      <c r="N2927" s="40"/>
      <c r="O2927" s="40"/>
      <c r="P2927" s="40"/>
      <c r="Q2927" s="3"/>
    </row>
    <row r="2928" spans="1:17">
      <c r="A2928" s="8">
        <f>HEX2DEC(152)</f>
        <v>338</v>
      </c>
      <c r="B2928" s="8">
        <f t="shared" ref="B2928:H2928" si="41">HEX2DEC(152)</f>
        <v>338</v>
      </c>
      <c r="C2928" s="8">
        <f t="shared" si="41"/>
        <v>338</v>
      </c>
      <c r="D2928" s="8">
        <f t="shared" si="41"/>
        <v>338</v>
      </c>
      <c r="E2928" s="8">
        <f t="shared" si="41"/>
        <v>338</v>
      </c>
      <c r="F2928" s="8">
        <f t="shared" si="41"/>
        <v>338</v>
      </c>
      <c r="G2928" s="8">
        <f t="shared" si="41"/>
        <v>338</v>
      </c>
      <c r="H2928" s="8">
        <f t="shared" si="41"/>
        <v>338</v>
      </c>
      <c r="I2928" s="3" t="s">
        <v>670</v>
      </c>
      <c r="J2928" s="40"/>
      <c r="K2928" s="40"/>
      <c r="L2928" s="40"/>
      <c r="M2928" s="40"/>
      <c r="N2928" s="40"/>
      <c r="O2928" s="40"/>
      <c r="P2928" s="40"/>
      <c r="Q2928" s="3"/>
    </row>
    <row r="2929" spans="1:17">
      <c r="A2929" s="83" t="s">
        <v>2</v>
      </c>
      <c r="B2929" s="84" t="s">
        <v>3</v>
      </c>
      <c r="C2929" s="3"/>
      <c r="D2929" s="3"/>
      <c r="E2929" s="3"/>
      <c r="F2929" s="3" t="s">
        <v>671</v>
      </c>
      <c r="G2929" s="3"/>
      <c r="H2929" s="3"/>
      <c r="I2929" s="40"/>
      <c r="J2929" s="40"/>
      <c r="K2929" s="40"/>
      <c r="L2929" s="40"/>
      <c r="M2929" s="40"/>
      <c r="N2929" s="40"/>
      <c r="O2929" s="40"/>
      <c r="P2929" s="40"/>
      <c r="Q2929" s="3"/>
    </row>
    <row r="2930" spans="1:17" ht="15">
      <c r="A2930" s="8">
        <v>0</v>
      </c>
      <c r="B2930" s="8">
        <v>0</v>
      </c>
      <c r="C2930" s="8">
        <v>0</v>
      </c>
      <c r="D2930" s="84" t="s">
        <v>3</v>
      </c>
      <c r="E2930" s="3"/>
      <c r="F2930" s="84" t="s">
        <v>672</v>
      </c>
      <c r="G2930" s="3"/>
      <c r="H2930" s="3"/>
      <c r="I2930" s="40"/>
      <c r="J2930" s="40"/>
      <c r="K2930" s="40"/>
      <c r="L2930" s="40"/>
      <c r="M2930" s="40"/>
      <c r="N2930" s="40"/>
      <c r="O2930" s="40"/>
      <c r="P2930" s="40"/>
      <c r="Q2930" s="3"/>
    </row>
    <row r="2931" spans="1:17">
      <c r="A2931" s="8">
        <v>0</v>
      </c>
      <c r="B2931" s="8">
        <v>0</v>
      </c>
      <c r="C2931" s="8">
        <v>0</v>
      </c>
      <c r="D2931" s="84" t="s">
        <v>3</v>
      </c>
      <c r="E2931" s="3"/>
      <c r="F2931" s="84" t="s">
        <v>673</v>
      </c>
      <c r="G2931" s="3"/>
      <c r="H2931" s="3"/>
      <c r="I2931" s="40"/>
      <c r="J2931" s="40"/>
      <c r="K2931" s="40"/>
      <c r="L2931" s="40"/>
      <c r="M2931" s="40"/>
      <c r="N2931" s="40"/>
      <c r="O2931" s="40"/>
      <c r="P2931" s="40"/>
      <c r="Q2931" s="3"/>
    </row>
    <row r="2932" spans="1:17">
      <c r="A2932" s="8">
        <v>0</v>
      </c>
      <c r="B2932" s="8">
        <v>0</v>
      </c>
      <c r="C2932" s="8">
        <v>0</v>
      </c>
      <c r="D2932" s="84" t="s">
        <v>3</v>
      </c>
      <c r="E2932" s="3"/>
      <c r="F2932" s="84" t="s">
        <v>875</v>
      </c>
      <c r="G2932" s="3"/>
      <c r="H2932" s="3"/>
      <c r="I2932" s="40"/>
      <c r="J2932" s="40"/>
      <c r="K2932" s="40"/>
      <c r="L2932" s="40"/>
      <c r="M2932" s="40"/>
      <c r="N2932" s="40"/>
      <c r="O2932" s="40"/>
      <c r="P2932" s="40"/>
      <c r="Q2932" s="3"/>
    </row>
    <row r="2933" spans="1:17">
      <c r="A2933" s="8">
        <v>0</v>
      </c>
      <c r="B2933" s="8">
        <v>0</v>
      </c>
      <c r="C2933" s="8">
        <v>0</v>
      </c>
      <c r="D2933" s="84" t="s">
        <v>3</v>
      </c>
      <c r="E2933" s="83"/>
      <c r="F2933" s="84" t="s">
        <v>874</v>
      </c>
      <c r="G2933" s="83"/>
      <c r="H2933" s="83"/>
      <c r="I2933" s="40"/>
      <c r="J2933" s="40"/>
      <c r="K2933" s="40"/>
      <c r="L2933" s="40"/>
      <c r="M2933" s="40"/>
      <c r="N2933" s="40"/>
      <c r="O2933" s="40"/>
      <c r="P2933" s="40"/>
      <c r="Q2933" s="3"/>
    </row>
    <row r="2934" spans="1:17" ht="15">
      <c r="A2934" s="8">
        <v>0</v>
      </c>
      <c r="B2934" s="84" t="s">
        <v>3</v>
      </c>
      <c r="C2934" s="40"/>
      <c r="D2934" s="40"/>
      <c r="E2934" s="40"/>
      <c r="F2934" s="84" t="s">
        <v>661</v>
      </c>
      <c r="G2934" s="40"/>
      <c r="H2934" s="40"/>
      <c r="I2934" s="40"/>
      <c r="J2934" s="40"/>
      <c r="K2934" s="40"/>
      <c r="L2934" s="40"/>
      <c r="M2934" s="40"/>
      <c r="N2934" s="40"/>
      <c r="O2934" s="40"/>
      <c r="P2934" s="40"/>
      <c r="Q2934" s="3"/>
    </row>
    <row r="2935" spans="1:17" ht="15">
      <c r="A2935" s="8">
        <v>0</v>
      </c>
      <c r="B2935" s="84" t="s">
        <v>3</v>
      </c>
      <c r="C2935" s="40"/>
      <c r="D2935" s="40"/>
      <c r="E2935" s="40"/>
      <c r="F2935" s="84" t="s">
        <v>661</v>
      </c>
      <c r="G2935" s="40"/>
      <c r="H2935" s="40"/>
      <c r="I2935" s="40"/>
      <c r="J2935" s="40"/>
      <c r="K2935" s="40"/>
      <c r="L2935" s="40"/>
      <c r="M2935" s="40"/>
      <c r="N2935" s="40"/>
      <c r="O2935" s="40"/>
      <c r="P2935" s="40"/>
      <c r="Q2935" s="3"/>
    </row>
    <row r="2936" spans="1:17" ht="15">
      <c r="A2936" s="8">
        <v>0</v>
      </c>
      <c r="B2936" s="84" t="s">
        <v>3</v>
      </c>
      <c r="C2936" s="40"/>
      <c r="D2936" s="40"/>
      <c r="E2936" s="40"/>
      <c r="F2936" s="84" t="s">
        <v>661</v>
      </c>
      <c r="G2936" s="40"/>
      <c r="H2936" s="40"/>
      <c r="I2936" s="40"/>
      <c r="J2936" s="40"/>
      <c r="K2936" s="40"/>
      <c r="L2936" s="40"/>
      <c r="N2936" s="40"/>
      <c r="O2936" s="40"/>
      <c r="P2936" s="40"/>
      <c r="Q2936" s="3"/>
    </row>
    <row r="2937" spans="1:17" ht="15">
      <c r="A2937" s="8">
        <v>0</v>
      </c>
      <c r="B2937" s="84" t="s">
        <v>3</v>
      </c>
      <c r="C2937" s="40"/>
      <c r="D2937" s="40"/>
      <c r="E2937" s="40"/>
      <c r="F2937" s="84" t="s">
        <v>661</v>
      </c>
      <c r="G2937" s="40"/>
      <c r="H2937" s="40"/>
      <c r="I2937" s="40"/>
      <c r="J2937" s="40"/>
      <c r="K2937" s="40"/>
      <c r="L2937" s="40"/>
      <c r="N2937" s="40"/>
      <c r="O2937" s="40"/>
      <c r="P2937" s="40"/>
      <c r="Q2937" s="3"/>
    </row>
    <row r="2938" spans="1:17">
      <c r="A2938" s="3" t="s">
        <v>176</v>
      </c>
      <c r="B2938" s="84" t="s">
        <v>3</v>
      </c>
      <c r="C2938" s="40"/>
      <c r="D2938" s="40"/>
      <c r="E2938" s="40"/>
      <c r="F2938" s="84"/>
      <c r="G2938" s="40"/>
      <c r="H2938" s="40"/>
      <c r="I2938" s="40"/>
      <c r="J2938" s="40"/>
      <c r="K2938" s="40"/>
      <c r="L2938" s="40"/>
      <c r="N2938" s="40"/>
      <c r="O2938" s="40"/>
      <c r="P2938" s="40"/>
      <c r="Q2938" s="3"/>
    </row>
    <row r="2939" spans="1:17">
      <c r="A2939" s="128" t="s">
        <v>1026</v>
      </c>
      <c r="B2939" s="127"/>
      <c r="C2939" s="15"/>
      <c r="F2939" s="3"/>
      <c r="G2939" s="40"/>
      <c r="H2939" s="40"/>
      <c r="I2939" s="40"/>
      <c r="J2939" s="40"/>
      <c r="K2939" s="40"/>
      <c r="L2939" s="40"/>
      <c r="N2939" s="40"/>
      <c r="O2939" s="40"/>
      <c r="P2939" s="40"/>
      <c r="Q2939" s="3"/>
    </row>
    <row r="2940" spans="1:17">
      <c r="A2940" t="s">
        <v>1461</v>
      </c>
      <c r="B2940" s="1" t="s">
        <v>693</v>
      </c>
      <c r="C2940" s="1" t="s">
        <v>694</v>
      </c>
      <c r="D2940" t="s">
        <v>374</v>
      </c>
      <c r="E2940" s="3" t="s">
        <v>3</v>
      </c>
      <c r="H2940" s="40"/>
      <c r="L2940" s="40"/>
      <c r="N2940" s="40"/>
      <c r="O2940" s="40"/>
      <c r="P2940" s="40"/>
      <c r="Q2940" s="3"/>
    </row>
    <row r="2941" spans="1:17">
      <c r="A2941" s="6">
        <v>1</v>
      </c>
      <c r="B2941" s="6">
        <v>0.14000000000000001</v>
      </c>
      <c r="C2941" s="6">
        <v>655.35</v>
      </c>
      <c r="D2941" s="8">
        <f>HEX2DEC(32)</f>
        <v>50</v>
      </c>
      <c r="E2941" s="3" t="s">
        <v>3</v>
      </c>
      <c r="F2941" s="126" t="s">
        <v>675</v>
      </c>
      <c r="G2941" s="86"/>
      <c r="H2941" s="40"/>
      <c r="N2941" s="40"/>
      <c r="O2941" s="40"/>
      <c r="P2941" s="40"/>
      <c r="Q2941" s="3"/>
    </row>
    <row r="2942" spans="1:17">
      <c r="A2942" s="6">
        <v>2</v>
      </c>
      <c r="B2942" s="6">
        <v>1</v>
      </c>
      <c r="C2942" s="6">
        <v>65535</v>
      </c>
      <c r="D2942" s="8">
        <f>HEX2DEC(50)</f>
        <v>80</v>
      </c>
      <c r="E2942" s="3" t="s">
        <v>3</v>
      </c>
      <c r="F2942" s="126" t="s">
        <v>676</v>
      </c>
      <c r="G2942" s="86"/>
      <c r="H2942" s="40"/>
      <c r="L2942" s="40"/>
      <c r="N2942" s="40"/>
      <c r="O2942" s="40"/>
      <c r="P2942" s="40"/>
      <c r="Q2942" s="3"/>
    </row>
    <row r="2943" spans="1:17">
      <c r="A2943" s="6">
        <v>19</v>
      </c>
      <c r="B2943" s="6">
        <v>8</v>
      </c>
      <c r="C2943" s="6">
        <v>6000</v>
      </c>
      <c r="D2943" s="8">
        <f>HEX2DEC(40)</f>
        <v>64</v>
      </c>
      <c r="E2943" s="3" t="s">
        <v>3</v>
      </c>
      <c r="F2943" s="126" t="s">
        <v>677</v>
      </c>
      <c r="G2943" s="86"/>
      <c r="H2943" s="40"/>
      <c r="L2943" s="40"/>
      <c r="N2943" s="40"/>
      <c r="O2943" s="40"/>
      <c r="P2943" s="40"/>
      <c r="Q2943" s="3"/>
    </row>
    <row r="2944" spans="1:17">
      <c r="A2944" s="41">
        <v>61</v>
      </c>
      <c r="B2944" s="129">
        <v>0</v>
      </c>
      <c r="C2944" s="129">
        <v>80000</v>
      </c>
      <c r="D2944" s="8">
        <f>HEX2DEC(52)</f>
        <v>82</v>
      </c>
      <c r="E2944" s="3" t="s">
        <v>3</v>
      </c>
      <c r="F2944" s="126" t="s">
        <v>678</v>
      </c>
      <c r="G2944" s="86"/>
      <c r="H2944" s="40"/>
      <c r="L2944" s="40"/>
      <c r="N2944" s="40"/>
      <c r="O2944" s="40"/>
      <c r="P2944" s="40"/>
      <c r="Q2944" s="3"/>
    </row>
    <row r="2945" spans="1:17">
      <c r="A2945" s="41">
        <v>51</v>
      </c>
      <c r="B2945" s="130">
        <f>-C2945</f>
        <v>-300</v>
      </c>
      <c r="C2945" s="41">
        <v>300</v>
      </c>
      <c r="D2945" s="8">
        <f>HEX2DEC(32)</f>
        <v>50</v>
      </c>
      <c r="E2945" s="3" t="s">
        <v>3</v>
      </c>
      <c r="F2945" s="126" t="s">
        <v>679</v>
      </c>
      <c r="G2945" s="86"/>
      <c r="H2945" s="40"/>
      <c r="L2945" s="40"/>
      <c r="N2945" s="40"/>
      <c r="O2945" s="40"/>
      <c r="P2945" s="40"/>
      <c r="Q2945" s="3"/>
    </row>
    <row r="2946" spans="1:17">
      <c r="A2946" s="41">
        <v>9</v>
      </c>
      <c r="B2946" s="41">
        <v>1</v>
      </c>
      <c r="C2946" s="41">
        <v>100</v>
      </c>
      <c r="D2946" s="8">
        <f>HEX2DEC(20)</f>
        <v>32</v>
      </c>
      <c r="E2946" s="3" t="s">
        <v>3</v>
      </c>
      <c r="F2946" s="126" t="s">
        <v>1020</v>
      </c>
      <c r="G2946" s="86"/>
      <c r="H2946" s="40"/>
      <c r="L2946" s="40"/>
      <c r="N2946" s="40"/>
      <c r="O2946" s="40"/>
      <c r="P2946" s="40"/>
      <c r="Q2946" s="3"/>
    </row>
    <row r="2947" spans="1:17">
      <c r="A2947" s="41">
        <v>46</v>
      </c>
      <c r="B2947" s="41">
        <v>1</v>
      </c>
      <c r="C2947" s="41">
        <v>100</v>
      </c>
      <c r="D2947" s="8">
        <f>HEX2DEC(20)</f>
        <v>32</v>
      </c>
      <c r="E2947" s="3" t="s">
        <v>3</v>
      </c>
      <c r="F2947" s="126" t="s">
        <v>1021</v>
      </c>
      <c r="G2947" s="86"/>
      <c r="H2947" s="40"/>
      <c r="L2947" s="40"/>
      <c r="N2947" s="40"/>
      <c r="O2947" s="40"/>
      <c r="P2947" s="40"/>
      <c r="Q2947" s="3"/>
    </row>
    <row r="2948" spans="1:17">
      <c r="A2948" s="41">
        <v>46</v>
      </c>
      <c r="B2948" s="41">
        <v>1</v>
      </c>
      <c r="C2948" s="41">
        <v>100</v>
      </c>
      <c r="D2948" s="8">
        <f t="shared" ref="D2948:D2949" si="42">HEX2DEC(20)</f>
        <v>32</v>
      </c>
      <c r="E2948" s="3" t="s">
        <v>3</v>
      </c>
      <c r="F2948" s="126" t="s">
        <v>1022</v>
      </c>
      <c r="G2948" s="86"/>
      <c r="H2948" s="40"/>
      <c r="L2948" s="40"/>
      <c r="N2948" s="40"/>
      <c r="O2948" s="40"/>
      <c r="P2948" s="40"/>
      <c r="Q2948" s="3"/>
    </row>
    <row r="2949" spans="1:17">
      <c r="A2949" s="6">
        <v>47</v>
      </c>
      <c r="B2949" s="6">
        <v>1</v>
      </c>
      <c r="C2949" s="6">
        <v>100</v>
      </c>
      <c r="D2949" s="8">
        <f t="shared" si="42"/>
        <v>32</v>
      </c>
      <c r="E2949" s="3" t="s">
        <v>3</v>
      </c>
      <c r="F2949" s="126" t="s">
        <v>1023</v>
      </c>
      <c r="G2949" s="86"/>
      <c r="H2949" s="40"/>
      <c r="L2949" s="40"/>
      <c r="N2949" s="40"/>
      <c r="O2949" s="40"/>
      <c r="P2949" s="40"/>
      <c r="Q2949" s="3"/>
    </row>
    <row r="2950" spans="1:17">
      <c r="A2950" s="6">
        <v>21</v>
      </c>
      <c r="B2950" s="6">
        <v>0.01</v>
      </c>
      <c r="C2950" s="6">
        <v>2.5499999999999998</v>
      </c>
      <c r="D2950" s="8">
        <f>HEX2DEC(12)</f>
        <v>18</v>
      </c>
      <c r="E2950" s="3" t="s">
        <v>3</v>
      </c>
      <c r="F2950" s="126" t="s">
        <v>1024</v>
      </c>
      <c r="G2950" s="86"/>
      <c r="H2950" s="40"/>
      <c r="L2950" s="40"/>
      <c r="M2950" s="40"/>
      <c r="N2950" s="40"/>
      <c r="O2950" s="40"/>
      <c r="P2950" s="40"/>
      <c r="Q2950" s="3"/>
    </row>
    <row r="2951" spans="1:17">
      <c r="A2951" s="6">
        <v>33</v>
      </c>
      <c r="B2951" s="6">
        <v>0.01</v>
      </c>
      <c r="C2951" s="6">
        <v>2.5499999999999998</v>
      </c>
      <c r="D2951" s="8">
        <f>HEX2DEC(12)</f>
        <v>18</v>
      </c>
      <c r="E2951" s="3" t="s">
        <v>3</v>
      </c>
      <c r="F2951" s="126" t="s">
        <v>1025</v>
      </c>
      <c r="G2951" s="86"/>
      <c r="H2951" s="40"/>
      <c r="L2951" s="40"/>
      <c r="M2951" s="40"/>
      <c r="N2951" s="40"/>
      <c r="O2951" s="40"/>
      <c r="P2951" s="40"/>
      <c r="Q2951" s="3"/>
    </row>
    <row r="2952" spans="1:17">
      <c r="A2952" s="6">
        <v>63</v>
      </c>
      <c r="B2952" s="6">
        <v>1</v>
      </c>
      <c r="C2952" s="6">
        <v>47483647</v>
      </c>
      <c r="D2952" s="8">
        <f>HEX2DEC(70)</f>
        <v>112</v>
      </c>
      <c r="E2952" s="3" t="s">
        <v>3</v>
      </c>
      <c r="F2952" s="126" t="s">
        <v>680</v>
      </c>
      <c r="G2952" s="86"/>
      <c r="H2952" s="40"/>
      <c r="L2952" s="40"/>
      <c r="M2952" s="40"/>
      <c r="N2952" s="40"/>
      <c r="O2952" s="40"/>
      <c r="P2952" s="40"/>
      <c r="Q2952" s="3"/>
    </row>
    <row r="2953" spans="1:17">
      <c r="A2953" s="83" t="s">
        <v>2</v>
      </c>
      <c r="B2953" s="84" t="s">
        <v>3</v>
      </c>
      <c r="C2953" s="3"/>
      <c r="D2953" s="3"/>
      <c r="E2953" s="3"/>
      <c r="F2953" s="3" t="s">
        <v>681</v>
      </c>
      <c r="G2953" s="3"/>
      <c r="H2953" s="3"/>
      <c r="I2953" s="40"/>
      <c r="J2953" s="40"/>
      <c r="K2953" s="40"/>
      <c r="L2953" s="40"/>
      <c r="M2953" s="40"/>
      <c r="N2953" s="40"/>
      <c r="O2953" s="40"/>
      <c r="P2953" s="40"/>
      <c r="Q2953" s="3"/>
    </row>
    <row r="2954" spans="1:17" ht="15">
      <c r="A2954" s="8">
        <v>0</v>
      </c>
      <c r="B2954" s="8">
        <v>0</v>
      </c>
      <c r="C2954" s="8">
        <v>0</v>
      </c>
      <c r="D2954" s="84" t="s">
        <v>3</v>
      </c>
      <c r="E2954" s="3"/>
      <c r="F2954" s="84" t="s">
        <v>672</v>
      </c>
      <c r="G2954" s="3"/>
      <c r="H2954" s="3"/>
      <c r="I2954" s="40"/>
      <c r="J2954" s="40"/>
      <c r="K2954" s="40"/>
      <c r="L2954" s="40"/>
      <c r="M2954" s="40"/>
      <c r="N2954" s="40"/>
      <c r="O2954" s="40"/>
      <c r="P2954" s="40"/>
      <c r="Q2954" s="3"/>
    </row>
    <row r="2955" spans="1:17">
      <c r="A2955" s="8">
        <v>0</v>
      </c>
      <c r="B2955" s="8">
        <v>0</v>
      </c>
      <c r="C2955" s="8">
        <v>0</v>
      </c>
      <c r="D2955" s="84" t="s">
        <v>3</v>
      </c>
      <c r="E2955" s="3"/>
      <c r="F2955" s="84" t="s">
        <v>673</v>
      </c>
      <c r="G2955" s="3"/>
      <c r="H2955" s="3"/>
      <c r="I2955" s="40"/>
      <c r="J2955" s="40"/>
      <c r="K2955" s="40"/>
      <c r="L2955" s="40"/>
      <c r="M2955" s="40"/>
      <c r="N2955" s="40"/>
      <c r="O2955" s="40"/>
      <c r="P2955" s="40"/>
      <c r="Q2955" s="3"/>
    </row>
    <row r="2956" spans="1:17">
      <c r="A2956" s="8">
        <v>0</v>
      </c>
      <c r="B2956" s="8">
        <v>0</v>
      </c>
      <c r="C2956" s="8">
        <v>0</v>
      </c>
      <c r="D2956" s="84" t="s">
        <v>3</v>
      </c>
      <c r="E2956" s="3"/>
      <c r="F2956" s="84" t="s">
        <v>674</v>
      </c>
      <c r="G2956" s="3"/>
      <c r="H2956" s="3"/>
      <c r="I2956" s="40"/>
      <c r="J2956" s="40"/>
      <c r="K2956" s="40"/>
      <c r="L2956" s="40"/>
      <c r="M2956" s="40"/>
      <c r="N2956" s="40"/>
      <c r="O2956" s="40"/>
      <c r="P2956" s="40"/>
      <c r="Q2956" s="3"/>
    </row>
    <row r="2957" spans="1:17">
      <c r="A2957" s="8">
        <v>0</v>
      </c>
      <c r="B2957" s="8">
        <v>0</v>
      </c>
      <c r="C2957" s="8">
        <v>0</v>
      </c>
      <c r="D2957" s="84" t="s">
        <v>3</v>
      </c>
      <c r="E2957" s="83"/>
      <c r="F2957" s="84" t="s">
        <v>682</v>
      </c>
      <c r="G2957" s="83"/>
      <c r="H2957" s="83"/>
      <c r="I2957" s="40"/>
      <c r="J2957" s="40"/>
      <c r="K2957" s="40"/>
      <c r="L2957" s="40"/>
      <c r="M2957" s="40"/>
      <c r="N2957" s="40"/>
      <c r="O2957" s="40"/>
      <c r="P2957" s="40"/>
      <c r="Q2957" s="3"/>
    </row>
    <row r="2958" spans="1:17" ht="15">
      <c r="A2958" s="8">
        <v>11</v>
      </c>
      <c r="B2958" s="84" t="s">
        <v>3</v>
      </c>
      <c r="C2958" s="40"/>
      <c r="D2958" s="40"/>
      <c r="E2958" s="40"/>
      <c r="F2958" s="84" t="s">
        <v>683</v>
      </c>
      <c r="G2958" s="40"/>
      <c r="H2958" s="40"/>
      <c r="I2958" s="40"/>
      <c r="J2958" s="40"/>
      <c r="K2958" s="40"/>
      <c r="L2958" s="40"/>
      <c r="M2958" s="40"/>
      <c r="N2958" s="40"/>
      <c r="O2958" s="40"/>
      <c r="P2958" s="40"/>
      <c r="Q2958" s="3"/>
    </row>
    <row r="2959" spans="1:17" ht="15">
      <c r="A2959" s="8">
        <v>0</v>
      </c>
      <c r="B2959" s="84" t="s">
        <v>3</v>
      </c>
      <c r="C2959" s="40"/>
      <c r="D2959" s="40"/>
      <c r="E2959" s="40"/>
      <c r="F2959" s="84" t="s">
        <v>661</v>
      </c>
      <c r="G2959" s="40"/>
      <c r="H2959" s="40"/>
      <c r="I2959" s="40"/>
      <c r="J2959" s="40"/>
      <c r="K2959" s="40"/>
      <c r="L2959" s="40"/>
      <c r="M2959" s="40"/>
      <c r="N2959" s="40"/>
      <c r="O2959" s="40"/>
      <c r="P2959" s="40"/>
      <c r="Q2959" s="3"/>
    </row>
    <row r="2960" spans="1:17" ht="15">
      <c r="A2960" s="8">
        <v>0</v>
      </c>
      <c r="B2960" s="84" t="s">
        <v>3</v>
      </c>
      <c r="C2960" s="40"/>
      <c r="D2960" s="40"/>
      <c r="E2960" s="40"/>
      <c r="F2960" s="84" t="s">
        <v>661</v>
      </c>
      <c r="G2960" s="40"/>
      <c r="H2960" s="40"/>
      <c r="I2960" s="40"/>
      <c r="J2960" s="40"/>
      <c r="K2960" s="40"/>
      <c r="L2960" s="40"/>
      <c r="M2960" s="40"/>
      <c r="N2960" s="40"/>
      <c r="O2960" s="40"/>
      <c r="P2960" s="40"/>
      <c r="Q2960" s="3"/>
    </row>
    <row r="2961" spans="1:19" ht="15">
      <c r="A2961" s="8">
        <v>0</v>
      </c>
      <c r="B2961" s="84" t="s">
        <v>3</v>
      </c>
      <c r="C2961" s="40"/>
      <c r="D2961" s="40"/>
      <c r="E2961" s="40"/>
      <c r="F2961" s="84" t="s">
        <v>661</v>
      </c>
      <c r="G2961" s="40"/>
      <c r="H2961" s="40"/>
      <c r="I2961" s="40"/>
      <c r="J2961" s="40"/>
      <c r="K2961" s="40"/>
      <c r="L2961" s="40"/>
      <c r="M2961" s="40"/>
      <c r="N2961" s="40"/>
      <c r="O2961" s="40"/>
      <c r="P2961" s="40"/>
      <c r="Q2961" s="3"/>
    </row>
    <row r="2962" spans="1:19">
      <c r="A2962" s="40" t="s">
        <v>176</v>
      </c>
      <c r="B2962" s="40" t="s">
        <v>3</v>
      </c>
      <c r="C2962" s="15"/>
      <c r="D2962" s="40"/>
      <c r="E2962" s="40"/>
      <c r="F2962" s="40"/>
      <c r="G2962" s="40"/>
      <c r="H2962" s="40"/>
      <c r="I2962" s="40"/>
      <c r="J2962" s="40"/>
      <c r="K2962" s="40"/>
      <c r="L2962" s="40"/>
      <c r="M2962" s="40"/>
      <c r="N2962" s="40"/>
      <c r="O2962" s="40"/>
      <c r="P2962" s="40"/>
      <c r="Q2962" s="40"/>
      <c r="R2962" s="34"/>
      <c r="S2962" s="34"/>
    </row>
    <row r="2963" spans="1:19">
      <c r="A2963" s="40" t="s">
        <v>684</v>
      </c>
      <c r="B2963" s="40"/>
      <c r="C2963" s="15"/>
      <c r="D2963" s="40"/>
      <c r="E2963" s="40"/>
      <c r="F2963" s="40"/>
      <c r="G2963" s="40"/>
      <c r="H2963" s="40"/>
      <c r="I2963" s="40"/>
      <c r="J2963" s="40"/>
      <c r="K2963" s="40"/>
      <c r="L2963" s="40"/>
      <c r="M2963" s="40"/>
      <c r="N2963" s="40"/>
      <c r="O2963" s="40"/>
      <c r="P2963" s="40"/>
      <c r="Q2963" s="40"/>
      <c r="R2963" s="34"/>
      <c r="S2963" s="34"/>
    </row>
    <row r="2964" spans="1:19">
      <c r="A2964" s="94" t="s">
        <v>685</v>
      </c>
      <c r="B2964" s="94" t="s">
        <v>686</v>
      </c>
      <c r="C2964" s="94" t="s">
        <v>687</v>
      </c>
      <c r="D2964" s="94" t="s">
        <v>688</v>
      </c>
      <c r="E2964" s="94" t="s">
        <v>689</v>
      </c>
      <c r="F2964" s="94" t="s">
        <v>690</v>
      </c>
      <c r="G2964" s="94" t="s">
        <v>691</v>
      </c>
      <c r="H2964" s="94" t="s">
        <v>692</v>
      </c>
      <c r="I2964" s="94" t="s">
        <v>693</v>
      </c>
      <c r="J2964" s="94" t="s">
        <v>694</v>
      </c>
      <c r="K2964" s="94" t="s">
        <v>695</v>
      </c>
      <c r="L2964" s="88" t="s">
        <v>1014</v>
      </c>
      <c r="M2964" s="34"/>
      <c r="N2964" s="88" t="s">
        <v>696</v>
      </c>
      <c r="O2964" s="88"/>
      <c r="P2964" s="89"/>
      <c r="S2964" s="34"/>
    </row>
    <row r="2965" spans="1:19">
      <c r="A2965" s="17">
        <v>54910</v>
      </c>
      <c r="B2965" s="17">
        <v>54912</v>
      </c>
      <c r="C2965" s="17">
        <v>54916</v>
      </c>
      <c r="D2965" s="17">
        <v>54914</v>
      </c>
      <c r="E2965" s="17">
        <v>54918</v>
      </c>
      <c r="F2965" s="17">
        <v>54920</v>
      </c>
      <c r="G2965" s="17">
        <v>54922</v>
      </c>
      <c r="H2965" s="17">
        <v>54924</v>
      </c>
      <c r="I2965" s="17">
        <v>0</v>
      </c>
      <c r="J2965" s="17">
        <v>1</v>
      </c>
      <c r="K2965" s="17" t="s">
        <v>697</v>
      </c>
      <c r="L2965" s="144">
        <v>3</v>
      </c>
      <c r="M2965" s="87" t="s">
        <v>698</v>
      </c>
      <c r="N2965" s="90" t="s">
        <v>699</v>
      </c>
      <c r="O2965" s="90"/>
      <c r="P2965" s="91"/>
      <c r="Q2965" s="146"/>
      <c r="R2965" t="s">
        <v>1328</v>
      </c>
      <c r="S2965" s="34"/>
    </row>
    <row r="2966" spans="1:19">
      <c r="A2966" s="17">
        <v>54942</v>
      </c>
      <c r="B2966" s="17">
        <v>54944</v>
      </c>
      <c r="C2966" s="17">
        <v>54948</v>
      </c>
      <c r="D2966" s="17">
        <v>54946</v>
      </c>
      <c r="E2966" s="17">
        <v>54950</v>
      </c>
      <c r="F2966" s="17">
        <v>54952</v>
      </c>
      <c r="G2966" s="17">
        <v>54954</v>
      </c>
      <c r="H2966" s="17">
        <v>54956</v>
      </c>
      <c r="I2966" s="17">
        <v>0</v>
      </c>
      <c r="J2966" s="17">
        <v>1</v>
      </c>
      <c r="K2966" s="17" t="s">
        <v>697</v>
      </c>
      <c r="L2966" s="144">
        <v>5</v>
      </c>
      <c r="M2966" s="84" t="s">
        <v>3</v>
      </c>
      <c r="N2966" s="90" t="s">
        <v>700</v>
      </c>
      <c r="O2966" s="90"/>
      <c r="P2966" s="91"/>
      <c r="R2966" t="s">
        <v>1329</v>
      </c>
      <c r="S2966" s="34"/>
    </row>
    <row r="2967" spans="1:19">
      <c r="A2967" s="17">
        <v>54974</v>
      </c>
      <c r="B2967" s="17">
        <v>54976</v>
      </c>
      <c r="C2967" s="17">
        <v>54980</v>
      </c>
      <c r="D2967" s="17">
        <v>54978</v>
      </c>
      <c r="E2967" s="17">
        <v>54982</v>
      </c>
      <c r="F2967" s="17">
        <v>54984</v>
      </c>
      <c r="G2967" s="17">
        <v>54986</v>
      </c>
      <c r="H2967" s="17">
        <v>54988</v>
      </c>
      <c r="I2967" s="17">
        <v>1</v>
      </c>
      <c r="J2967" s="17">
        <v>4194304</v>
      </c>
      <c r="K2967" s="17" t="s">
        <v>697</v>
      </c>
      <c r="L2967" s="144">
        <v>7</v>
      </c>
      <c r="M2967" s="84" t="s">
        <v>3</v>
      </c>
      <c r="N2967" s="90" t="s">
        <v>701</v>
      </c>
      <c r="O2967" s="90"/>
      <c r="P2967" s="91"/>
      <c r="S2967" s="34"/>
    </row>
    <row r="2968" spans="1:19">
      <c r="A2968" s="17">
        <v>54990</v>
      </c>
      <c r="B2968" s="17">
        <v>54992</v>
      </c>
      <c r="C2968" s="17">
        <v>54996</v>
      </c>
      <c r="D2968" s="17">
        <v>54994</v>
      </c>
      <c r="E2968" s="17">
        <v>54998</v>
      </c>
      <c r="F2968" s="17">
        <v>55000</v>
      </c>
      <c r="G2968" s="17">
        <v>55002</v>
      </c>
      <c r="H2968" s="17">
        <v>55004</v>
      </c>
      <c r="I2968" s="17">
        <v>1</v>
      </c>
      <c r="J2968" s="17">
        <v>4194304</v>
      </c>
      <c r="K2968" s="17" t="s">
        <v>697</v>
      </c>
      <c r="L2968" s="144">
        <v>8</v>
      </c>
      <c r="M2968" s="84" t="s">
        <v>3</v>
      </c>
      <c r="N2968" s="90" t="s">
        <v>702</v>
      </c>
      <c r="O2968" s="90"/>
      <c r="P2968" s="91"/>
      <c r="S2968" s="34"/>
    </row>
    <row r="2969" spans="1:19">
      <c r="A2969" s="17"/>
      <c r="B2969" s="17"/>
      <c r="C2969" s="17"/>
      <c r="D2969" s="17"/>
      <c r="E2969" s="17"/>
      <c r="F2969" s="17"/>
      <c r="G2969" s="17"/>
      <c r="H2969" s="17"/>
      <c r="I2969" s="17"/>
      <c r="J2969" s="17"/>
      <c r="K2969" s="17"/>
      <c r="L2969" s="145"/>
      <c r="M2969" s="84" t="s">
        <v>3</v>
      </c>
      <c r="N2969" s="90"/>
      <c r="O2969" s="90"/>
      <c r="P2969" s="91"/>
      <c r="S2969" s="34"/>
    </row>
    <row r="2970" spans="1:19">
      <c r="A2970" s="17"/>
      <c r="B2970" s="17"/>
      <c r="C2970" s="17"/>
      <c r="D2970" s="17"/>
      <c r="E2970" s="17"/>
      <c r="F2970" s="17"/>
      <c r="G2970" s="17"/>
      <c r="H2970" s="17"/>
      <c r="I2970" s="17"/>
      <c r="J2970" s="17"/>
      <c r="K2970" s="17"/>
      <c r="L2970" s="145"/>
      <c r="M2970" s="84" t="s">
        <v>3</v>
      </c>
      <c r="N2970" s="90"/>
      <c r="O2970" s="90"/>
      <c r="P2970" s="91"/>
      <c r="S2970" s="34"/>
    </row>
    <row r="2971" spans="1:19">
      <c r="A2971" s="17"/>
      <c r="B2971" s="17"/>
      <c r="C2971" s="17"/>
      <c r="D2971" s="17"/>
      <c r="E2971" s="17"/>
      <c r="F2971" s="17"/>
      <c r="G2971" s="17"/>
      <c r="H2971" s="17"/>
      <c r="I2971" s="17"/>
      <c r="J2971" s="17"/>
      <c r="K2971" s="17"/>
      <c r="L2971" s="145"/>
      <c r="M2971" s="84" t="s">
        <v>3</v>
      </c>
      <c r="N2971" s="90"/>
      <c r="O2971" s="90"/>
      <c r="P2971" s="91"/>
      <c r="S2971" s="34"/>
    </row>
    <row r="2972" spans="1:19">
      <c r="A2972" s="17">
        <v>55086</v>
      </c>
      <c r="B2972" s="17">
        <v>55088</v>
      </c>
      <c r="C2972" s="17">
        <v>55092</v>
      </c>
      <c r="D2972" s="17">
        <v>55090</v>
      </c>
      <c r="E2972" s="17">
        <v>55094</v>
      </c>
      <c r="F2972" s="17">
        <v>55096</v>
      </c>
      <c r="G2972" s="17">
        <v>55098</v>
      </c>
      <c r="H2972" s="17">
        <v>55100</v>
      </c>
      <c r="I2972" s="17">
        <v>0</v>
      </c>
      <c r="J2972" s="17">
        <v>2</v>
      </c>
      <c r="K2972" s="17" t="s">
        <v>697</v>
      </c>
      <c r="L2972" s="144">
        <v>14</v>
      </c>
      <c r="M2972" s="87" t="s">
        <v>703</v>
      </c>
      <c r="N2972" s="90" t="s">
        <v>704</v>
      </c>
      <c r="O2972" s="90"/>
      <c r="P2972" s="91"/>
      <c r="S2972" s="34"/>
    </row>
    <row r="2973" spans="1:19">
      <c r="A2973" s="17">
        <v>55102</v>
      </c>
      <c r="B2973" s="17">
        <v>55104</v>
      </c>
      <c r="C2973" s="17">
        <v>55108</v>
      </c>
      <c r="D2973" s="17">
        <v>55106</v>
      </c>
      <c r="E2973" s="17">
        <v>55110</v>
      </c>
      <c r="F2973" s="17">
        <v>55112</v>
      </c>
      <c r="G2973" s="17">
        <v>55114</v>
      </c>
      <c r="H2973" s="17">
        <v>55116</v>
      </c>
      <c r="I2973" s="17">
        <v>0</v>
      </c>
      <c r="J2973" s="92">
        <v>300</v>
      </c>
      <c r="K2973" s="17" t="s">
        <v>705</v>
      </c>
      <c r="L2973" s="144">
        <v>15</v>
      </c>
      <c r="M2973" s="84" t="s">
        <v>3</v>
      </c>
      <c r="N2973" s="90" t="s">
        <v>706</v>
      </c>
      <c r="O2973" s="90"/>
      <c r="P2973" s="91"/>
      <c r="S2973" s="34"/>
    </row>
    <row r="2974" spans="1:19">
      <c r="A2974" s="17">
        <v>55118</v>
      </c>
      <c r="B2974" s="17">
        <v>55120</v>
      </c>
      <c r="C2974" s="17">
        <v>55124</v>
      </c>
      <c r="D2974" s="17">
        <v>55122</v>
      </c>
      <c r="E2974" s="17">
        <v>55126</v>
      </c>
      <c r="F2974" s="17">
        <v>55128</v>
      </c>
      <c r="G2974" s="17">
        <v>55130</v>
      </c>
      <c r="H2974" s="17">
        <v>55132</v>
      </c>
      <c r="I2974" s="17">
        <v>1</v>
      </c>
      <c r="J2974" s="17">
        <v>40</v>
      </c>
      <c r="K2974" s="17" t="s">
        <v>697</v>
      </c>
      <c r="L2974" s="144">
        <v>16</v>
      </c>
      <c r="M2974" s="84" t="s">
        <v>3</v>
      </c>
      <c r="N2974" s="90" t="s">
        <v>707</v>
      </c>
      <c r="O2974" s="90"/>
      <c r="P2974" s="91"/>
      <c r="S2974" s="34"/>
    </row>
    <row r="2975" spans="1:19">
      <c r="A2975" s="17">
        <v>55278</v>
      </c>
      <c r="B2975" s="17">
        <v>55280</v>
      </c>
      <c r="C2975" s="17">
        <v>55284</v>
      </c>
      <c r="D2975" s="17">
        <v>55282</v>
      </c>
      <c r="E2975" s="17">
        <v>55286</v>
      </c>
      <c r="F2975" s="17">
        <v>55288</v>
      </c>
      <c r="G2975" s="17">
        <v>55290</v>
      </c>
      <c r="H2975" s="17">
        <v>55292</v>
      </c>
      <c r="I2975" s="17">
        <v>0.01</v>
      </c>
      <c r="J2975" s="93">
        <v>6000</v>
      </c>
      <c r="K2975" s="17" t="s">
        <v>708</v>
      </c>
      <c r="L2975" s="144">
        <v>26</v>
      </c>
      <c r="M2975" s="84" t="s">
        <v>3</v>
      </c>
      <c r="N2975" s="90" t="s">
        <v>709</v>
      </c>
      <c r="O2975" s="90"/>
      <c r="P2975" s="91"/>
      <c r="S2975" s="34"/>
    </row>
    <row r="2976" spans="1:19">
      <c r="A2976" s="17">
        <v>55358</v>
      </c>
      <c r="B2976" s="17">
        <v>55360</v>
      </c>
      <c r="C2976" s="17">
        <v>55364</v>
      </c>
      <c r="D2976" s="17">
        <v>55362</v>
      </c>
      <c r="E2976" s="17">
        <v>55366</v>
      </c>
      <c r="F2976" s="17">
        <v>55368</v>
      </c>
      <c r="G2976" s="17">
        <v>55370</v>
      </c>
      <c r="H2976" s="17">
        <v>55372</v>
      </c>
      <c r="I2976" s="17">
        <v>10</v>
      </c>
      <c r="J2976" s="17">
        <v>6000</v>
      </c>
      <c r="K2976" s="17" t="s">
        <v>697</v>
      </c>
      <c r="L2976" s="144">
        <v>31</v>
      </c>
      <c r="M2976" s="84" t="s">
        <v>3</v>
      </c>
      <c r="N2976" s="90" t="s">
        <v>710</v>
      </c>
      <c r="O2976" s="90"/>
      <c r="P2976" s="91"/>
      <c r="S2976" s="34"/>
    </row>
    <row r="2977" spans="1:19">
      <c r="A2977" s="17"/>
      <c r="B2977" s="17"/>
      <c r="C2977" s="17"/>
      <c r="D2977" s="17"/>
      <c r="E2977" s="17"/>
      <c r="F2977" s="17"/>
      <c r="G2977" s="17"/>
      <c r="H2977" s="17"/>
      <c r="I2977" s="17"/>
      <c r="J2977" s="17"/>
      <c r="K2977" s="17"/>
      <c r="L2977" s="145"/>
      <c r="M2977" s="84" t="s">
        <v>3</v>
      </c>
      <c r="N2977" s="90"/>
      <c r="O2977" s="90"/>
      <c r="P2977" s="91"/>
      <c r="S2977" s="34"/>
    </row>
    <row r="2978" spans="1:19">
      <c r="A2978" s="17"/>
      <c r="B2978" s="17"/>
      <c r="C2978" s="17"/>
      <c r="D2978" s="17"/>
      <c r="E2978" s="17"/>
      <c r="F2978" s="17"/>
      <c r="G2978" s="17"/>
      <c r="H2978" s="17"/>
      <c r="I2978" s="17"/>
      <c r="J2978" s="17"/>
      <c r="K2978" s="17"/>
      <c r="L2978" s="145"/>
      <c r="M2978" s="84" t="s">
        <v>3</v>
      </c>
      <c r="N2978" s="90"/>
      <c r="O2978" s="90"/>
      <c r="P2978" s="91"/>
      <c r="S2978" s="34"/>
    </row>
    <row r="2979" spans="1:19">
      <c r="A2979" s="17">
        <v>55390</v>
      </c>
      <c r="B2979" s="17">
        <v>55392</v>
      </c>
      <c r="C2979" s="17">
        <v>55396</v>
      </c>
      <c r="D2979" s="17">
        <v>55394</v>
      </c>
      <c r="E2979" s="17">
        <v>55398</v>
      </c>
      <c r="F2979" s="17">
        <v>55400</v>
      </c>
      <c r="G2979" s="17">
        <v>55402</v>
      </c>
      <c r="H2979" s="17">
        <v>55404</v>
      </c>
      <c r="I2979" s="17">
        <v>0</v>
      </c>
      <c r="J2979" s="17">
        <v>200000</v>
      </c>
      <c r="K2979" s="17" t="s">
        <v>697</v>
      </c>
      <c r="L2979" s="144">
        <v>33</v>
      </c>
      <c r="M2979" s="87" t="s">
        <v>711</v>
      </c>
      <c r="N2979" s="90" t="s">
        <v>712</v>
      </c>
      <c r="O2979" s="90"/>
      <c r="P2979" s="91"/>
      <c r="S2979" s="34"/>
    </row>
    <row r="2980" spans="1:19">
      <c r="A2980" s="17">
        <v>57182</v>
      </c>
      <c r="B2980" s="17">
        <v>57184</v>
      </c>
      <c r="C2980" s="17">
        <v>57188</v>
      </c>
      <c r="D2980" s="17">
        <v>57186</v>
      </c>
      <c r="E2980" s="17">
        <v>57190</v>
      </c>
      <c r="F2980" s="17">
        <v>57192</v>
      </c>
      <c r="G2980" s="17">
        <v>57194</v>
      </c>
      <c r="H2980" s="17">
        <v>57196</v>
      </c>
      <c r="I2980" s="17">
        <v>60</v>
      </c>
      <c r="J2980" s="17">
        <v>100</v>
      </c>
      <c r="K2980" s="17" t="s">
        <v>697</v>
      </c>
      <c r="L2980" s="144">
        <v>145</v>
      </c>
      <c r="M2980" s="84" t="s">
        <v>3</v>
      </c>
      <c r="N2980" s="90" t="s">
        <v>713</v>
      </c>
      <c r="O2980" s="90"/>
      <c r="P2980" s="91"/>
      <c r="S2980" s="34"/>
    </row>
    <row r="2981" spans="1:19">
      <c r="A2981" s="17">
        <v>57198</v>
      </c>
      <c r="B2981" s="17">
        <v>57200</v>
      </c>
      <c r="C2981" s="17">
        <v>57204</v>
      </c>
      <c r="D2981" s="17">
        <v>57202</v>
      </c>
      <c r="E2981" s="17">
        <v>57206</v>
      </c>
      <c r="F2981" s="17">
        <v>57208</v>
      </c>
      <c r="G2981" s="17">
        <v>57210</v>
      </c>
      <c r="H2981" s="17">
        <v>57212</v>
      </c>
      <c r="I2981" s="17">
        <v>150</v>
      </c>
      <c r="J2981" s="17">
        <v>280</v>
      </c>
      <c r="K2981" s="17" t="s">
        <v>697</v>
      </c>
      <c r="L2981" s="144">
        <v>146</v>
      </c>
      <c r="M2981" s="84" t="s">
        <v>3</v>
      </c>
      <c r="N2981" s="90" t="s">
        <v>714</v>
      </c>
      <c r="O2981" s="90"/>
      <c r="P2981" s="91"/>
      <c r="S2981" s="34"/>
    </row>
    <row r="2982" spans="1:19">
      <c r="A2982" s="17">
        <v>57214</v>
      </c>
      <c r="B2982" s="17">
        <v>57216</v>
      </c>
      <c r="C2982" s="17">
        <v>57220</v>
      </c>
      <c r="D2982" s="17">
        <v>57218</v>
      </c>
      <c r="E2982" s="17">
        <v>57222</v>
      </c>
      <c r="F2982" s="17">
        <v>57224</v>
      </c>
      <c r="G2982" s="17">
        <v>57226</v>
      </c>
      <c r="H2982" s="17">
        <v>57228</v>
      </c>
      <c r="I2982" s="17">
        <v>60</v>
      </c>
      <c r="J2982" s="17">
        <v>100</v>
      </c>
      <c r="K2982" s="17" t="s">
        <v>697</v>
      </c>
      <c r="L2982" s="144">
        <v>147</v>
      </c>
      <c r="M2982" s="84" t="s">
        <v>3</v>
      </c>
      <c r="N2982" s="90" t="s">
        <v>715</v>
      </c>
      <c r="O2982" s="90"/>
      <c r="P2982" s="91"/>
      <c r="S2982" s="34"/>
    </row>
    <row r="2983" spans="1:19">
      <c r="A2983" s="17">
        <v>57230</v>
      </c>
      <c r="B2983" s="17">
        <v>57232</v>
      </c>
      <c r="C2983" s="17">
        <v>57236</v>
      </c>
      <c r="D2983" s="17">
        <v>57234</v>
      </c>
      <c r="E2983" s="17">
        <v>57238</v>
      </c>
      <c r="F2983" s="17">
        <v>57240</v>
      </c>
      <c r="G2983" s="17">
        <v>57242</v>
      </c>
      <c r="H2983" s="17">
        <v>57244</v>
      </c>
      <c r="I2983" s="17">
        <v>0</v>
      </c>
      <c r="J2983" s="17">
        <v>1</v>
      </c>
      <c r="K2983" s="17" t="s">
        <v>697</v>
      </c>
      <c r="L2983" s="144">
        <v>148</v>
      </c>
      <c r="M2983" s="84" t="s">
        <v>3</v>
      </c>
      <c r="N2983" s="90" t="s">
        <v>716</v>
      </c>
      <c r="O2983" s="90"/>
      <c r="P2983" s="91"/>
      <c r="S2983" s="34"/>
    </row>
    <row r="2984" spans="1:19">
      <c r="A2984" s="17"/>
      <c r="B2984" s="17"/>
      <c r="C2984" s="17"/>
      <c r="D2984" s="17"/>
      <c r="E2984" s="17"/>
      <c r="F2984" s="17"/>
      <c r="G2984" s="17"/>
      <c r="H2984" s="17"/>
      <c r="I2984" s="17"/>
      <c r="J2984" s="17"/>
      <c r="K2984" s="17"/>
      <c r="L2984" s="145"/>
      <c r="M2984" s="84" t="s">
        <v>3</v>
      </c>
      <c r="N2984" s="90"/>
      <c r="O2984" s="90"/>
      <c r="P2984" s="91"/>
      <c r="S2984" s="34"/>
    </row>
    <row r="2985" spans="1:19">
      <c r="A2985" s="17"/>
      <c r="B2985" s="17"/>
      <c r="C2985" s="17"/>
      <c r="D2985" s="17"/>
      <c r="E2985" s="17"/>
      <c r="F2985" s="17"/>
      <c r="G2985" s="17"/>
      <c r="H2985" s="17"/>
      <c r="I2985" s="17"/>
      <c r="J2985" s="17"/>
      <c r="K2985" s="17"/>
      <c r="L2985" s="145"/>
      <c r="M2985" s="84" t="s">
        <v>3</v>
      </c>
      <c r="N2985" s="90"/>
      <c r="O2985" s="90"/>
      <c r="P2985" s="91"/>
      <c r="S2985" s="34"/>
    </row>
    <row r="2986" spans="1:19">
      <c r="A2986" s="17">
        <v>57246</v>
      </c>
      <c r="B2986" s="17">
        <v>57248</v>
      </c>
      <c r="C2986" s="17">
        <v>57252</v>
      </c>
      <c r="D2986" s="17">
        <v>57250</v>
      </c>
      <c r="E2986" s="17">
        <v>57254</v>
      </c>
      <c r="F2986" s="17">
        <v>57256</v>
      </c>
      <c r="G2986" s="17">
        <v>57258</v>
      </c>
      <c r="H2986" s="17">
        <v>57260</v>
      </c>
      <c r="I2986" s="17">
        <v>0</v>
      </c>
      <c r="J2986" s="17">
        <v>1048576</v>
      </c>
      <c r="K2986" s="17" t="s">
        <v>697</v>
      </c>
      <c r="L2986" s="144">
        <v>149</v>
      </c>
      <c r="M2986" s="87" t="s">
        <v>717</v>
      </c>
      <c r="N2986" s="90" t="s">
        <v>718</v>
      </c>
      <c r="O2986" s="90"/>
      <c r="P2986" s="91"/>
      <c r="S2986" s="34"/>
    </row>
    <row r="2987" spans="1:19">
      <c r="A2987" s="17">
        <v>57454</v>
      </c>
      <c r="B2987" s="17">
        <v>57456</v>
      </c>
      <c r="C2987" s="17">
        <v>57460</v>
      </c>
      <c r="D2987" s="17">
        <v>57458</v>
      </c>
      <c r="E2987" s="17">
        <v>57462</v>
      </c>
      <c r="F2987" s="17">
        <v>57464</v>
      </c>
      <c r="G2987" s="17">
        <v>57466</v>
      </c>
      <c r="H2987" s="17">
        <v>57468</v>
      </c>
      <c r="I2987" s="17">
        <v>0</v>
      </c>
      <c r="J2987" s="17">
        <v>5</v>
      </c>
      <c r="K2987" s="17" t="s">
        <v>697</v>
      </c>
      <c r="L2987" s="144">
        <v>162</v>
      </c>
      <c r="M2987" s="84" t="s">
        <v>3</v>
      </c>
      <c r="N2987" s="90" t="s">
        <v>719</v>
      </c>
      <c r="O2987" s="90"/>
      <c r="P2987" s="91"/>
      <c r="S2987" s="34"/>
    </row>
    <row r="2988" spans="1:19">
      <c r="A2988" s="17">
        <v>57470</v>
      </c>
      <c r="B2988" s="17">
        <v>57472</v>
      </c>
      <c r="C2988" s="17">
        <v>57476</v>
      </c>
      <c r="D2988" s="17">
        <v>57474</v>
      </c>
      <c r="E2988" s="17">
        <v>57478</v>
      </c>
      <c r="F2988" s="17">
        <v>57480</v>
      </c>
      <c r="G2988" s="17">
        <v>57482</v>
      </c>
      <c r="H2988" s="17">
        <v>57484</v>
      </c>
      <c r="I2988" s="17">
        <v>0</v>
      </c>
      <c r="J2988" s="17">
        <v>5</v>
      </c>
      <c r="K2988" s="17" t="s">
        <v>697</v>
      </c>
      <c r="L2988" s="144">
        <v>163</v>
      </c>
      <c r="M2988" s="84" t="s">
        <v>3</v>
      </c>
      <c r="N2988" s="90" t="s">
        <v>720</v>
      </c>
      <c r="O2988" s="90"/>
      <c r="P2988" s="91"/>
      <c r="S2988" s="34"/>
    </row>
    <row r="2989" spans="1:19">
      <c r="A2989" s="17">
        <v>57486</v>
      </c>
      <c r="B2989" s="17">
        <v>57488</v>
      </c>
      <c r="C2989" s="17">
        <v>57492</v>
      </c>
      <c r="D2989" s="17">
        <v>57490</v>
      </c>
      <c r="E2989" s="17">
        <v>57494</v>
      </c>
      <c r="F2989" s="17">
        <v>57496</v>
      </c>
      <c r="G2989" s="17">
        <v>57498</v>
      </c>
      <c r="H2989" s="17">
        <v>57500</v>
      </c>
      <c r="I2989" s="17">
        <v>0</v>
      </c>
      <c r="J2989" s="17">
        <v>5</v>
      </c>
      <c r="K2989" s="17" t="s">
        <v>697</v>
      </c>
      <c r="L2989" s="144">
        <v>164</v>
      </c>
      <c r="M2989" s="84" t="s">
        <v>3</v>
      </c>
      <c r="N2989" s="90" t="s">
        <v>721</v>
      </c>
      <c r="O2989" s="90"/>
      <c r="P2989" s="91"/>
      <c r="S2989" s="34"/>
    </row>
    <row r="2990" spans="1:19">
      <c r="A2990" s="17">
        <v>57502</v>
      </c>
      <c r="B2990" s="17">
        <v>57504</v>
      </c>
      <c r="C2990" s="17">
        <v>57508</v>
      </c>
      <c r="D2990" s="17">
        <v>57506</v>
      </c>
      <c r="E2990" s="17">
        <v>57510</v>
      </c>
      <c r="F2990" s="17">
        <v>57512</v>
      </c>
      <c r="G2990" s="17">
        <v>57514</v>
      </c>
      <c r="H2990" s="17">
        <v>57516</v>
      </c>
      <c r="I2990" s="17">
        <v>0</v>
      </c>
      <c r="J2990" s="17">
        <v>9.99</v>
      </c>
      <c r="K2990" s="17" t="s">
        <v>708</v>
      </c>
      <c r="L2990" s="144">
        <v>165</v>
      </c>
      <c r="M2990" s="84" t="s">
        <v>3</v>
      </c>
      <c r="N2990" s="90" t="s">
        <v>722</v>
      </c>
      <c r="O2990" s="90"/>
      <c r="P2990" s="91"/>
      <c r="S2990" s="34"/>
    </row>
    <row r="2991" spans="1:19">
      <c r="A2991" s="17"/>
      <c r="B2991" s="17"/>
      <c r="C2991" s="17"/>
      <c r="D2991" s="17"/>
      <c r="E2991" s="17"/>
      <c r="F2991" s="17"/>
      <c r="G2991" s="17"/>
      <c r="H2991" s="17"/>
      <c r="I2991" s="17"/>
      <c r="J2991" s="17"/>
      <c r="K2991" s="17"/>
      <c r="L2991" s="145"/>
      <c r="M2991" s="84" t="s">
        <v>3</v>
      </c>
      <c r="N2991" s="90"/>
      <c r="O2991" s="90"/>
      <c r="P2991" s="91"/>
      <c r="S2991" s="34"/>
    </row>
    <row r="2992" spans="1:19">
      <c r="A2992" s="17"/>
      <c r="B2992" s="17"/>
      <c r="C2992" s="17"/>
      <c r="D2992" s="17"/>
      <c r="E2992" s="17"/>
      <c r="F2992" s="17"/>
      <c r="G2992" s="17"/>
      <c r="H2992" s="17"/>
      <c r="I2992" s="17"/>
      <c r="J2992" s="17"/>
      <c r="K2992" s="17"/>
      <c r="L2992" s="145"/>
      <c r="M2992" s="84" t="s">
        <v>3</v>
      </c>
      <c r="N2992" s="90"/>
      <c r="O2992" s="90"/>
      <c r="P2992" s="91"/>
      <c r="S2992" s="34"/>
    </row>
    <row r="2993" spans="1:19">
      <c r="A2993" s="17">
        <v>57518</v>
      </c>
      <c r="B2993" s="17">
        <v>57520</v>
      </c>
      <c r="C2993" s="17">
        <v>57524</v>
      </c>
      <c r="D2993" s="17">
        <v>57522</v>
      </c>
      <c r="E2993" s="17">
        <v>57526</v>
      </c>
      <c r="F2993" s="17">
        <v>57528</v>
      </c>
      <c r="G2993" s="17">
        <v>57530</v>
      </c>
      <c r="H2993" s="17">
        <v>57532</v>
      </c>
      <c r="I2993" s="17">
        <v>0</v>
      </c>
      <c r="J2993" s="17">
        <v>1</v>
      </c>
      <c r="K2993" s="17" t="s">
        <v>697</v>
      </c>
      <c r="L2993" s="144">
        <v>166</v>
      </c>
      <c r="M2993" s="87" t="s">
        <v>723</v>
      </c>
      <c r="N2993" s="90" t="s">
        <v>724</v>
      </c>
      <c r="O2993" s="90"/>
      <c r="P2993" s="91"/>
      <c r="S2993" s="34"/>
    </row>
    <row r="2994" spans="1:19">
      <c r="A2994" s="17">
        <v>57582</v>
      </c>
      <c r="B2994" s="17">
        <v>57584</v>
      </c>
      <c r="C2994" s="17">
        <v>57588</v>
      </c>
      <c r="D2994" s="17">
        <v>57586</v>
      </c>
      <c r="E2994" s="17">
        <v>57590</v>
      </c>
      <c r="F2994" s="17">
        <v>57592</v>
      </c>
      <c r="G2994" s="17">
        <v>57594</v>
      </c>
      <c r="H2994" s="17">
        <v>57596</v>
      </c>
      <c r="I2994" s="17">
        <v>0.1</v>
      </c>
      <c r="J2994" s="92">
        <v>100</v>
      </c>
      <c r="K2994" s="17" t="s">
        <v>705</v>
      </c>
      <c r="L2994" s="144">
        <v>170</v>
      </c>
      <c r="M2994" s="84" t="s">
        <v>3</v>
      </c>
      <c r="N2994" s="90" t="s">
        <v>725</v>
      </c>
      <c r="O2994" s="90"/>
      <c r="P2994" s="91"/>
      <c r="S2994" s="34"/>
    </row>
    <row r="2995" spans="1:19">
      <c r="A2995" s="17">
        <v>57998</v>
      </c>
      <c r="B2995" s="17">
        <v>58000</v>
      </c>
      <c r="C2995" s="17">
        <v>58004</v>
      </c>
      <c r="D2995" s="17">
        <v>58002</v>
      </c>
      <c r="E2995" s="17">
        <v>58006</v>
      </c>
      <c r="F2995" s="17">
        <v>58008</v>
      </c>
      <c r="G2995" s="17">
        <v>58010</v>
      </c>
      <c r="H2995" s="17">
        <v>58012</v>
      </c>
      <c r="I2995" s="17">
        <v>0</v>
      </c>
      <c r="J2995" s="17">
        <v>1000</v>
      </c>
      <c r="K2995" s="17" t="s">
        <v>697</v>
      </c>
      <c r="L2995" s="144">
        <v>196</v>
      </c>
      <c r="M2995" s="84" t="s">
        <v>3</v>
      </c>
      <c r="N2995" s="90" t="s">
        <v>726</v>
      </c>
      <c r="O2995" s="90"/>
      <c r="P2995" s="91"/>
      <c r="S2995" s="34"/>
    </row>
    <row r="2996" spans="1:19">
      <c r="A2996" s="17">
        <v>59342</v>
      </c>
      <c r="B2996" s="17">
        <v>59344</v>
      </c>
      <c r="C2996" s="17">
        <v>59348</v>
      </c>
      <c r="D2996" s="17">
        <v>59346</v>
      </c>
      <c r="E2996" s="17">
        <v>59350</v>
      </c>
      <c r="F2996" s="17">
        <v>59352</v>
      </c>
      <c r="G2996" s="17">
        <v>59354</v>
      </c>
      <c r="H2996" s="17">
        <v>59356</v>
      </c>
      <c r="I2996" s="17">
        <v>3.9</v>
      </c>
      <c r="J2996" s="92">
        <v>160</v>
      </c>
      <c r="K2996" s="17" t="s">
        <v>705</v>
      </c>
      <c r="L2996" s="144">
        <v>280</v>
      </c>
      <c r="M2996" s="84" t="s">
        <v>3</v>
      </c>
      <c r="N2996" s="90" t="s">
        <v>727</v>
      </c>
      <c r="O2996" s="90"/>
      <c r="P2996" s="91"/>
      <c r="S2996" s="34"/>
    </row>
    <row r="2997" spans="1:19">
      <c r="A2997" s="17">
        <v>59358</v>
      </c>
      <c r="B2997" s="17">
        <v>59360</v>
      </c>
      <c r="C2997" s="17">
        <v>59364</v>
      </c>
      <c r="D2997" s="17">
        <v>59362</v>
      </c>
      <c r="E2997" s="17">
        <v>59366</v>
      </c>
      <c r="F2997" s="17">
        <v>59368</v>
      </c>
      <c r="G2997" s="17">
        <v>59370</v>
      </c>
      <c r="H2997" s="17">
        <v>59372</v>
      </c>
      <c r="I2997" s="17">
        <v>1</v>
      </c>
      <c r="J2997" s="17">
        <v>5000</v>
      </c>
      <c r="K2997" s="17" t="s">
        <v>697</v>
      </c>
      <c r="L2997" s="144">
        <v>281</v>
      </c>
      <c r="M2997" s="84" t="s">
        <v>3</v>
      </c>
      <c r="N2997" s="90" t="s">
        <v>728</v>
      </c>
      <c r="O2997" s="90"/>
      <c r="P2997" s="91"/>
      <c r="S2997" s="34"/>
    </row>
    <row r="2998" spans="1:19">
      <c r="A2998" s="17"/>
      <c r="B2998" s="17"/>
      <c r="C2998" s="17"/>
      <c r="D2998" s="17"/>
      <c r="E2998" s="17"/>
      <c r="F2998" s="17"/>
      <c r="G2998" s="17"/>
      <c r="H2998" s="17"/>
      <c r="I2998" s="17"/>
      <c r="J2998" s="17"/>
      <c r="K2998" s="17"/>
      <c r="L2998" s="145"/>
      <c r="M2998" s="84" t="s">
        <v>3</v>
      </c>
      <c r="N2998" s="90"/>
      <c r="O2998" s="90"/>
      <c r="P2998" s="91"/>
      <c r="S2998" s="34"/>
    </row>
    <row r="2999" spans="1:19">
      <c r="A2999" s="17"/>
      <c r="B2999" s="17"/>
      <c r="C2999" s="17"/>
      <c r="D2999" s="17"/>
      <c r="E2999" s="17"/>
      <c r="F2999" s="17"/>
      <c r="G2999" s="17"/>
      <c r="H2999" s="17"/>
      <c r="I2999" s="17"/>
      <c r="J2999" s="17"/>
      <c r="K2999" s="17"/>
      <c r="L2999" s="145"/>
      <c r="M2999" s="84" t="s">
        <v>3</v>
      </c>
      <c r="N2999" s="90"/>
      <c r="O2999" s="90"/>
      <c r="P2999" s="91"/>
      <c r="S2999" s="34"/>
    </row>
    <row r="3000" spans="1:19">
      <c r="A3000" s="17">
        <v>59374</v>
      </c>
      <c r="B3000" s="17">
        <v>59376</v>
      </c>
      <c r="C3000" s="17">
        <v>59380</v>
      </c>
      <c r="D3000" s="17">
        <v>59378</v>
      </c>
      <c r="E3000" s="17">
        <v>59382</v>
      </c>
      <c r="F3000" s="17">
        <v>59384</v>
      </c>
      <c r="G3000" s="17">
        <v>59386</v>
      </c>
      <c r="H3000" s="17">
        <v>59388</v>
      </c>
      <c r="I3000" s="17">
        <v>1</v>
      </c>
      <c r="J3000" s="17">
        <v>16</v>
      </c>
      <c r="K3000" s="17" t="s">
        <v>697</v>
      </c>
      <c r="L3000" s="144">
        <v>282</v>
      </c>
      <c r="M3000" s="87" t="s">
        <v>729</v>
      </c>
      <c r="N3000" s="90" t="s">
        <v>730</v>
      </c>
      <c r="O3000" s="90"/>
      <c r="P3000" s="91"/>
      <c r="S3000" s="34"/>
    </row>
    <row r="3001" spans="1:19">
      <c r="A3001" s="17">
        <v>59390</v>
      </c>
      <c r="B3001" s="17">
        <v>59392</v>
      </c>
      <c r="C3001" s="17">
        <v>59396</v>
      </c>
      <c r="D3001" s="17">
        <v>59394</v>
      </c>
      <c r="E3001" s="17">
        <v>59398</v>
      </c>
      <c r="F3001" s="17">
        <v>59400</v>
      </c>
      <c r="G3001" s="17">
        <v>59402</v>
      </c>
      <c r="H3001" s="17">
        <v>59404</v>
      </c>
      <c r="I3001" s="17">
        <v>1</v>
      </c>
      <c r="J3001" s="17">
        <v>16</v>
      </c>
      <c r="K3001" s="17" t="s">
        <v>697</v>
      </c>
      <c r="L3001" s="144">
        <v>283</v>
      </c>
      <c r="M3001" s="84" t="s">
        <v>3</v>
      </c>
      <c r="N3001" s="90" t="s">
        <v>731</v>
      </c>
      <c r="O3001" s="90"/>
      <c r="P3001" s="91"/>
      <c r="S3001" s="34"/>
    </row>
    <row r="3002" spans="1:19">
      <c r="A3002" s="17">
        <v>59406</v>
      </c>
      <c r="B3002" s="17">
        <v>59408</v>
      </c>
      <c r="C3002" s="17">
        <v>59412</v>
      </c>
      <c r="D3002" s="17">
        <v>59410</v>
      </c>
      <c r="E3002" s="17">
        <v>59414</v>
      </c>
      <c r="F3002" s="17">
        <v>59416</v>
      </c>
      <c r="G3002" s="17">
        <v>59418</v>
      </c>
      <c r="H3002" s="17">
        <v>59420</v>
      </c>
      <c r="I3002" s="92">
        <v>2</v>
      </c>
      <c r="J3002" s="92">
        <v>100</v>
      </c>
      <c r="K3002" s="17" t="s">
        <v>705</v>
      </c>
      <c r="L3002" s="144">
        <v>284</v>
      </c>
      <c r="M3002" s="84" t="s">
        <v>3</v>
      </c>
      <c r="N3002" s="90" t="s">
        <v>732</v>
      </c>
      <c r="O3002" s="90"/>
      <c r="P3002" s="91"/>
      <c r="S3002" s="34"/>
    </row>
    <row r="3003" spans="1:19">
      <c r="A3003" s="17">
        <v>59422</v>
      </c>
      <c r="B3003" s="17">
        <v>59424</v>
      </c>
      <c r="C3003" s="17">
        <v>59428</v>
      </c>
      <c r="D3003" s="17">
        <v>59426</v>
      </c>
      <c r="E3003" s="17">
        <v>59430</v>
      </c>
      <c r="F3003" s="17">
        <v>59432</v>
      </c>
      <c r="G3003" s="17">
        <v>59434</v>
      </c>
      <c r="H3003" s="17">
        <v>59436</v>
      </c>
      <c r="I3003" s="17">
        <v>-50</v>
      </c>
      <c r="J3003" s="17">
        <v>50</v>
      </c>
      <c r="K3003" s="17" t="s">
        <v>697</v>
      </c>
      <c r="L3003" s="144">
        <v>285</v>
      </c>
      <c r="M3003" s="84" t="s">
        <v>3</v>
      </c>
      <c r="N3003" s="90" t="s">
        <v>733</v>
      </c>
      <c r="O3003" s="90"/>
      <c r="P3003" s="91"/>
      <c r="S3003" s="34"/>
    </row>
    <row r="3004" spans="1:19">
      <c r="A3004" s="17">
        <v>59438</v>
      </c>
      <c r="B3004" s="17">
        <v>59440</v>
      </c>
      <c r="C3004" s="17">
        <v>59444</v>
      </c>
      <c r="D3004" s="17">
        <v>59442</v>
      </c>
      <c r="E3004" s="17">
        <v>59446</v>
      </c>
      <c r="F3004" s="17">
        <v>59448</v>
      </c>
      <c r="G3004" s="17">
        <v>59450</v>
      </c>
      <c r="H3004" s="17">
        <v>59452</v>
      </c>
      <c r="I3004" s="92">
        <v>2</v>
      </c>
      <c r="J3004" s="92">
        <v>100</v>
      </c>
      <c r="K3004" s="17" t="s">
        <v>705</v>
      </c>
      <c r="L3004" s="144">
        <v>286</v>
      </c>
      <c r="M3004" s="84" t="s">
        <v>3</v>
      </c>
      <c r="N3004" s="90" t="s">
        <v>734</v>
      </c>
      <c r="O3004" s="90"/>
      <c r="P3004" s="91"/>
      <c r="S3004" s="34"/>
    </row>
    <row r="3005" spans="1:19">
      <c r="A3005" s="17"/>
      <c r="B3005" s="17"/>
      <c r="C3005" s="17"/>
      <c r="D3005" s="17"/>
      <c r="E3005" s="17"/>
      <c r="F3005" s="17"/>
      <c r="G3005" s="17"/>
      <c r="H3005" s="17"/>
      <c r="I3005" s="92"/>
      <c r="J3005" s="92"/>
      <c r="K3005" s="17"/>
      <c r="L3005" s="145"/>
      <c r="M3005" s="84" t="s">
        <v>3</v>
      </c>
      <c r="N3005" s="90"/>
      <c r="O3005" s="90"/>
      <c r="P3005" s="91"/>
      <c r="S3005" s="34"/>
    </row>
    <row r="3006" spans="1:19">
      <c r="A3006" s="17"/>
      <c r="B3006" s="17"/>
      <c r="C3006" s="17"/>
      <c r="D3006" s="17"/>
      <c r="E3006" s="17"/>
      <c r="F3006" s="17"/>
      <c r="G3006" s="17"/>
      <c r="H3006" s="17"/>
      <c r="I3006" s="92"/>
      <c r="J3006" s="92"/>
      <c r="K3006" s="17"/>
      <c r="L3006" s="145"/>
      <c r="M3006" s="84" t="s">
        <v>3</v>
      </c>
      <c r="N3006" s="90"/>
      <c r="O3006" s="90"/>
      <c r="P3006" s="91"/>
      <c r="S3006" s="34"/>
    </row>
    <row r="3007" spans="1:19">
      <c r="A3007" s="17">
        <v>59454</v>
      </c>
      <c r="B3007" s="17">
        <v>59456</v>
      </c>
      <c r="C3007" s="17">
        <v>59460</v>
      </c>
      <c r="D3007" s="17">
        <v>59458</v>
      </c>
      <c r="E3007" s="17">
        <v>59462</v>
      </c>
      <c r="F3007" s="17">
        <v>59464</v>
      </c>
      <c r="G3007" s="17">
        <v>59466</v>
      </c>
      <c r="H3007" s="17">
        <v>59468</v>
      </c>
      <c r="I3007" s="17">
        <v>-50</v>
      </c>
      <c r="J3007" s="17">
        <v>50</v>
      </c>
      <c r="K3007" s="17" t="s">
        <v>697</v>
      </c>
      <c r="L3007" s="144">
        <v>287</v>
      </c>
      <c r="M3007" s="87" t="s">
        <v>735</v>
      </c>
      <c r="N3007" s="90" t="s">
        <v>736</v>
      </c>
      <c r="O3007" s="90"/>
      <c r="P3007" s="91"/>
      <c r="S3007" s="34"/>
    </row>
    <row r="3008" spans="1:19">
      <c r="A3008" s="17">
        <v>56126</v>
      </c>
      <c r="B3008" s="17">
        <v>56128</v>
      </c>
      <c r="C3008" s="17">
        <v>56132</v>
      </c>
      <c r="D3008" s="17">
        <v>56130</v>
      </c>
      <c r="E3008" s="17">
        <v>56134</v>
      </c>
      <c r="F3008" s="17">
        <v>56136</v>
      </c>
      <c r="G3008" s="17">
        <v>56138</v>
      </c>
      <c r="H3008" s="17">
        <v>56140</v>
      </c>
      <c r="I3008" s="92">
        <v>1</v>
      </c>
      <c r="J3008" s="92">
        <v>300</v>
      </c>
      <c r="K3008" s="17" t="s">
        <v>737</v>
      </c>
      <c r="L3008" s="144">
        <v>79</v>
      </c>
      <c r="M3008" s="84" t="s">
        <v>3</v>
      </c>
      <c r="N3008" s="90" t="s">
        <v>738</v>
      </c>
      <c r="O3008" s="90"/>
      <c r="P3008" s="91"/>
      <c r="S3008" s="34"/>
    </row>
    <row r="3009" spans="1:19">
      <c r="A3009" s="17">
        <v>56142</v>
      </c>
      <c r="B3009" s="17">
        <v>56144</v>
      </c>
      <c r="C3009" s="17">
        <v>56148</v>
      </c>
      <c r="D3009" s="17">
        <v>56146</v>
      </c>
      <c r="E3009" s="17">
        <v>56150</v>
      </c>
      <c r="F3009" s="17">
        <v>56152</v>
      </c>
      <c r="G3009" s="17">
        <v>56154</v>
      </c>
      <c r="H3009" s="17">
        <v>56156</v>
      </c>
      <c r="I3009" s="17">
        <v>0</v>
      </c>
      <c r="J3009" s="17">
        <v>80</v>
      </c>
      <c r="K3009" s="17" t="s">
        <v>697</v>
      </c>
      <c r="L3009" s="144">
        <v>80</v>
      </c>
      <c r="M3009" s="84" t="s">
        <v>3</v>
      </c>
      <c r="N3009" s="90" t="s">
        <v>739</v>
      </c>
      <c r="O3009" s="90"/>
      <c r="P3009" s="91"/>
      <c r="S3009" s="34"/>
    </row>
    <row r="3010" spans="1:19">
      <c r="A3010" s="17">
        <v>56158</v>
      </c>
      <c r="B3010" s="17">
        <v>56160</v>
      </c>
      <c r="C3010" s="17">
        <v>56164</v>
      </c>
      <c r="D3010" s="17">
        <v>56162</v>
      </c>
      <c r="E3010" s="17">
        <v>56166</v>
      </c>
      <c r="F3010" s="17">
        <v>56168</v>
      </c>
      <c r="G3010" s="17">
        <v>56170</v>
      </c>
      <c r="H3010" s="17">
        <v>56172</v>
      </c>
      <c r="I3010" s="92">
        <v>1</v>
      </c>
      <c r="J3010" s="92">
        <v>300</v>
      </c>
      <c r="K3010" s="17" t="s">
        <v>737</v>
      </c>
      <c r="L3010" s="144">
        <v>81</v>
      </c>
      <c r="M3010" s="84" t="s">
        <v>3</v>
      </c>
      <c r="N3010" s="90" t="s">
        <v>740</v>
      </c>
      <c r="O3010" s="90"/>
      <c r="P3010" s="91"/>
      <c r="S3010" s="34"/>
    </row>
    <row r="3011" spans="1:19">
      <c r="A3011" s="17">
        <v>56174</v>
      </c>
      <c r="B3011" s="17">
        <v>56176</v>
      </c>
      <c r="C3011" s="17">
        <v>56180</v>
      </c>
      <c r="D3011" s="17">
        <v>56178</v>
      </c>
      <c r="E3011" s="17">
        <v>56182</v>
      </c>
      <c r="F3011" s="17">
        <v>56184</v>
      </c>
      <c r="G3011" s="17">
        <v>56186</v>
      </c>
      <c r="H3011" s="17">
        <v>56188</v>
      </c>
      <c r="I3011" s="17">
        <v>0</v>
      </c>
      <c r="J3011" s="17">
        <v>80</v>
      </c>
      <c r="K3011" s="17" t="s">
        <v>697</v>
      </c>
      <c r="L3011" s="144">
        <v>82</v>
      </c>
      <c r="M3011" s="84" t="s">
        <v>3</v>
      </c>
      <c r="N3011" s="90" t="s">
        <v>741</v>
      </c>
      <c r="O3011" s="90"/>
      <c r="P3011" s="91"/>
      <c r="S3011" s="34"/>
    </row>
    <row r="3012" spans="1:19">
      <c r="A3012" s="17"/>
      <c r="B3012" s="17"/>
      <c r="C3012" s="17"/>
      <c r="D3012" s="17"/>
      <c r="E3012" s="17"/>
      <c r="F3012" s="17"/>
      <c r="G3012" s="17"/>
      <c r="H3012" s="17"/>
      <c r="I3012" s="17"/>
      <c r="J3012" s="17"/>
      <c r="K3012" s="17"/>
      <c r="L3012" s="145"/>
      <c r="M3012" s="84" t="s">
        <v>3</v>
      </c>
      <c r="N3012" s="90"/>
      <c r="O3012" s="90"/>
      <c r="P3012" s="91"/>
      <c r="S3012" s="34"/>
    </row>
    <row r="3013" spans="1:19">
      <c r="A3013" s="17"/>
      <c r="B3013" s="17"/>
      <c r="C3013" s="17"/>
      <c r="D3013" s="17"/>
      <c r="E3013" s="17"/>
      <c r="F3013" s="17"/>
      <c r="G3013" s="17"/>
      <c r="H3013" s="17"/>
      <c r="I3013" s="17"/>
      <c r="J3013" s="17"/>
      <c r="K3013" s="17"/>
      <c r="L3013" s="145"/>
      <c r="M3013" s="84" t="s">
        <v>3</v>
      </c>
      <c r="N3013" s="90"/>
      <c r="O3013" s="90"/>
      <c r="P3013" s="91"/>
      <c r="S3013" s="34"/>
    </row>
    <row r="3014" spans="1:19">
      <c r="A3014" s="17">
        <v>55998</v>
      </c>
      <c r="B3014" s="17">
        <v>56000</v>
      </c>
      <c r="C3014" s="17">
        <v>56004</v>
      </c>
      <c r="D3014" s="17">
        <v>56002</v>
      </c>
      <c r="E3014" s="17">
        <v>56006</v>
      </c>
      <c r="F3014" s="17">
        <v>56008</v>
      </c>
      <c r="G3014" s="17">
        <v>56010</v>
      </c>
      <c r="H3014" s="17">
        <v>56012</v>
      </c>
      <c r="I3014" s="17">
        <v>0</v>
      </c>
      <c r="J3014" s="17">
        <v>1</v>
      </c>
      <c r="K3014" s="17" t="s">
        <v>697</v>
      </c>
      <c r="L3014" s="144">
        <v>71</v>
      </c>
      <c r="M3014" s="87" t="s">
        <v>742</v>
      </c>
      <c r="N3014" s="90" t="s">
        <v>743</v>
      </c>
      <c r="O3014" s="90"/>
      <c r="P3014" s="91"/>
      <c r="S3014" s="34"/>
    </row>
    <row r="3015" spans="1:19">
      <c r="A3015" s="17">
        <v>56014</v>
      </c>
      <c r="B3015" s="17">
        <v>56016</v>
      </c>
      <c r="C3015" s="17">
        <v>56020</v>
      </c>
      <c r="D3015" s="17">
        <v>56018</v>
      </c>
      <c r="E3015" s="17">
        <v>56022</v>
      </c>
      <c r="F3015" s="17">
        <v>56024</v>
      </c>
      <c r="G3015" s="17">
        <v>56026</v>
      </c>
      <c r="H3015" s="17">
        <v>56028</v>
      </c>
      <c r="I3015" s="17">
        <v>10</v>
      </c>
      <c r="J3015" s="17">
        <v>4000</v>
      </c>
      <c r="K3015" s="17" t="s">
        <v>697</v>
      </c>
      <c r="L3015" s="144">
        <v>72</v>
      </c>
      <c r="M3015" s="84" t="s">
        <v>3</v>
      </c>
      <c r="N3015" s="90" t="s">
        <v>744</v>
      </c>
      <c r="O3015" s="90"/>
      <c r="P3015" s="91"/>
      <c r="S3015" s="34"/>
    </row>
    <row r="3016" spans="1:19">
      <c r="A3016" s="17">
        <v>56030</v>
      </c>
      <c r="B3016" s="17">
        <v>56032</v>
      </c>
      <c r="C3016" s="17">
        <v>56036</v>
      </c>
      <c r="D3016" s="17">
        <v>56034</v>
      </c>
      <c r="E3016" s="17">
        <v>56038</v>
      </c>
      <c r="F3016" s="17">
        <v>56040</v>
      </c>
      <c r="G3016" s="17">
        <v>56042</v>
      </c>
      <c r="H3016" s="17">
        <v>56044</v>
      </c>
      <c r="I3016" s="17">
        <v>0</v>
      </c>
      <c r="J3016" s="17">
        <v>40</v>
      </c>
      <c r="K3016" s="17" t="s">
        <v>697</v>
      </c>
      <c r="L3016" s="144">
        <v>73</v>
      </c>
      <c r="M3016" s="84" t="s">
        <v>3</v>
      </c>
      <c r="N3016" s="90" t="s">
        <v>745</v>
      </c>
      <c r="O3016" s="90"/>
      <c r="P3016" s="91"/>
      <c r="S3016" s="34"/>
    </row>
    <row r="3017" spans="1:19">
      <c r="A3017" s="17">
        <v>56046</v>
      </c>
      <c r="B3017" s="17">
        <v>56048</v>
      </c>
      <c r="C3017" s="17">
        <v>56052</v>
      </c>
      <c r="D3017" s="17">
        <v>56050</v>
      </c>
      <c r="E3017" s="17">
        <v>56054</v>
      </c>
      <c r="F3017" s="17">
        <v>56056</v>
      </c>
      <c r="G3017" s="17">
        <v>56058</v>
      </c>
      <c r="H3017" s="17">
        <v>56060</v>
      </c>
      <c r="I3017" s="17">
        <v>0</v>
      </c>
      <c r="J3017" s="17">
        <v>3</v>
      </c>
      <c r="K3017" s="17" t="s">
        <v>697</v>
      </c>
      <c r="L3017" s="144">
        <v>74</v>
      </c>
      <c r="M3017" s="84" t="s">
        <v>3</v>
      </c>
      <c r="N3017" s="90" t="s">
        <v>746</v>
      </c>
      <c r="O3017" s="90"/>
      <c r="P3017" s="91"/>
      <c r="S3017" s="34"/>
    </row>
    <row r="3018" spans="1:19">
      <c r="A3018" s="17">
        <v>56062</v>
      </c>
      <c r="B3018" s="17">
        <v>56064</v>
      </c>
      <c r="C3018" s="17">
        <v>56068</v>
      </c>
      <c r="D3018" s="17">
        <v>56066</v>
      </c>
      <c r="E3018" s="17">
        <v>56070</v>
      </c>
      <c r="F3018" s="17">
        <v>56072</v>
      </c>
      <c r="G3018" s="17">
        <v>56074</v>
      </c>
      <c r="H3018" s="17">
        <v>56076</v>
      </c>
      <c r="I3018" s="17">
        <v>10</v>
      </c>
      <c r="J3018" s="17">
        <v>4000</v>
      </c>
      <c r="K3018" s="17" t="s">
        <v>697</v>
      </c>
      <c r="L3018" s="144">
        <v>75</v>
      </c>
      <c r="M3018" s="84" t="s">
        <v>3</v>
      </c>
      <c r="N3018" s="90" t="s">
        <v>747</v>
      </c>
      <c r="O3018" s="90"/>
      <c r="P3018" s="91"/>
      <c r="S3018" s="34"/>
    </row>
    <row r="3019" spans="1:19">
      <c r="A3019" s="17"/>
      <c r="B3019" s="17"/>
      <c r="C3019" s="17"/>
      <c r="D3019" s="17"/>
      <c r="E3019" s="17"/>
      <c r="F3019" s="17"/>
      <c r="G3019" s="17"/>
      <c r="H3019" s="17"/>
      <c r="I3019" s="17"/>
      <c r="J3019" s="17"/>
      <c r="K3019" s="17"/>
      <c r="L3019" s="145"/>
      <c r="M3019" s="84" t="s">
        <v>3</v>
      </c>
      <c r="N3019" s="90"/>
      <c r="O3019" s="90"/>
      <c r="P3019" s="91"/>
      <c r="S3019" s="34"/>
    </row>
    <row r="3020" spans="1:19">
      <c r="A3020" s="17"/>
      <c r="B3020" s="17"/>
      <c r="C3020" s="17"/>
      <c r="D3020" s="17"/>
      <c r="E3020" s="17"/>
      <c r="F3020" s="17"/>
      <c r="G3020" s="17"/>
      <c r="H3020" s="17"/>
      <c r="I3020" s="17"/>
      <c r="J3020" s="17"/>
      <c r="K3020" s="17"/>
      <c r="L3020" s="145"/>
      <c r="M3020" s="84" t="s">
        <v>3</v>
      </c>
      <c r="N3020" s="90"/>
      <c r="O3020" s="90"/>
      <c r="P3020" s="91"/>
      <c r="S3020" s="34"/>
    </row>
    <row r="3021" spans="1:19">
      <c r="A3021" s="17">
        <v>56078</v>
      </c>
      <c r="B3021" s="17">
        <v>56080</v>
      </c>
      <c r="C3021" s="17">
        <v>56084</v>
      </c>
      <c r="D3021" s="17">
        <v>56082</v>
      </c>
      <c r="E3021" s="17">
        <v>56086</v>
      </c>
      <c r="F3021" s="17">
        <v>56088</v>
      </c>
      <c r="G3021" s="17">
        <v>56090</v>
      </c>
      <c r="H3021" s="17">
        <v>56092</v>
      </c>
      <c r="I3021" s="17">
        <v>0</v>
      </c>
      <c r="J3021" s="17">
        <v>40</v>
      </c>
      <c r="K3021" s="17" t="s">
        <v>697</v>
      </c>
      <c r="L3021" s="144">
        <v>76</v>
      </c>
      <c r="M3021" s="87" t="s">
        <v>748</v>
      </c>
      <c r="N3021" s="90" t="s">
        <v>749</v>
      </c>
      <c r="O3021" s="90"/>
      <c r="P3021" s="91"/>
      <c r="S3021" s="34"/>
    </row>
    <row r="3022" spans="1:19">
      <c r="A3022" s="17">
        <v>56094</v>
      </c>
      <c r="B3022" s="17">
        <v>56096</v>
      </c>
      <c r="C3022" s="17">
        <v>56100</v>
      </c>
      <c r="D3022" s="17">
        <v>56098</v>
      </c>
      <c r="E3022" s="17">
        <v>56102</v>
      </c>
      <c r="F3022" s="17">
        <v>56104</v>
      </c>
      <c r="G3022" s="17">
        <v>56106</v>
      </c>
      <c r="H3022" s="17">
        <v>56108</v>
      </c>
      <c r="I3022" s="17">
        <v>0</v>
      </c>
      <c r="J3022" s="17">
        <v>3</v>
      </c>
      <c r="K3022" s="17" t="s">
        <v>697</v>
      </c>
      <c r="L3022" s="144">
        <v>77</v>
      </c>
      <c r="M3022" s="84" t="s">
        <v>3</v>
      </c>
      <c r="N3022" s="90" t="s">
        <v>750</v>
      </c>
      <c r="O3022" s="90"/>
      <c r="P3022" s="91"/>
      <c r="S3022" s="34"/>
    </row>
    <row r="3023" spans="1:19">
      <c r="A3023" s="17">
        <v>55710</v>
      </c>
      <c r="B3023" s="17">
        <v>55712</v>
      </c>
      <c r="C3023" s="17">
        <v>55716</v>
      </c>
      <c r="D3023" s="17">
        <v>55714</v>
      </c>
      <c r="E3023" s="17">
        <v>55718</v>
      </c>
      <c r="F3023" s="17">
        <v>55720</v>
      </c>
      <c r="G3023" s="17">
        <v>55722</v>
      </c>
      <c r="H3023" s="17">
        <v>55724</v>
      </c>
      <c r="I3023" s="17">
        <v>0</v>
      </c>
      <c r="J3023" s="92">
        <v>1000</v>
      </c>
      <c r="K3023" s="17" t="s">
        <v>705</v>
      </c>
      <c r="L3023" s="144">
        <v>53</v>
      </c>
      <c r="M3023" s="84" t="s">
        <v>3</v>
      </c>
      <c r="N3023" s="90" t="s">
        <v>751</v>
      </c>
      <c r="O3023" s="90"/>
      <c r="P3023" s="91"/>
      <c r="S3023" s="34"/>
    </row>
    <row r="3024" spans="1:19">
      <c r="A3024" s="17">
        <v>55822</v>
      </c>
      <c r="B3024" s="17">
        <v>55824</v>
      </c>
      <c r="C3024" s="17">
        <v>55828</v>
      </c>
      <c r="D3024" s="17">
        <v>55826</v>
      </c>
      <c r="E3024" s="17">
        <v>55830</v>
      </c>
      <c r="F3024" s="17">
        <v>55832</v>
      </c>
      <c r="G3024" s="17">
        <v>55834</v>
      </c>
      <c r="H3024" s="17">
        <v>55836</v>
      </c>
      <c r="I3024" s="17">
        <v>0</v>
      </c>
      <c r="J3024" s="93">
        <v>20</v>
      </c>
      <c r="K3024" s="17" t="s">
        <v>708</v>
      </c>
      <c r="L3024" s="144">
        <v>60</v>
      </c>
      <c r="M3024" s="84" t="s">
        <v>3</v>
      </c>
      <c r="N3024" s="90" t="s">
        <v>752</v>
      </c>
      <c r="O3024" s="90"/>
      <c r="P3024" s="91"/>
      <c r="S3024" s="34"/>
    </row>
    <row r="3025" spans="1:19">
      <c r="A3025" s="6">
        <v>56430</v>
      </c>
      <c r="B3025" s="6">
        <v>56432</v>
      </c>
      <c r="C3025" s="6">
        <v>56436</v>
      </c>
      <c r="D3025" s="6">
        <v>56434</v>
      </c>
      <c r="E3025" s="6">
        <v>56438</v>
      </c>
      <c r="F3025" s="6">
        <v>56440</v>
      </c>
      <c r="G3025" s="6">
        <v>56442</v>
      </c>
      <c r="H3025" s="6">
        <v>56444</v>
      </c>
      <c r="I3025" s="6">
        <v>0</v>
      </c>
      <c r="J3025" s="6">
        <v>100</v>
      </c>
      <c r="K3025" s="6" t="s">
        <v>1607</v>
      </c>
      <c r="L3025" s="6">
        <v>98</v>
      </c>
      <c r="M3025" t="s">
        <v>32</v>
      </c>
      <c r="N3025" t="s">
        <v>1637</v>
      </c>
      <c r="O3025" s="90"/>
      <c r="P3025" s="91"/>
      <c r="S3025" s="34"/>
    </row>
    <row r="3026" spans="1:19">
      <c r="A3026" s="17"/>
      <c r="B3026" s="17"/>
      <c r="C3026" s="17"/>
      <c r="D3026" s="17"/>
      <c r="E3026" s="17"/>
      <c r="F3026" s="17"/>
      <c r="G3026" s="17"/>
      <c r="H3026" s="17"/>
      <c r="I3026" s="17"/>
      <c r="J3026" s="17"/>
      <c r="K3026" s="17"/>
      <c r="L3026" s="145"/>
      <c r="M3026" s="84" t="s">
        <v>3</v>
      </c>
      <c r="N3026" s="90"/>
      <c r="O3026" s="90"/>
      <c r="P3026" s="91"/>
      <c r="S3026" s="34"/>
    </row>
    <row r="3027" spans="1:19">
      <c r="A3027" s="17"/>
      <c r="B3027" s="17"/>
      <c r="C3027" s="17"/>
      <c r="D3027" s="17"/>
      <c r="E3027" s="17"/>
      <c r="F3027" s="17"/>
      <c r="G3027" s="17"/>
      <c r="H3027" s="17"/>
      <c r="I3027" s="17"/>
      <c r="J3027" s="17"/>
      <c r="K3027" s="17"/>
      <c r="L3027" s="145"/>
      <c r="M3027" s="84" t="s">
        <v>3</v>
      </c>
      <c r="N3027" s="90"/>
      <c r="O3027" s="90"/>
      <c r="P3027" s="91"/>
      <c r="S3027" s="34"/>
    </row>
    <row r="3028" spans="1:19">
      <c r="A3028" s="17">
        <v>55742</v>
      </c>
      <c r="B3028" s="17">
        <v>55744</v>
      </c>
      <c r="C3028" s="17">
        <v>55748</v>
      </c>
      <c r="D3028" s="17">
        <v>55746</v>
      </c>
      <c r="E3028" s="17">
        <v>55750</v>
      </c>
      <c r="F3028" s="17">
        <v>55752</v>
      </c>
      <c r="G3028" s="17">
        <v>55754</v>
      </c>
      <c r="H3028" s="17">
        <v>55756</v>
      </c>
      <c r="I3028" s="17">
        <v>0</v>
      </c>
      <c r="J3028" s="93">
        <v>250</v>
      </c>
      <c r="K3028" s="17" t="s">
        <v>708</v>
      </c>
      <c r="L3028" s="144">
        <v>55</v>
      </c>
      <c r="M3028" s="87" t="s">
        <v>753</v>
      </c>
      <c r="N3028" s="90" t="s">
        <v>754</v>
      </c>
      <c r="O3028" s="90"/>
      <c r="P3028" s="91"/>
      <c r="S3028" s="34"/>
    </row>
    <row r="3029" spans="1:19">
      <c r="A3029" s="17">
        <v>55758</v>
      </c>
      <c r="B3029" s="17">
        <v>55760</v>
      </c>
      <c r="C3029" s="17">
        <v>55764</v>
      </c>
      <c r="D3029" s="17">
        <v>55762</v>
      </c>
      <c r="E3029" s="17">
        <v>55766</v>
      </c>
      <c r="F3029" s="17">
        <v>55768</v>
      </c>
      <c r="G3029" s="17">
        <v>55770</v>
      </c>
      <c r="H3029" s="17">
        <v>55772</v>
      </c>
      <c r="I3029" s="17">
        <v>1</v>
      </c>
      <c r="J3029" s="17">
        <v>2000</v>
      </c>
      <c r="K3029" s="17" t="s">
        <v>697</v>
      </c>
      <c r="L3029" s="144">
        <v>56</v>
      </c>
      <c r="M3029" s="84" t="s">
        <v>3</v>
      </c>
      <c r="N3029" s="90" t="s">
        <v>755</v>
      </c>
      <c r="O3029" s="90"/>
      <c r="P3029" s="91"/>
      <c r="S3029" s="34"/>
    </row>
    <row r="3030" spans="1:19">
      <c r="A3030" s="17">
        <v>55774</v>
      </c>
      <c r="B3030" s="17">
        <v>55776</v>
      </c>
      <c r="C3030" s="17">
        <v>55780</v>
      </c>
      <c r="D3030" s="17">
        <v>55778</v>
      </c>
      <c r="E3030" s="17">
        <v>55782</v>
      </c>
      <c r="F3030" s="17">
        <v>55784</v>
      </c>
      <c r="G3030" s="17">
        <v>55786</v>
      </c>
      <c r="H3030" s="17">
        <v>55788</v>
      </c>
      <c r="I3030" s="17">
        <v>1</v>
      </c>
      <c r="J3030" s="17">
        <v>2000</v>
      </c>
      <c r="K3030" s="17" t="s">
        <v>697</v>
      </c>
      <c r="L3030" s="144">
        <v>57</v>
      </c>
      <c r="M3030" s="84" t="s">
        <v>3</v>
      </c>
      <c r="N3030" s="90" t="s">
        <v>756</v>
      </c>
      <c r="O3030" s="90"/>
      <c r="P3030" s="91"/>
      <c r="S3030" s="34"/>
    </row>
    <row r="3031" spans="1:19">
      <c r="A3031" s="17">
        <v>55790</v>
      </c>
      <c r="B3031" s="17">
        <v>55792</v>
      </c>
      <c r="C3031" s="17">
        <v>55796</v>
      </c>
      <c r="D3031" s="17">
        <v>55794</v>
      </c>
      <c r="E3031" s="17">
        <v>55798</v>
      </c>
      <c r="F3031" s="17">
        <v>55800</v>
      </c>
      <c r="G3031" s="17">
        <v>55802</v>
      </c>
      <c r="H3031" s="17">
        <v>55804</v>
      </c>
      <c r="I3031" s="17">
        <v>0.5</v>
      </c>
      <c r="J3031" s="92">
        <v>1000</v>
      </c>
      <c r="K3031" s="17" t="s">
        <v>705</v>
      </c>
      <c r="L3031" s="144">
        <v>58</v>
      </c>
      <c r="M3031" s="84" t="s">
        <v>3</v>
      </c>
      <c r="N3031" s="90" t="s">
        <v>757</v>
      </c>
      <c r="O3031" s="90"/>
      <c r="P3031" s="91"/>
      <c r="S3031" s="34"/>
    </row>
    <row r="3032" spans="1:19">
      <c r="A3032" s="6">
        <v>55806</v>
      </c>
      <c r="B3032" s="6">
        <v>55808</v>
      </c>
      <c r="C3032" s="6">
        <v>55812</v>
      </c>
      <c r="D3032" s="6">
        <v>55810</v>
      </c>
      <c r="E3032" s="6">
        <v>55814</v>
      </c>
      <c r="F3032" s="6">
        <v>55816</v>
      </c>
      <c r="G3032" s="6">
        <v>55818</v>
      </c>
      <c r="H3032" s="6">
        <v>55820</v>
      </c>
      <c r="I3032" s="6">
        <v>0</v>
      </c>
      <c r="J3032" s="6">
        <v>1500</v>
      </c>
      <c r="K3032" s="6" t="s">
        <v>1638</v>
      </c>
      <c r="L3032" s="6">
        <v>59</v>
      </c>
      <c r="M3032" t="s">
        <v>32</v>
      </c>
      <c r="N3032" t="s">
        <v>1639</v>
      </c>
      <c r="O3032" s="90"/>
      <c r="P3032" s="91"/>
      <c r="S3032" s="34"/>
    </row>
    <row r="3033" spans="1:19">
      <c r="A3033" s="17"/>
      <c r="B3033" s="17"/>
      <c r="C3033" s="17"/>
      <c r="D3033" s="17"/>
      <c r="E3033" s="17"/>
      <c r="F3033" s="17"/>
      <c r="G3033" s="17"/>
      <c r="H3033" s="17"/>
      <c r="I3033" s="17"/>
      <c r="J3033" s="17"/>
      <c r="K3033" s="17"/>
      <c r="L3033" s="145"/>
      <c r="M3033" s="84" t="s">
        <v>3</v>
      </c>
      <c r="N3033" s="90"/>
      <c r="O3033" s="90"/>
      <c r="P3033" s="91"/>
      <c r="S3033" s="34"/>
    </row>
    <row r="3034" spans="1:19">
      <c r="A3034" s="17"/>
      <c r="B3034" s="17"/>
      <c r="C3034" s="17"/>
      <c r="D3034" s="17"/>
      <c r="E3034" s="17"/>
      <c r="F3034" s="17"/>
      <c r="G3034" s="17"/>
      <c r="H3034" s="17"/>
      <c r="I3034" s="17"/>
      <c r="J3034" s="17"/>
      <c r="K3034" s="17"/>
      <c r="L3034" s="145"/>
      <c r="M3034" s="84" t="s">
        <v>3</v>
      </c>
      <c r="N3034" s="90"/>
      <c r="O3034" s="90"/>
      <c r="P3034" s="91"/>
      <c r="S3034" s="34"/>
    </row>
    <row r="3035" spans="1:19">
      <c r="A3035" s="23">
        <v>56382</v>
      </c>
      <c r="B3035" s="23">
        <v>56384</v>
      </c>
      <c r="C3035" s="23">
        <v>56388</v>
      </c>
      <c r="D3035" s="23">
        <v>56386</v>
      </c>
      <c r="E3035" s="23">
        <v>56390</v>
      </c>
      <c r="F3035" s="23">
        <v>56392</v>
      </c>
      <c r="G3035" s="23">
        <v>56394</v>
      </c>
      <c r="H3035" s="23">
        <v>56396</v>
      </c>
      <c r="I3035" s="23">
        <v>0</v>
      </c>
      <c r="J3035" s="23">
        <v>1</v>
      </c>
      <c r="K3035" s="23" t="s">
        <v>1607</v>
      </c>
      <c r="L3035" s="23">
        <v>95</v>
      </c>
      <c r="M3035" t="s">
        <v>32</v>
      </c>
      <c r="N3035" t="s">
        <v>1640</v>
      </c>
      <c r="O3035" s="90"/>
      <c r="P3035" s="91"/>
      <c r="S3035" s="34"/>
    </row>
    <row r="3036" spans="1:19">
      <c r="A3036" s="23">
        <v>55310</v>
      </c>
      <c r="B3036" s="23">
        <v>55312</v>
      </c>
      <c r="C3036" s="23">
        <v>55316</v>
      </c>
      <c r="D3036" s="23">
        <v>55314</v>
      </c>
      <c r="E3036" s="23">
        <v>55318</v>
      </c>
      <c r="F3036" s="23">
        <v>55320</v>
      </c>
      <c r="G3036" s="23">
        <v>55322</v>
      </c>
      <c r="H3036" s="23">
        <v>55324</v>
      </c>
      <c r="I3036" s="23">
        <v>0</v>
      </c>
      <c r="J3036" s="23">
        <v>300</v>
      </c>
      <c r="K3036" s="23" t="s">
        <v>1607</v>
      </c>
      <c r="L3036" s="23">
        <v>28</v>
      </c>
      <c r="M3036" t="s">
        <v>32</v>
      </c>
      <c r="N3036" t="s">
        <v>1641</v>
      </c>
      <c r="O3036" s="40"/>
      <c r="P3036" s="40"/>
      <c r="Q3036" s="40"/>
      <c r="R3036" s="34"/>
      <c r="S3036" s="34"/>
    </row>
    <row r="3037" spans="1:19">
      <c r="A3037" s="23">
        <v>55326</v>
      </c>
      <c r="B3037" s="23">
        <v>55328</v>
      </c>
      <c r="C3037" s="23">
        <v>55332</v>
      </c>
      <c r="D3037" s="23">
        <v>55330</v>
      </c>
      <c r="E3037" s="23">
        <v>55334</v>
      </c>
      <c r="F3037" s="23">
        <v>55336</v>
      </c>
      <c r="G3037" s="23">
        <v>55338</v>
      </c>
      <c r="H3037" s="23">
        <v>55340</v>
      </c>
      <c r="I3037" s="23">
        <v>0</v>
      </c>
      <c r="J3037" s="23">
        <v>300</v>
      </c>
      <c r="K3037" s="23" t="s">
        <v>1607</v>
      </c>
      <c r="L3037" s="23">
        <v>29</v>
      </c>
      <c r="M3037" t="s">
        <v>32</v>
      </c>
      <c r="N3037" t="s">
        <v>1642</v>
      </c>
      <c r="O3037" s="40"/>
      <c r="P3037" s="40"/>
      <c r="Q3037" s="40"/>
      <c r="R3037" s="34"/>
      <c r="S3037" s="34"/>
    </row>
    <row r="3038" spans="1:19">
      <c r="A3038" s="8"/>
      <c r="B3038" s="8"/>
      <c r="C3038" s="8"/>
      <c r="D3038" s="8"/>
      <c r="E3038" s="8"/>
      <c r="F3038" s="8"/>
      <c r="G3038" s="8"/>
      <c r="H3038" s="8"/>
      <c r="I3038" s="8"/>
      <c r="J3038" s="8"/>
      <c r="K3038" s="8"/>
      <c r="L3038" s="145"/>
      <c r="M3038" s="84" t="s">
        <v>3</v>
      </c>
      <c r="N3038" s="85"/>
      <c r="O3038" s="40"/>
      <c r="P3038" s="40"/>
      <c r="Q3038" s="3"/>
    </row>
    <row r="3039" spans="1:19">
      <c r="A3039" s="8"/>
      <c r="B3039" s="8"/>
      <c r="C3039" s="8"/>
      <c r="D3039" s="8"/>
      <c r="E3039" s="8"/>
      <c r="F3039" s="8"/>
      <c r="G3039" s="8"/>
      <c r="H3039" s="8"/>
      <c r="I3039" s="8"/>
      <c r="J3039" s="8"/>
      <c r="K3039" s="8"/>
      <c r="L3039" s="145"/>
      <c r="M3039" s="84" t="s">
        <v>3</v>
      </c>
      <c r="N3039" s="85"/>
      <c r="O3039" s="40"/>
      <c r="P3039" s="40"/>
      <c r="Q3039" s="3"/>
    </row>
    <row r="3040" spans="1:19">
      <c r="A3040" s="8"/>
      <c r="B3040" s="8"/>
      <c r="C3040" s="8"/>
      <c r="D3040" s="8"/>
      <c r="E3040" s="8"/>
      <c r="F3040" s="8"/>
      <c r="G3040" s="8"/>
      <c r="H3040" s="8"/>
      <c r="I3040" s="8"/>
      <c r="J3040" s="8"/>
      <c r="K3040" s="8"/>
      <c r="L3040" s="145"/>
      <c r="M3040" s="84" t="s">
        <v>3</v>
      </c>
      <c r="N3040" s="85"/>
      <c r="O3040" s="40"/>
      <c r="P3040" s="40"/>
      <c r="Q3040" s="3"/>
    </row>
    <row r="3041" spans="1:19">
      <c r="A3041" s="8"/>
      <c r="B3041" s="8"/>
      <c r="C3041" s="8"/>
      <c r="D3041" s="8"/>
      <c r="E3041" s="8"/>
      <c r="F3041" s="8"/>
      <c r="G3041" s="8"/>
      <c r="H3041" s="8"/>
      <c r="I3041" s="8"/>
      <c r="J3041" s="8"/>
      <c r="K3041" s="8"/>
      <c r="L3041" s="145"/>
      <c r="M3041" s="84" t="s">
        <v>3</v>
      </c>
      <c r="N3041" s="85"/>
      <c r="O3041" s="40"/>
      <c r="P3041" s="40"/>
      <c r="Q3041" s="3"/>
    </row>
    <row r="3042" spans="1:19">
      <c r="A3042" s="3" t="s">
        <v>176</v>
      </c>
      <c r="B3042" s="3" t="s">
        <v>3</v>
      </c>
      <c r="C3042" s="85"/>
      <c r="D3042" s="85"/>
      <c r="E3042" s="85"/>
      <c r="F3042" s="85"/>
      <c r="G3042" s="85"/>
      <c r="H3042" s="85"/>
      <c r="I3042" s="85"/>
      <c r="J3042" s="85"/>
      <c r="K3042" s="85"/>
      <c r="L3042" s="85"/>
      <c r="M3042" s="40"/>
      <c r="N3042" s="40"/>
      <c r="O3042" s="40"/>
      <c r="P3042" s="40"/>
      <c r="Q3042" s="3"/>
    </row>
    <row r="3043" spans="1:19">
      <c r="A3043" s="3" t="s">
        <v>758</v>
      </c>
      <c r="B3043" s="3"/>
      <c r="C3043" s="85"/>
      <c r="D3043" s="85"/>
      <c r="E3043" s="85"/>
      <c r="F3043" s="85"/>
      <c r="G3043" s="85"/>
      <c r="H3043" s="85"/>
      <c r="I3043" s="85"/>
      <c r="J3043" s="85"/>
      <c r="K3043" s="85"/>
      <c r="L3043" s="85"/>
      <c r="M3043" s="40"/>
      <c r="N3043" s="40"/>
      <c r="O3043" s="40"/>
      <c r="P3043" s="40"/>
      <c r="Q3043" s="3"/>
    </row>
    <row r="3044" spans="1:19" ht="15">
      <c r="A3044" s="94" t="s">
        <v>876</v>
      </c>
      <c r="B3044" s="94" t="s">
        <v>877</v>
      </c>
      <c r="C3044" s="94" t="s">
        <v>878</v>
      </c>
      <c r="D3044" s="94" t="s">
        <v>879</v>
      </c>
      <c r="E3044" s="94" t="s">
        <v>880</v>
      </c>
      <c r="F3044" s="94" t="s">
        <v>881</v>
      </c>
      <c r="G3044" s="94" t="s">
        <v>882</v>
      </c>
      <c r="H3044" s="94" t="s">
        <v>883</v>
      </c>
      <c r="I3044" s="85"/>
      <c r="J3044" s="85"/>
      <c r="K3044" s="85"/>
      <c r="L3044" s="85"/>
      <c r="M3044" s="40"/>
      <c r="N3044" s="40"/>
      <c r="O3044" s="40"/>
      <c r="P3044" s="40"/>
      <c r="Q3044" s="3"/>
    </row>
    <row r="3045" spans="1:19">
      <c r="A3045" s="8">
        <f>HEX2DEC(10)</f>
        <v>16</v>
      </c>
      <c r="B3045" s="8">
        <f t="shared" ref="B3045:H3046" si="43">HEX2DEC(10)</f>
        <v>16</v>
      </c>
      <c r="C3045" s="8">
        <f t="shared" si="43"/>
        <v>16</v>
      </c>
      <c r="D3045" s="8">
        <f t="shared" si="43"/>
        <v>16</v>
      </c>
      <c r="E3045" s="8">
        <f t="shared" si="43"/>
        <v>16</v>
      </c>
      <c r="F3045" s="8">
        <f t="shared" si="43"/>
        <v>16</v>
      </c>
      <c r="G3045" s="8">
        <f t="shared" si="43"/>
        <v>16</v>
      </c>
      <c r="H3045" s="8">
        <f t="shared" si="43"/>
        <v>16</v>
      </c>
      <c r="I3045" s="87" t="s">
        <v>698</v>
      </c>
      <c r="J3045" s="90" t="s">
        <v>699</v>
      </c>
      <c r="K3045" s="90"/>
      <c r="M3045" s="85"/>
    </row>
    <row r="3046" spans="1:19">
      <c r="A3046" s="8">
        <f>HEX2DEC(10)</f>
        <v>16</v>
      </c>
      <c r="B3046" s="8">
        <f t="shared" si="43"/>
        <v>16</v>
      </c>
      <c r="C3046" s="8">
        <f t="shared" si="43"/>
        <v>16</v>
      </c>
      <c r="D3046" s="8">
        <f t="shared" si="43"/>
        <v>16</v>
      </c>
      <c r="E3046" s="8">
        <f t="shared" si="43"/>
        <v>16</v>
      </c>
      <c r="F3046" s="8">
        <f t="shared" si="43"/>
        <v>16</v>
      </c>
      <c r="G3046" s="8">
        <f t="shared" si="43"/>
        <v>16</v>
      </c>
      <c r="H3046" s="8">
        <f t="shared" si="43"/>
        <v>16</v>
      </c>
      <c r="I3046" s="84" t="s">
        <v>3</v>
      </c>
      <c r="J3046" s="90" t="s">
        <v>700</v>
      </c>
      <c r="K3046" s="90"/>
      <c r="M3046" s="85"/>
    </row>
    <row r="3047" spans="1:19">
      <c r="A3047" s="8">
        <f>HEX2DEC(70)</f>
        <v>112</v>
      </c>
      <c r="B3047" s="8">
        <f t="shared" ref="B3047:H3048" si="44">HEX2DEC(70)</f>
        <v>112</v>
      </c>
      <c r="C3047" s="8">
        <f t="shared" si="44"/>
        <v>112</v>
      </c>
      <c r="D3047" s="8">
        <f t="shared" si="44"/>
        <v>112</v>
      </c>
      <c r="E3047" s="8">
        <f t="shared" si="44"/>
        <v>112</v>
      </c>
      <c r="F3047" s="8">
        <f t="shared" si="44"/>
        <v>112</v>
      </c>
      <c r="G3047" s="8">
        <f t="shared" si="44"/>
        <v>112</v>
      </c>
      <c r="H3047" s="8">
        <f t="shared" si="44"/>
        <v>112</v>
      </c>
      <c r="I3047" s="84" t="s">
        <v>3</v>
      </c>
      <c r="J3047" s="90" t="s">
        <v>701</v>
      </c>
      <c r="K3047" s="90"/>
      <c r="M3047" s="85"/>
    </row>
    <row r="3048" spans="1:19">
      <c r="A3048" s="8">
        <f>HEX2DEC(70)</f>
        <v>112</v>
      </c>
      <c r="B3048" s="8">
        <f t="shared" si="44"/>
        <v>112</v>
      </c>
      <c r="C3048" s="8">
        <f t="shared" si="44"/>
        <v>112</v>
      </c>
      <c r="D3048" s="8">
        <f t="shared" si="44"/>
        <v>112</v>
      </c>
      <c r="E3048" s="8">
        <f t="shared" si="44"/>
        <v>112</v>
      </c>
      <c r="F3048" s="8">
        <f t="shared" si="44"/>
        <v>112</v>
      </c>
      <c r="G3048" s="8">
        <f t="shared" si="44"/>
        <v>112</v>
      </c>
      <c r="H3048" s="8">
        <f t="shared" si="44"/>
        <v>112</v>
      </c>
      <c r="I3048" s="84" t="s">
        <v>3</v>
      </c>
      <c r="J3048" s="90" t="s">
        <v>702</v>
      </c>
      <c r="K3048" s="90"/>
      <c r="M3048" s="85"/>
    </row>
    <row r="3049" spans="1:19">
      <c r="A3049" s="8"/>
      <c r="B3049" s="8"/>
      <c r="C3049" s="8"/>
      <c r="D3049" s="8"/>
      <c r="E3049" s="8"/>
      <c r="F3049" s="8"/>
      <c r="G3049" s="8"/>
      <c r="H3049" s="8"/>
      <c r="I3049" s="84" t="s">
        <v>3</v>
      </c>
      <c r="J3049" s="90"/>
      <c r="K3049" s="90"/>
      <c r="M3049" s="85"/>
    </row>
    <row r="3050" spans="1:19">
      <c r="A3050" s="8"/>
      <c r="B3050" s="8"/>
      <c r="C3050" s="8"/>
      <c r="D3050" s="8"/>
      <c r="E3050" s="8"/>
      <c r="F3050" s="8"/>
      <c r="G3050" s="8"/>
      <c r="H3050" s="8"/>
      <c r="I3050" s="84" t="s">
        <v>3</v>
      </c>
      <c r="J3050" s="90"/>
      <c r="K3050" s="90"/>
      <c r="M3050" s="85"/>
    </row>
    <row r="3051" spans="1:19" s="3" customFormat="1">
      <c r="A3051" s="8"/>
      <c r="B3051" s="8"/>
      <c r="C3051" s="8"/>
      <c r="D3051" s="8"/>
      <c r="E3051" s="8"/>
      <c r="F3051" s="8"/>
      <c r="G3051" s="8"/>
      <c r="H3051" s="8"/>
      <c r="I3051" s="84" t="s">
        <v>3</v>
      </c>
      <c r="J3051" s="90"/>
      <c r="K3051" s="90"/>
      <c r="L3051"/>
      <c r="M3051" s="85"/>
      <c r="N3051"/>
      <c r="O3051"/>
      <c r="P3051"/>
      <c r="Q3051"/>
      <c r="R3051"/>
      <c r="S3051"/>
    </row>
    <row r="3052" spans="1:19" s="3" customFormat="1">
      <c r="A3052" s="8">
        <f>HEX2DEC(10)</f>
        <v>16</v>
      </c>
      <c r="B3052" s="8">
        <f t="shared" ref="B3052:H3052" si="45">HEX2DEC(10)</f>
        <v>16</v>
      </c>
      <c r="C3052" s="8">
        <f t="shared" si="45"/>
        <v>16</v>
      </c>
      <c r="D3052" s="8">
        <f t="shared" si="45"/>
        <v>16</v>
      </c>
      <c r="E3052" s="8">
        <f t="shared" si="45"/>
        <v>16</v>
      </c>
      <c r="F3052" s="8">
        <f t="shared" si="45"/>
        <v>16</v>
      </c>
      <c r="G3052" s="8">
        <f t="shared" si="45"/>
        <v>16</v>
      </c>
      <c r="H3052" s="8">
        <f t="shared" si="45"/>
        <v>16</v>
      </c>
      <c r="I3052" s="87" t="s">
        <v>703</v>
      </c>
      <c r="J3052" s="90" t="s">
        <v>704</v>
      </c>
      <c r="K3052" s="90"/>
      <c r="L3052"/>
      <c r="M3052" s="85"/>
      <c r="N3052"/>
      <c r="O3052"/>
      <c r="P3052"/>
      <c r="Q3052"/>
      <c r="R3052"/>
      <c r="S3052"/>
    </row>
    <row r="3053" spans="1:19" s="3" customFormat="1">
      <c r="A3053" s="8">
        <f>HEX2DEC(31)</f>
        <v>49</v>
      </c>
      <c r="B3053" s="8">
        <f t="shared" ref="B3053:H3053" si="46">HEX2DEC(31)</f>
        <v>49</v>
      </c>
      <c r="C3053" s="8">
        <f t="shared" si="46"/>
        <v>49</v>
      </c>
      <c r="D3053" s="8">
        <f t="shared" si="46"/>
        <v>49</v>
      </c>
      <c r="E3053" s="8">
        <f t="shared" si="46"/>
        <v>49</v>
      </c>
      <c r="F3053" s="8">
        <f t="shared" si="46"/>
        <v>49</v>
      </c>
      <c r="G3053" s="8">
        <f t="shared" si="46"/>
        <v>49</v>
      </c>
      <c r="H3053" s="8">
        <f t="shared" si="46"/>
        <v>49</v>
      </c>
      <c r="I3053" s="84" t="s">
        <v>3</v>
      </c>
      <c r="J3053" s="90" t="s">
        <v>706</v>
      </c>
      <c r="K3053" s="90"/>
      <c r="L3053"/>
      <c r="M3053" s="85"/>
      <c r="N3053"/>
      <c r="O3053"/>
      <c r="P3053"/>
      <c r="Q3053"/>
      <c r="R3053"/>
      <c r="S3053"/>
    </row>
    <row r="3054" spans="1:19" s="3" customFormat="1">
      <c r="A3054" s="8">
        <f>HEX2DEC(20)</f>
        <v>32</v>
      </c>
      <c r="B3054" s="8">
        <f t="shared" ref="B3054:H3054" si="47">HEX2DEC(20)</f>
        <v>32</v>
      </c>
      <c r="C3054" s="8">
        <f t="shared" si="47"/>
        <v>32</v>
      </c>
      <c r="D3054" s="8">
        <f t="shared" si="47"/>
        <v>32</v>
      </c>
      <c r="E3054" s="8">
        <f t="shared" si="47"/>
        <v>32</v>
      </c>
      <c r="F3054" s="8">
        <f t="shared" si="47"/>
        <v>32</v>
      </c>
      <c r="G3054" s="8">
        <f t="shared" si="47"/>
        <v>32</v>
      </c>
      <c r="H3054" s="8">
        <f t="shared" si="47"/>
        <v>32</v>
      </c>
      <c r="I3054" s="84" t="s">
        <v>3</v>
      </c>
      <c r="J3054" s="90" t="s">
        <v>707</v>
      </c>
      <c r="K3054" s="90"/>
      <c r="L3054"/>
      <c r="M3054" s="85"/>
      <c r="N3054"/>
      <c r="O3054"/>
      <c r="P3054"/>
      <c r="Q3054"/>
      <c r="R3054"/>
      <c r="S3054"/>
    </row>
    <row r="3055" spans="1:19" s="3" customFormat="1">
      <c r="A3055" s="8">
        <f>HEX2DEC(52)</f>
        <v>82</v>
      </c>
      <c r="B3055" s="8">
        <f t="shared" ref="B3055:H3055" si="48">HEX2DEC(52)</f>
        <v>82</v>
      </c>
      <c r="C3055" s="8">
        <f t="shared" si="48"/>
        <v>82</v>
      </c>
      <c r="D3055" s="8">
        <f t="shared" si="48"/>
        <v>82</v>
      </c>
      <c r="E3055" s="8">
        <f t="shared" si="48"/>
        <v>82</v>
      </c>
      <c r="F3055" s="8">
        <f t="shared" si="48"/>
        <v>82</v>
      </c>
      <c r="G3055" s="8">
        <f t="shared" si="48"/>
        <v>82</v>
      </c>
      <c r="H3055" s="8">
        <f t="shared" si="48"/>
        <v>82</v>
      </c>
      <c r="I3055" s="84" t="s">
        <v>3</v>
      </c>
      <c r="J3055" s="90" t="s">
        <v>709</v>
      </c>
      <c r="K3055" s="90"/>
      <c r="L3055"/>
      <c r="M3055" s="85"/>
      <c r="N3055"/>
      <c r="O3055"/>
      <c r="P3055"/>
      <c r="Q3055"/>
      <c r="R3055"/>
      <c r="S3055"/>
    </row>
    <row r="3056" spans="1:19" s="3" customFormat="1">
      <c r="A3056" s="8">
        <f>HEX2DEC(40)</f>
        <v>64</v>
      </c>
      <c r="B3056" s="8">
        <f t="shared" ref="B3056:H3056" si="49">HEX2DEC(40)</f>
        <v>64</v>
      </c>
      <c r="C3056" s="8">
        <f t="shared" si="49"/>
        <v>64</v>
      </c>
      <c r="D3056" s="8">
        <f t="shared" si="49"/>
        <v>64</v>
      </c>
      <c r="E3056" s="8">
        <f t="shared" si="49"/>
        <v>64</v>
      </c>
      <c r="F3056" s="8">
        <f t="shared" si="49"/>
        <v>64</v>
      </c>
      <c r="G3056" s="8">
        <f t="shared" si="49"/>
        <v>64</v>
      </c>
      <c r="H3056" s="8">
        <f t="shared" si="49"/>
        <v>64</v>
      </c>
      <c r="I3056" s="84" t="s">
        <v>3</v>
      </c>
      <c r="J3056" s="90" t="s">
        <v>710</v>
      </c>
      <c r="K3056" s="90"/>
      <c r="L3056"/>
      <c r="M3056" s="85"/>
      <c r="N3056"/>
      <c r="O3056"/>
      <c r="P3056"/>
      <c r="Q3056"/>
      <c r="R3056"/>
      <c r="S3056"/>
    </row>
    <row r="3057" spans="1:19" s="3" customFormat="1">
      <c r="A3057" s="8"/>
      <c r="B3057" s="8"/>
      <c r="C3057" s="8"/>
      <c r="D3057" s="8"/>
      <c r="E3057" s="8"/>
      <c r="F3057" s="8"/>
      <c r="G3057" s="8"/>
      <c r="H3057" s="8"/>
      <c r="I3057" s="84" t="s">
        <v>3</v>
      </c>
      <c r="J3057" s="90"/>
      <c r="K3057" s="90"/>
      <c r="L3057"/>
      <c r="M3057" s="85"/>
      <c r="N3057"/>
      <c r="O3057"/>
      <c r="P3057"/>
      <c r="Q3057"/>
      <c r="R3057"/>
      <c r="S3057"/>
    </row>
    <row r="3058" spans="1:19" s="3" customFormat="1">
      <c r="A3058" s="8"/>
      <c r="B3058" s="8"/>
      <c r="C3058" s="8"/>
      <c r="D3058" s="8"/>
      <c r="E3058" s="8"/>
      <c r="F3058" s="8"/>
      <c r="G3058" s="8"/>
      <c r="H3058" s="8"/>
      <c r="I3058" s="84" t="s">
        <v>3</v>
      </c>
      <c r="J3058" s="90"/>
      <c r="K3058" s="90"/>
      <c r="L3058"/>
      <c r="M3058" s="85"/>
      <c r="N3058"/>
      <c r="O3058"/>
      <c r="P3058"/>
      <c r="Q3058"/>
      <c r="R3058"/>
      <c r="S3058"/>
    </row>
    <row r="3059" spans="1:19" s="3" customFormat="1">
      <c r="A3059" s="8">
        <f>HEX2DEC(60)</f>
        <v>96</v>
      </c>
      <c r="B3059" s="8">
        <f t="shared" ref="B3059:H3059" si="50">HEX2DEC(60)</f>
        <v>96</v>
      </c>
      <c r="C3059" s="8">
        <f t="shared" si="50"/>
        <v>96</v>
      </c>
      <c r="D3059" s="8">
        <f t="shared" si="50"/>
        <v>96</v>
      </c>
      <c r="E3059" s="8">
        <f t="shared" si="50"/>
        <v>96</v>
      </c>
      <c r="F3059" s="8">
        <f t="shared" si="50"/>
        <v>96</v>
      </c>
      <c r="G3059" s="8">
        <f t="shared" si="50"/>
        <v>96</v>
      </c>
      <c r="H3059" s="8">
        <f t="shared" si="50"/>
        <v>96</v>
      </c>
      <c r="I3059" s="87" t="s">
        <v>711</v>
      </c>
      <c r="J3059" s="90" t="s">
        <v>712</v>
      </c>
      <c r="K3059" s="90"/>
      <c r="L3059"/>
      <c r="M3059" s="85"/>
      <c r="N3059"/>
      <c r="O3059"/>
      <c r="P3059"/>
      <c r="Q3059"/>
      <c r="R3059"/>
      <c r="S3059"/>
    </row>
    <row r="3060" spans="1:19" s="3" customFormat="1">
      <c r="A3060" s="8">
        <f>HEX2DEC(30)</f>
        <v>48</v>
      </c>
      <c r="B3060" s="8">
        <f t="shared" ref="B3060:H3060" si="51">HEX2DEC(30)</f>
        <v>48</v>
      </c>
      <c r="C3060" s="8">
        <f t="shared" si="51"/>
        <v>48</v>
      </c>
      <c r="D3060" s="8">
        <f t="shared" si="51"/>
        <v>48</v>
      </c>
      <c r="E3060" s="8">
        <f t="shared" si="51"/>
        <v>48</v>
      </c>
      <c r="F3060" s="8">
        <f t="shared" si="51"/>
        <v>48</v>
      </c>
      <c r="G3060" s="8">
        <f t="shared" si="51"/>
        <v>48</v>
      </c>
      <c r="H3060" s="8">
        <f t="shared" si="51"/>
        <v>48</v>
      </c>
      <c r="I3060" s="84" t="s">
        <v>3</v>
      </c>
      <c r="J3060" s="90" t="s">
        <v>713</v>
      </c>
      <c r="K3060" s="90"/>
      <c r="L3060"/>
      <c r="M3060" s="85"/>
      <c r="N3060"/>
      <c r="O3060"/>
      <c r="P3060"/>
      <c r="Q3060"/>
      <c r="R3060"/>
      <c r="S3060"/>
    </row>
    <row r="3061" spans="1:19" s="3" customFormat="1">
      <c r="A3061" s="8">
        <f t="shared" ref="A3061:H3062" si="52">HEX2DEC(30)</f>
        <v>48</v>
      </c>
      <c r="B3061" s="8">
        <f t="shared" si="52"/>
        <v>48</v>
      </c>
      <c r="C3061" s="8">
        <f t="shared" si="52"/>
        <v>48</v>
      </c>
      <c r="D3061" s="8">
        <f t="shared" si="52"/>
        <v>48</v>
      </c>
      <c r="E3061" s="8">
        <f t="shared" si="52"/>
        <v>48</v>
      </c>
      <c r="F3061" s="8">
        <f t="shared" si="52"/>
        <v>48</v>
      </c>
      <c r="G3061" s="8">
        <f t="shared" si="52"/>
        <v>48</v>
      </c>
      <c r="H3061" s="8">
        <f t="shared" si="52"/>
        <v>48</v>
      </c>
      <c r="I3061" s="84" t="s">
        <v>3</v>
      </c>
      <c r="J3061" s="90" t="s">
        <v>714</v>
      </c>
      <c r="K3061" s="90"/>
      <c r="L3061"/>
      <c r="M3061" s="85"/>
      <c r="N3061"/>
      <c r="O3061"/>
      <c r="P3061"/>
      <c r="Q3061"/>
      <c r="R3061"/>
      <c r="S3061"/>
    </row>
    <row r="3062" spans="1:19" s="3" customFormat="1">
      <c r="A3062" s="8">
        <f t="shared" si="52"/>
        <v>48</v>
      </c>
      <c r="B3062" s="8">
        <f t="shared" si="52"/>
        <v>48</v>
      </c>
      <c r="C3062" s="8">
        <f t="shared" si="52"/>
        <v>48</v>
      </c>
      <c r="D3062" s="8">
        <f t="shared" si="52"/>
        <v>48</v>
      </c>
      <c r="E3062" s="8">
        <f t="shared" si="52"/>
        <v>48</v>
      </c>
      <c r="F3062" s="8">
        <f t="shared" si="52"/>
        <v>48</v>
      </c>
      <c r="G3062" s="8">
        <f t="shared" si="52"/>
        <v>48</v>
      </c>
      <c r="H3062" s="8">
        <f t="shared" si="52"/>
        <v>48</v>
      </c>
      <c r="I3062" s="84" t="s">
        <v>3</v>
      </c>
      <c r="J3062" s="90" t="s">
        <v>715</v>
      </c>
      <c r="K3062" s="90"/>
      <c r="L3062"/>
      <c r="M3062" s="85"/>
      <c r="N3062"/>
      <c r="O3062"/>
      <c r="P3062"/>
      <c r="Q3062"/>
      <c r="R3062"/>
      <c r="S3062"/>
    </row>
    <row r="3063" spans="1:19" s="3" customFormat="1">
      <c r="A3063" s="8">
        <f>HEX2DEC(10)</f>
        <v>16</v>
      </c>
      <c r="B3063" s="8">
        <f t="shared" ref="B3063:H3063" si="53">HEX2DEC(10)</f>
        <v>16</v>
      </c>
      <c r="C3063" s="8">
        <f t="shared" si="53"/>
        <v>16</v>
      </c>
      <c r="D3063" s="8">
        <f t="shared" si="53"/>
        <v>16</v>
      </c>
      <c r="E3063" s="8">
        <f t="shared" si="53"/>
        <v>16</v>
      </c>
      <c r="F3063" s="8">
        <f t="shared" si="53"/>
        <v>16</v>
      </c>
      <c r="G3063" s="8">
        <f t="shared" si="53"/>
        <v>16</v>
      </c>
      <c r="H3063" s="8">
        <f t="shared" si="53"/>
        <v>16</v>
      </c>
      <c r="I3063" s="84" t="s">
        <v>3</v>
      </c>
      <c r="J3063" s="90" t="s">
        <v>716</v>
      </c>
      <c r="K3063" s="90"/>
      <c r="L3063"/>
      <c r="M3063" s="85"/>
      <c r="N3063"/>
      <c r="O3063"/>
      <c r="P3063"/>
      <c r="Q3063"/>
      <c r="R3063"/>
      <c r="S3063"/>
    </row>
    <row r="3064" spans="1:19" s="3" customFormat="1">
      <c r="A3064" s="8"/>
      <c r="B3064" s="8"/>
      <c r="C3064" s="8"/>
      <c r="D3064" s="8"/>
      <c r="E3064" s="8"/>
      <c r="F3064" s="8"/>
      <c r="G3064" s="8"/>
      <c r="H3064" s="8"/>
      <c r="I3064" s="84" t="s">
        <v>3</v>
      </c>
      <c r="J3064" s="90"/>
      <c r="K3064" s="90"/>
      <c r="L3064"/>
      <c r="M3064" s="85"/>
      <c r="N3064"/>
      <c r="O3064"/>
      <c r="P3064"/>
      <c r="Q3064"/>
      <c r="R3064"/>
      <c r="S3064"/>
    </row>
    <row r="3065" spans="1:19" s="3" customFormat="1">
      <c r="A3065" s="8"/>
      <c r="B3065" s="8"/>
      <c r="C3065" s="8"/>
      <c r="D3065" s="8"/>
      <c r="E3065" s="8"/>
      <c r="F3065" s="8"/>
      <c r="G3065" s="8"/>
      <c r="H3065" s="8"/>
      <c r="I3065" s="84" t="s">
        <v>3</v>
      </c>
      <c r="J3065" s="90"/>
      <c r="K3065" s="90"/>
      <c r="L3065"/>
      <c r="M3065" s="85"/>
      <c r="N3065"/>
      <c r="O3065"/>
      <c r="P3065"/>
      <c r="Q3065"/>
      <c r="R3065"/>
      <c r="S3065"/>
    </row>
    <row r="3066" spans="1:19" s="3" customFormat="1">
      <c r="A3066" s="8">
        <f>HEX2DEC(70)</f>
        <v>112</v>
      </c>
      <c r="B3066" s="8">
        <f t="shared" ref="B3066:H3066" si="54">HEX2DEC(70)</f>
        <v>112</v>
      </c>
      <c r="C3066" s="8">
        <f t="shared" si="54"/>
        <v>112</v>
      </c>
      <c r="D3066" s="8">
        <f t="shared" si="54"/>
        <v>112</v>
      </c>
      <c r="E3066" s="8">
        <f t="shared" si="54"/>
        <v>112</v>
      </c>
      <c r="F3066" s="8">
        <f t="shared" si="54"/>
        <v>112</v>
      </c>
      <c r="G3066" s="8">
        <f t="shared" si="54"/>
        <v>112</v>
      </c>
      <c r="H3066" s="8">
        <f t="shared" si="54"/>
        <v>112</v>
      </c>
      <c r="I3066" s="87" t="s">
        <v>717</v>
      </c>
      <c r="J3066" s="90" t="s">
        <v>718</v>
      </c>
      <c r="K3066" s="90"/>
      <c r="L3066"/>
      <c r="M3066" s="85"/>
      <c r="N3066"/>
      <c r="O3066"/>
      <c r="P3066"/>
      <c r="Q3066"/>
      <c r="R3066"/>
      <c r="S3066"/>
    </row>
    <row r="3067" spans="1:19" s="3" customFormat="1">
      <c r="A3067" s="8">
        <f>HEX2DEC(10)</f>
        <v>16</v>
      </c>
      <c r="B3067" s="8">
        <f t="shared" ref="B3067:H3067" si="55">HEX2DEC(10)</f>
        <v>16</v>
      </c>
      <c r="C3067" s="8">
        <f t="shared" si="55"/>
        <v>16</v>
      </c>
      <c r="D3067" s="8">
        <f t="shared" si="55"/>
        <v>16</v>
      </c>
      <c r="E3067" s="8">
        <f t="shared" si="55"/>
        <v>16</v>
      </c>
      <c r="F3067" s="8">
        <f t="shared" si="55"/>
        <v>16</v>
      </c>
      <c r="G3067" s="8">
        <f t="shared" si="55"/>
        <v>16</v>
      </c>
      <c r="H3067" s="8">
        <f t="shared" si="55"/>
        <v>16</v>
      </c>
      <c r="I3067" s="84" t="s">
        <v>3</v>
      </c>
      <c r="J3067" s="90" t="s">
        <v>719</v>
      </c>
      <c r="K3067" s="90"/>
      <c r="L3067"/>
      <c r="M3067" s="85"/>
      <c r="N3067"/>
      <c r="O3067"/>
      <c r="P3067"/>
      <c r="Q3067"/>
      <c r="R3067"/>
      <c r="S3067"/>
    </row>
    <row r="3068" spans="1:19" s="3" customFormat="1">
      <c r="A3068" s="8">
        <f t="shared" ref="A3068:H3069" si="56">HEX2DEC(10)</f>
        <v>16</v>
      </c>
      <c r="B3068" s="8">
        <f t="shared" si="56"/>
        <v>16</v>
      </c>
      <c r="C3068" s="8">
        <f t="shared" si="56"/>
        <v>16</v>
      </c>
      <c r="D3068" s="8">
        <f t="shared" si="56"/>
        <v>16</v>
      </c>
      <c r="E3068" s="8">
        <f t="shared" si="56"/>
        <v>16</v>
      </c>
      <c r="F3068" s="8">
        <f t="shared" si="56"/>
        <v>16</v>
      </c>
      <c r="G3068" s="8">
        <f t="shared" si="56"/>
        <v>16</v>
      </c>
      <c r="H3068" s="8">
        <f t="shared" si="56"/>
        <v>16</v>
      </c>
      <c r="I3068" s="84" t="s">
        <v>3</v>
      </c>
      <c r="J3068" s="90" t="s">
        <v>720</v>
      </c>
      <c r="K3068" s="90"/>
      <c r="L3068"/>
      <c r="M3068" s="85"/>
      <c r="N3068"/>
      <c r="O3068"/>
      <c r="P3068"/>
      <c r="Q3068"/>
      <c r="R3068"/>
      <c r="S3068"/>
    </row>
    <row r="3069" spans="1:19" s="3" customFormat="1">
      <c r="A3069" s="8">
        <f t="shared" si="56"/>
        <v>16</v>
      </c>
      <c r="B3069" s="8">
        <f t="shared" si="56"/>
        <v>16</v>
      </c>
      <c r="C3069" s="8">
        <f t="shared" si="56"/>
        <v>16</v>
      </c>
      <c r="D3069" s="8">
        <f t="shared" si="56"/>
        <v>16</v>
      </c>
      <c r="E3069" s="8">
        <f t="shared" si="56"/>
        <v>16</v>
      </c>
      <c r="F3069" s="8">
        <f t="shared" si="56"/>
        <v>16</v>
      </c>
      <c r="G3069" s="8">
        <f t="shared" si="56"/>
        <v>16</v>
      </c>
      <c r="H3069" s="8">
        <f t="shared" si="56"/>
        <v>16</v>
      </c>
      <c r="I3069" s="84" t="s">
        <v>3</v>
      </c>
      <c r="J3069" s="90" t="s">
        <v>721</v>
      </c>
      <c r="K3069" s="90"/>
      <c r="L3069"/>
      <c r="M3069" s="85"/>
      <c r="N3069"/>
      <c r="O3069"/>
      <c r="P3069"/>
      <c r="Q3069"/>
      <c r="R3069"/>
      <c r="S3069"/>
    </row>
    <row r="3070" spans="1:19" s="3" customFormat="1">
      <c r="A3070" s="8">
        <f>HEX2DEC(12)</f>
        <v>18</v>
      </c>
      <c r="B3070" s="8">
        <f t="shared" ref="B3070:H3070" si="57">HEX2DEC(12)</f>
        <v>18</v>
      </c>
      <c r="C3070" s="8">
        <f t="shared" si="57"/>
        <v>18</v>
      </c>
      <c r="D3070" s="8">
        <f t="shared" si="57"/>
        <v>18</v>
      </c>
      <c r="E3070" s="8">
        <f t="shared" si="57"/>
        <v>18</v>
      </c>
      <c r="F3070" s="8">
        <f t="shared" si="57"/>
        <v>18</v>
      </c>
      <c r="G3070" s="8">
        <f t="shared" si="57"/>
        <v>18</v>
      </c>
      <c r="H3070" s="8">
        <f t="shared" si="57"/>
        <v>18</v>
      </c>
      <c r="I3070" s="84" t="s">
        <v>3</v>
      </c>
      <c r="J3070" s="90" t="s">
        <v>722</v>
      </c>
      <c r="K3070" s="90"/>
      <c r="L3070"/>
      <c r="M3070" s="85"/>
      <c r="N3070"/>
      <c r="O3070"/>
      <c r="P3070"/>
      <c r="Q3070"/>
      <c r="R3070"/>
      <c r="S3070"/>
    </row>
    <row r="3071" spans="1:19" s="3" customFormat="1">
      <c r="A3071" s="8"/>
      <c r="B3071" s="8"/>
      <c r="C3071" s="8"/>
      <c r="D3071" s="8"/>
      <c r="E3071" s="8"/>
      <c r="F3071" s="8"/>
      <c r="G3071" s="8"/>
      <c r="H3071" s="8"/>
      <c r="I3071" s="84" t="s">
        <v>3</v>
      </c>
      <c r="J3071" s="90"/>
      <c r="K3071" s="90"/>
      <c r="L3071"/>
      <c r="M3071" s="85"/>
      <c r="N3071"/>
      <c r="O3071"/>
      <c r="P3071"/>
      <c r="Q3071"/>
      <c r="R3071"/>
      <c r="S3071"/>
    </row>
    <row r="3072" spans="1:19" s="3" customFormat="1">
      <c r="A3072" s="8"/>
      <c r="B3072" s="8"/>
      <c r="C3072" s="8"/>
      <c r="D3072" s="8"/>
      <c r="E3072" s="8"/>
      <c r="F3072" s="8"/>
      <c r="G3072" s="8"/>
      <c r="H3072" s="8"/>
      <c r="I3072" s="84" t="s">
        <v>3</v>
      </c>
      <c r="J3072" s="90"/>
      <c r="K3072" s="90"/>
      <c r="L3072"/>
      <c r="M3072" s="85"/>
      <c r="N3072"/>
      <c r="O3072"/>
      <c r="P3072"/>
      <c r="Q3072"/>
      <c r="R3072"/>
      <c r="S3072"/>
    </row>
    <row r="3073" spans="1:23" s="3" customFormat="1">
      <c r="A3073" s="8">
        <f>HEX2DEC(10)</f>
        <v>16</v>
      </c>
      <c r="B3073" s="8">
        <f t="shared" ref="B3073:H3073" si="58">HEX2DEC(10)</f>
        <v>16</v>
      </c>
      <c r="C3073" s="8">
        <f t="shared" si="58"/>
        <v>16</v>
      </c>
      <c r="D3073" s="8">
        <f t="shared" si="58"/>
        <v>16</v>
      </c>
      <c r="E3073" s="8">
        <f t="shared" si="58"/>
        <v>16</v>
      </c>
      <c r="F3073" s="8">
        <f t="shared" si="58"/>
        <v>16</v>
      </c>
      <c r="G3073" s="8">
        <f t="shared" si="58"/>
        <v>16</v>
      </c>
      <c r="H3073" s="8">
        <f t="shared" si="58"/>
        <v>16</v>
      </c>
      <c r="I3073" s="87" t="s">
        <v>723</v>
      </c>
      <c r="J3073" s="90" t="s">
        <v>724</v>
      </c>
      <c r="K3073" s="90"/>
      <c r="L3073"/>
      <c r="M3073" s="85"/>
      <c r="N3073"/>
      <c r="O3073"/>
      <c r="P3073"/>
      <c r="Q3073"/>
      <c r="R3073"/>
      <c r="S3073"/>
    </row>
    <row r="3074" spans="1:23" s="3" customFormat="1">
      <c r="A3074" s="8">
        <f>HEX2DEC(31)</f>
        <v>49</v>
      </c>
      <c r="B3074" s="8">
        <f t="shared" ref="B3074:H3074" si="59">HEX2DEC(31)</f>
        <v>49</v>
      </c>
      <c r="C3074" s="8">
        <f t="shared" si="59"/>
        <v>49</v>
      </c>
      <c r="D3074" s="8">
        <f t="shared" si="59"/>
        <v>49</v>
      </c>
      <c r="E3074" s="8">
        <f t="shared" si="59"/>
        <v>49</v>
      </c>
      <c r="F3074" s="8">
        <f t="shared" si="59"/>
        <v>49</v>
      </c>
      <c r="G3074" s="8">
        <f t="shared" si="59"/>
        <v>49</v>
      </c>
      <c r="H3074" s="8">
        <f t="shared" si="59"/>
        <v>49</v>
      </c>
      <c r="I3074" s="84" t="s">
        <v>3</v>
      </c>
      <c r="J3074" s="90" t="s">
        <v>725</v>
      </c>
      <c r="K3074" s="90"/>
      <c r="L3074"/>
      <c r="M3074" s="85"/>
      <c r="N3074"/>
      <c r="O3074"/>
      <c r="P3074"/>
      <c r="Q3074"/>
      <c r="R3074"/>
      <c r="S3074"/>
    </row>
    <row r="3075" spans="1:23" s="3" customFormat="1">
      <c r="A3075" s="8">
        <f>HEX2DEC(40)</f>
        <v>64</v>
      </c>
      <c r="B3075" s="8">
        <f t="shared" ref="B3075:H3075" si="60">HEX2DEC(40)</f>
        <v>64</v>
      </c>
      <c r="C3075" s="8">
        <f t="shared" si="60"/>
        <v>64</v>
      </c>
      <c r="D3075" s="8">
        <f t="shared" si="60"/>
        <v>64</v>
      </c>
      <c r="E3075" s="8">
        <f t="shared" si="60"/>
        <v>64</v>
      </c>
      <c r="F3075" s="8">
        <f t="shared" si="60"/>
        <v>64</v>
      </c>
      <c r="G3075" s="8">
        <f t="shared" si="60"/>
        <v>64</v>
      </c>
      <c r="H3075" s="8">
        <f t="shared" si="60"/>
        <v>64</v>
      </c>
      <c r="I3075" s="84" t="s">
        <v>3</v>
      </c>
      <c r="J3075" s="90" t="s">
        <v>726</v>
      </c>
      <c r="K3075" s="90"/>
      <c r="L3075"/>
      <c r="M3075" s="85"/>
      <c r="N3075"/>
      <c r="O3075"/>
      <c r="P3075"/>
      <c r="Q3075"/>
      <c r="R3075"/>
      <c r="S3075"/>
    </row>
    <row r="3076" spans="1:23" s="3" customFormat="1">
      <c r="A3076" s="8">
        <f>HEX2DEC(31)</f>
        <v>49</v>
      </c>
      <c r="B3076" s="8">
        <f t="shared" ref="B3076:H3076" si="61">HEX2DEC(31)</f>
        <v>49</v>
      </c>
      <c r="C3076" s="8">
        <f t="shared" si="61"/>
        <v>49</v>
      </c>
      <c r="D3076" s="8">
        <f t="shared" si="61"/>
        <v>49</v>
      </c>
      <c r="E3076" s="8">
        <f t="shared" si="61"/>
        <v>49</v>
      </c>
      <c r="F3076" s="8">
        <f t="shared" si="61"/>
        <v>49</v>
      </c>
      <c r="G3076" s="8">
        <f t="shared" si="61"/>
        <v>49</v>
      </c>
      <c r="H3076" s="8">
        <f t="shared" si="61"/>
        <v>49</v>
      </c>
      <c r="I3076" s="84" t="s">
        <v>3</v>
      </c>
      <c r="J3076" s="90" t="s">
        <v>727</v>
      </c>
      <c r="K3076" s="90"/>
      <c r="L3076"/>
      <c r="M3076" s="85"/>
      <c r="N3076"/>
      <c r="O3076"/>
      <c r="P3076"/>
      <c r="Q3076"/>
      <c r="R3076"/>
      <c r="S3076"/>
    </row>
    <row r="3077" spans="1:23">
      <c r="A3077" s="8">
        <f>HEX2DEC(40)</f>
        <v>64</v>
      </c>
      <c r="B3077" s="8">
        <f t="shared" ref="B3077:H3077" si="62">HEX2DEC(40)</f>
        <v>64</v>
      </c>
      <c r="C3077" s="8">
        <f t="shared" si="62"/>
        <v>64</v>
      </c>
      <c r="D3077" s="8">
        <f t="shared" si="62"/>
        <v>64</v>
      </c>
      <c r="E3077" s="8">
        <f t="shared" si="62"/>
        <v>64</v>
      </c>
      <c r="F3077" s="8">
        <f t="shared" si="62"/>
        <v>64</v>
      </c>
      <c r="G3077" s="8">
        <f t="shared" si="62"/>
        <v>64</v>
      </c>
      <c r="H3077" s="8">
        <f t="shared" si="62"/>
        <v>64</v>
      </c>
      <c r="I3077" s="84" t="s">
        <v>3</v>
      </c>
      <c r="J3077" s="90" t="s">
        <v>728</v>
      </c>
      <c r="K3077" s="90"/>
      <c r="M3077" s="85"/>
    </row>
    <row r="3078" spans="1:23" s="3" customFormat="1">
      <c r="A3078" s="8"/>
      <c r="B3078" s="8"/>
      <c r="C3078" s="8"/>
      <c r="D3078" s="8"/>
      <c r="E3078" s="8"/>
      <c r="F3078" s="8"/>
      <c r="G3078" s="8"/>
      <c r="H3078" s="8"/>
      <c r="I3078" s="84" t="s">
        <v>3</v>
      </c>
      <c r="J3078" s="90"/>
      <c r="K3078" s="90"/>
      <c r="L3078"/>
      <c r="M3078" s="85"/>
      <c r="N3078"/>
      <c r="O3078"/>
      <c r="P3078"/>
      <c r="Q3078"/>
      <c r="R3078"/>
      <c r="S3078"/>
      <c r="W3078" s="3" t="s">
        <v>1296</v>
      </c>
    </row>
    <row r="3079" spans="1:23" s="3" customFormat="1">
      <c r="A3079" s="8"/>
      <c r="B3079" s="8"/>
      <c r="C3079" s="8"/>
      <c r="D3079" s="8"/>
      <c r="E3079" s="8"/>
      <c r="F3079" s="8"/>
      <c r="G3079" s="8"/>
      <c r="H3079" s="8"/>
      <c r="I3079" s="84" t="s">
        <v>3</v>
      </c>
      <c r="J3079" s="90"/>
      <c r="K3079" s="90"/>
      <c r="L3079"/>
      <c r="M3079" s="85"/>
      <c r="N3079"/>
      <c r="O3079"/>
      <c r="P3079"/>
      <c r="Q3079"/>
      <c r="R3079"/>
      <c r="S3079"/>
      <c r="W3079" s="3" t="s">
        <v>1297</v>
      </c>
    </row>
    <row r="3080" spans="1:23" s="3" customFormat="1">
      <c r="A3080" s="8">
        <f>HEX2DEC(20)</f>
        <v>32</v>
      </c>
      <c r="B3080" s="8">
        <f t="shared" ref="B3080:H3080" si="63">HEX2DEC(20)</f>
        <v>32</v>
      </c>
      <c r="C3080" s="8">
        <f t="shared" si="63"/>
        <v>32</v>
      </c>
      <c r="D3080" s="8">
        <f t="shared" si="63"/>
        <v>32</v>
      </c>
      <c r="E3080" s="8">
        <f t="shared" si="63"/>
        <v>32</v>
      </c>
      <c r="F3080" s="8">
        <f t="shared" si="63"/>
        <v>32</v>
      </c>
      <c r="G3080" s="8">
        <f t="shared" si="63"/>
        <v>32</v>
      </c>
      <c r="H3080" s="8">
        <f t="shared" si="63"/>
        <v>32</v>
      </c>
      <c r="I3080" s="87" t="s">
        <v>729</v>
      </c>
      <c r="J3080" s="90" t="s">
        <v>730</v>
      </c>
      <c r="K3080" s="90"/>
      <c r="L3080"/>
      <c r="M3080" s="85"/>
      <c r="N3080"/>
      <c r="O3080"/>
      <c r="P3080"/>
      <c r="Q3080"/>
      <c r="R3080"/>
      <c r="S3080"/>
      <c r="W3080" s="3" t="s">
        <v>1331</v>
      </c>
    </row>
    <row r="3081" spans="1:23" s="3" customFormat="1">
      <c r="A3081" s="8">
        <f t="shared" ref="A3081:H3081" si="64">HEX2DEC(20)</f>
        <v>32</v>
      </c>
      <c r="B3081" s="8">
        <f t="shared" si="64"/>
        <v>32</v>
      </c>
      <c r="C3081" s="8">
        <f t="shared" si="64"/>
        <v>32</v>
      </c>
      <c r="D3081" s="8">
        <f t="shared" si="64"/>
        <v>32</v>
      </c>
      <c r="E3081" s="8">
        <f t="shared" si="64"/>
        <v>32</v>
      </c>
      <c r="F3081" s="8">
        <f t="shared" si="64"/>
        <v>32</v>
      </c>
      <c r="G3081" s="8">
        <f t="shared" si="64"/>
        <v>32</v>
      </c>
      <c r="H3081" s="8">
        <f t="shared" si="64"/>
        <v>32</v>
      </c>
      <c r="I3081" s="84" t="s">
        <v>3</v>
      </c>
      <c r="J3081" s="90" t="s">
        <v>731</v>
      </c>
      <c r="K3081" s="90"/>
      <c r="L3081"/>
      <c r="M3081" s="85"/>
      <c r="N3081"/>
      <c r="O3081"/>
      <c r="P3081"/>
      <c r="Q3081"/>
      <c r="R3081"/>
      <c r="S3081"/>
      <c r="W3081" s="3" t="s">
        <v>1298</v>
      </c>
    </row>
    <row r="3082" spans="1:23" s="3" customFormat="1">
      <c r="A3082" s="8">
        <f>HEX2DEC(31)</f>
        <v>49</v>
      </c>
      <c r="B3082" s="8">
        <f t="shared" ref="B3082:H3082" si="65">HEX2DEC(31)</f>
        <v>49</v>
      </c>
      <c r="C3082" s="8">
        <f t="shared" si="65"/>
        <v>49</v>
      </c>
      <c r="D3082" s="8">
        <f t="shared" si="65"/>
        <v>49</v>
      </c>
      <c r="E3082" s="8">
        <f t="shared" si="65"/>
        <v>49</v>
      </c>
      <c r="F3082" s="8">
        <f t="shared" si="65"/>
        <v>49</v>
      </c>
      <c r="G3082" s="8">
        <f t="shared" si="65"/>
        <v>49</v>
      </c>
      <c r="H3082" s="8">
        <f t="shared" si="65"/>
        <v>49</v>
      </c>
      <c r="I3082" s="84" t="s">
        <v>3</v>
      </c>
      <c r="J3082" s="90" t="s">
        <v>732</v>
      </c>
      <c r="K3082" s="90"/>
      <c r="L3082"/>
      <c r="M3082" s="85"/>
      <c r="N3082"/>
      <c r="O3082"/>
      <c r="P3082"/>
      <c r="Q3082"/>
      <c r="R3082"/>
      <c r="S3082"/>
    </row>
    <row r="3083" spans="1:23" s="3" customFormat="1">
      <c r="A3083" s="8">
        <f>HEX2DEC(20)</f>
        <v>32</v>
      </c>
      <c r="B3083" s="8">
        <f t="shared" ref="B3083:H3083" si="66">HEX2DEC(20)</f>
        <v>32</v>
      </c>
      <c r="C3083" s="8">
        <f t="shared" si="66"/>
        <v>32</v>
      </c>
      <c r="D3083" s="8">
        <f t="shared" si="66"/>
        <v>32</v>
      </c>
      <c r="E3083" s="8">
        <f t="shared" si="66"/>
        <v>32</v>
      </c>
      <c r="F3083" s="8">
        <f t="shared" si="66"/>
        <v>32</v>
      </c>
      <c r="G3083" s="8">
        <f t="shared" si="66"/>
        <v>32</v>
      </c>
      <c r="H3083" s="8">
        <f t="shared" si="66"/>
        <v>32</v>
      </c>
      <c r="I3083" s="84" t="s">
        <v>3</v>
      </c>
      <c r="J3083" s="90" t="s">
        <v>733</v>
      </c>
      <c r="K3083" s="90"/>
      <c r="L3083"/>
      <c r="M3083" s="85"/>
      <c r="N3083"/>
      <c r="O3083"/>
      <c r="P3083"/>
      <c r="Q3083"/>
      <c r="R3083"/>
      <c r="S3083"/>
    </row>
    <row r="3084" spans="1:23" s="3" customFormat="1">
      <c r="A3084" s="8">
        <f>HEX2DEC(31)</f>
        <v>49</v>
      </c>
      <c r="B3084" s="8">
        <f t="shared" ref="B3084:H3084" si="67">HEX2DEC(31)</f>
        <v>49</v>
      </c>
      <c r="C3084" s="8">
        <f t="shared" si="67"/>
        <v>49</v>
      </c>
      <c r="D3084" s="8">
        <f t="shared" si="67"/>
        <v>49</v>
      </c>
      <c r="E3084" s="8">
        <f t="shared" si="67"/>
        <v>49</v>
      </c>
      <c r="F3084" s="8">
        <f t="shared" si="67"/>
        <v>49</v>
      </c>
      <c r="G3084" s="8">
        <f t="shared" si="67"/>
        <v>49</v>
      </c>
      <c r="H3084" s="8">
        <f t="shared" si="67"/>
        <v>49</v>
      </c>
      <c r="I3084" s="84" t="s">
        <v>3</v>
      </c>
      <c r="J3084" s="90" t="s">
        <v>734</v>
      </c>
      <c r="K3084" s="90"/>
      <c r="L3084"/>
      <c r="M3084" s="85"/>
      <c r="N3084"/>
      <c r="O3084"/>
      <c r="P3084"/>
      <c r="Q3084"/>
      <c r="R3084"/>
      <c r="S3084"/>
    </row>
    <row r="3085" spans="1:23" s="3" customFormat="1">
      <c r="A3085" s="8"/>
      <c r="B3085" s="8"/>
      <c r="C3085" s="8"/>
      <c r="D3085" s="8"/>
      <c r="E3085" s="8"/>
      <c r="F3085" s="8"/>
      <c r="G3085" s="8"/>
      <c r="H3085" s="8"/>
      <c r="I3085" s="84" t="s">
        <v>3</v>
      </c>
      <c r="J3085" s="90"/>
      <c r="K3085" s="90"/>
      <c r="L3085"/>
      <c r="M3085" s="85"/>
      <c r="N3085"/>
      <c r="O3085"/>
      <c r="P3085"/>
      <c r="Q3085"/>
      <c r="R3085"/>
      <c r="S3085"/>
    </row>
    <row r="3086" spans="1:23" s="3" customFormat="1">
      <c r="A3086" s="8"/>
      <c r="B3086" s="8"/>
      <c r="C3086" s="8"/>
      <c r="D3086" s="8"/>
      <c r="E3086" s="8"/>
      <c r="F3086" s="8"/>
      <c r="G3086" s="8"/>
      <c r="H3086" s="8"/>
      <c r="I3086" s="84" t="s">
        <v>3</v>
      </c>
      <c r="J3086" s="90"/>
      <c r="K3086" s="90"/>
      <c r="L3086"/>
      <c r="M3086" s="85"/>
      <c r="N3086"/>
      <c r="O3086"/>
      <c r="P3086"/>
      <c r="Q3086"/>
      <c r="R3086"/>
      <c r="S3086"/>
    </row>
    <row r="3087" spans="1:23" s="3" customFormat="1">
      <c r="A3087" s="8">
        <f>HEX2DEC(20)</f>
        <v>32</v>
      </c>
      <c r="B3087" s="8">
        <f t="shared" ref="B3087:H3087" si="68">HEX2DEC(20)</f>
        <v>32</v>
      </c>
      <c r="C3087" s="8">
        <f t="shared" si="68"/>
        <v>32</v>
      </c>
      <c r="D3087" s="8">
        <f t="shared" si="68"/>
        <v>32</v>
      </c>
      <c r="E3087" s="8">
        <f t="shared" si="68"/>
        <v>32</v>
      </c>
      <c r="F3087" s="8">
        <f t="shared" si="68"/>
        <v>32</v>
      </c>
      <c r="G3087" s="8">
        <f t="shared" si="68"/>
        <v>32</v>
      </c>
      <c r="H3087" s="8">
        <f t="shared" si="68"/>
        <v>32</v>
      </c>
      <c r="I3087" s="87" t="s">
        <v>735</v>
      </c>
      <c r="J3087" s="90" t="s">
        <v>736</v>
      </c>
      <c r="K3087" s="90"/>
      <c r="L3087"/>
      <c r="M3087" s="85"/>
      <c r="N3087"/>
      <c r="O3087"/>
      <c r="P3087"/>
      <c r="Q3087"/>
      <c r="R3087"/>
      <c r="S3087"/>
    </row>
    <row r="3088" spans="1:23" s="3" customFormat="1">
      <c r="A3088" s="8">
        <f>HEX2DEC(31)</f>
        <v>49</v>
      </c>
      <c r="B3088" s="8">
        <f t="shared" ref="B3088:H3088" si="69">HEX2DEC(31)</f>
        <v>49</v>
      </c>
      <c r="C3088" s="8">
        <f t="shared" si="69"/>
        <v>49</v>
      </c>
      <c r="D3088" s="8">
        <f t="shared" si="69"/>
        <v>49</v>
      </c>
      <c r="E3088" s="8">
        <f t="shared" si="69"/>
        <v>49</v>
      </c>
      <c r="F3088" s="8">
        <f t="shared" si="69"/>
        <v>49</v>
      </c>
      <c r="G3088" s="8">
        <f t="shared" si="69"/>
        <v>49</v>
      </c>
      <c r="H3088" s="8">
        <f t="shared" si="69"/>
        <v>49</v>
      </c>
      <c r="I3088" s="84" t="s">
        <v>3</v>
      </c>
      <c r="J3088" s="90" t="s">
        <v>738</v>
      </c>
      <c r="K3088" s="90"/>
      <c r="L3088"/>
      <c r="M3088" s="85"/>
      <c r="N3088"/>
      <c r="O3088"/>
      <c r="P3088"/>
      <c r="Q3088"/>
      <c r="R3088"/>
      <c r="S3088"/>
    </row>
    <row r="3089" spans="1:19" s="3" customFormat="1">
      <c r="A3089" s="8">
        <f>HEX2DEC(20)</f>
        <v>32</v>
      </c>
      <c r="B3089" s="8">
        <f t="shared" ref="B3089:H3089" si="70">HEX2DEC(20)</f>
        <v>32</v>
      </c>
      <c r="C3089" s="8">
        <f t="shared" si="70"/>
        <v>32</v>
      </c>
      <c r="D3089" s="8">
        <f t="shared" si="70"/>
        <v>32</v>
      </c>
      <c r="E3089" s="8">
        <f t="shared" si="70"/>
        <v>32</v>
      </c>
      <c r="F3089" s="8">
        <f t="shared" si="70"/>
        <v>32</v>
      </c>
      <c r="G3089" s="8">
        <f t="shared" si="70"/>
        <v>32</v>
      </c>
      <c r="H3089" s="8">
        <f t="shared" si="70"/>
        <v>32</v>
      </c>
      <c r="I3089" s="84" t="s">
        <v>3</v>
      </c>
      <c r="J3089" s="90" t="s">
        <v>739</v>
      </c>
      <c r="K3089" s="90"/>
      <c r="L3089"/>
      <c r="M3089" s="85"/>
      <c r="N3089"/>
      <c r="O3089"/>
      <c r="P3089"/>
      <c r="Q3089"/>
      <c r="R3089"/>
      <c r="S3089"/>
    </row>
    <row r="3090" spans="1:19" s="3" customFormat="1">
      <c r="A3090" s="8">
        <f>HEX2DEC(31)</f>
        <v>49</v>
      </c>
      <c r="B3090" s="8">
        <f t="shared" ref="B3090:H3090" si="71">HEX2DEC(31)</f>
        <v>49</v>
      </c>
      <c r="C3090" s="8">
        <f t="shared" si="71"/>
        <v>49</v>
      </c>
      <c r="D3090" s="8">
        <f t="shared" si="71"/>
        <v>49</v>
      </c>
      <c r="E3090" s="8">
        <f t="shared" si="71"/>
        <v>49</v>
      </c>
      <c r="F3090" s="8">
        <f t="shared" si="71"/>
        <v>49</v>
      </c>
      <c r="G3090" s="8">
        <f t="shared" si="71"/>
        <v>49</v>
      </c>
      <c r="H3090" s="8">
        <f t="shared" si="71"/>
        <v>49</v>
      </c>
      <c r="I3090" s="84" t="s">
        <v>3</v>
      </c>
      <c r="J3090" s="90" t="s">
        <v>740</v>
      </c>
      <c r="K3090" s="90"/>
      <c r="L3090"/>
      <c r="M3090" s="85"/>
      <c r="N3090"/>
      <c r="O3090"/>
      <c r="P3090"/>
      <c r="Q3090"/>
      <c r="R3090"/>
      <c r="S3090"/>
    </row>
    <row r="3091" spans="1:19" s="3" customFormat="1">
      <c r="A3091" s="8">
        <f>HEX2DEC(20)</f>
        <v>32</v>
      </c>
      <c r="B3091" s="8">
        <f t="shared" ref="B3091:H3091" si="72">HEX2DEC(20)</f>
        <v>32</v>
      </c>
      <c r="C3091" s="8">
        <f t="shared" si="72"/>
        <v>32</v>
      </c>
      <c r="D3091" s="8">
        <f t="shared" si="72"/>
        <v>32</v>
      </c>
      <c r="E3091" s="8">
        <f t="shared" si="72"/>
        <v>32</v>
      </c>
      <c r="F3091" s="8">
        <f t="shared" si="72"/>
        <v>32</v>
      </c>
      <c r="G3091" s="8">
        <f t="shared" si="72"/>
        <v>32</v>
      </c>
      <c r="H3091" s="8">
        <f t="shared" si="72"/>
        <v>32</v>
      </c>
      <c r="I3091" s="84" t="s">
        <v>3</v>
      </c>
      <c r="J3091" s="90" t="s">
        <v>741</v>
      </c>
      <c r="K3091" s="90"/>
      <c r="L3091"/>
      <c r="M3091" s="85"/>
      <c r="N3091"/>
      <c r="O3091"/>
      <c r="P3091"/>
      <c r="Q3091"/>
      <c r="R3091"/>
      <c r="S3091"/>
    </row>
    <row r="3092" spans="1:19" s="3" customFormat="1">
      <c r="A3092" s="8"/>
      <c r="B3092" s="8"/>
      <c r="C3092" s="8"/>
      <c r="D3092" s="8"/>
      <c r="E3092" s="8"/>
      <c r="F3092" s="8"/>
      <c r="G3092" s="8"/>
      <c r="H3092" s="8"/>
      <c r="I3092" s="84" t="s">
        <v>3</v>
      </c>
      <c r="J3092" s="90"/>
      <c r="K3092" s="90"/>
      <c r="L3092"/>
      <c r="M3092" s="85"/>
      <c r="N3092"/>
      <c r="O3092"/>
      <c r="P3092"/>
      <c r="Q3092"/>
      <c r="R3092"/>
      <c r="S3092"/>
    </row>
    <row r="3093" spans="1:19" s="3" customFormat="1">
      <c r="A3093" s="8"/>
      <c r="B3093" s="8"/>
      <c r="C3093" s="8"/>
      <c r="D3093" s="8"/>
      <c r="E3093" s="8"/>
      <c r="F3093" s="8"/>
      <c r="G3093" s="8"/>
      <c r="H3093" s="8"/>
      <c r="I3093" s="84" t="s">
        <v>3</v>
      </c>
      <c r="J3093" s="90"/>
      <c r="K3093" s="90"/>
      <c r="L3093"/>
      <c r="M3093" s="85"/>
      <c r="N3093"/>
      <c r="O3093"/>
      <c r="P3093"/>
      <c r="Q3093"/>
      <c r="R3093"/>
      <c r="S3093"/>
    </row>
    <row r="3094" spans="1:19" s="3" customFormat="1">
      <c r="A3094" s="8">
        <f>HEX2DEC(10)</f>
        <v>16</v>
      </c>
      <c r="B3094" s="8">
        <f t="shared" ref="B3094:H3094" si="73">HEX2DEC(10)</f>
        <v>16</v>
      </c>
      <c r="C3094" s="8">
        <f t="shared" si="73"/>
        <v>16</v>
      </c>
      <c r="D3094" s="8">
        <f t="shared" si="73"/>
        <v>16</v>
      </c>
      <c r="E3094" s="8">
        <f t="shared" si="73"/>
        <v>16</v>
      </c>
      <c r="F3094" s="8">
        <f t="shared" si="73"/>
        <v>16</v>
      </c>
      <c r="G3094" s="8">
        <f t="shared" si="73"/>
        <v>16</v>
      </c>
      <c r="H3094" s="8">
        <f t="shared" si="73"/>
        <v>16</v>
      </c>
      <c r="I3094" s="87" t="s">
        <v>742</v>
      </c>
      <c r="J3094" s="90" t="s">
        <v>743</v>
      </c>
      <c r="K3094" s="90"/>
      <c r="L3094"/>
      <c r="M3094" s="85"/>
      <c r="N3094"/>
      <c r="O3094"/>
      <c r="P3094"/>
      <c r="Q3094"/>
      <c r="R3094"/>
      <c r="S3094"/>
    </row>
    <row r="3095" spans="1:19">
      <c r="A3095" s="8">
        <f>HEX2DEC(40)</f>
        <v>64</v>
      </c>
      <c r="B3095" s="8">
        <f t="shared" ref="B3095:H3095" si="74">HEX2DEC(40)</f>
        <v>64</v>
      </c>
      <c r="C3095" s="8">
        <f t="shared" si="74"/>
        <v>64</v>
      </c>
      <c r="D3095" s="8">
        <f t="shared" si="74"/>
        <v>64</v>
      </c>
      <c r="E3095" s="8">
        <f t="shared" si="74"/>
        <v>64</v>
      </c>
      <c r="F3095" s="8">
        <f t="shared" si="74"/>
        <v>64</v>
      </c>
      <c r="G3095" s="8">
        <f t="shared" si="74"/>
        <v>64</v>
      </c>
      <c r="H3095" s="8">
        <f t="shared" si="74"/>
        <v>64</v>
      </c>
      <c r="I3095" s="84" t="s">
        <v>3</v>
      </c>
      <c r="J3095" s="90" t="s">
        <v>744</v>
      </c>
      <c r="K3095" s="90"/>
      <c r="M3095" s="85"/>
    </row>
    <row r="3096" spans="1:19" s="3" customFormat="1">
      <c r="A3096" s="8">
        <f>HEX2DEC(20)</f>
        <v>32</v>
      </c>
      <c r="B3096" s="8">
        <f t="shared" ref="B3096:H3096" si="75">HEX2DEC(20)</f>
        <v>32</v>
      </c>
      <c r="C3096" s="8">
        <f t="shared" si="75"/>
        <v>32</v>
      </c>
      <c r="D3096" s="8">
        <f t="shared" si="75"/>
        <v>32</v>
      </c>
      <c r="E3096" s="8">
        <f t="shared" si="75"/>
        <v>32</v>
      </c>
      <c r="F3096" s="8">
        <f t="shared" si="75"/>
        <v>32</v>
      </c>
      <c r="G3096" s="8">
        <f t="shared" si="75"/>
        <v>32</v>
      </c>
      <c r="H3096" s="8">
        <f t="shared" si="75"/>
        <v>32</v>
      </c>
      <c r="I3096" s="84" t="s">
        <v>3</v>
      </c>
      <c r="J3096" s="90" t="s">
        <v>745</v>
      </c>
      <c r="K3096" s="90"/>
      <c r="L3096"/>
      <c r="M3096" s="85"/>
      <c r="N3096"/>
      <c r="O3096"/>
      <c r="P3096"/>
      <c r="Q3096"/>
      <c r="R3096"/>
      <c r="S3096"/>
    </row>
    <row r="3097" spans="1:19" s="3" customFormat="1">
      <c r="A3097" s="8">
        <f>HEX2DEC(10)</f>
        <v>16</v>
      </c>
      <c r="B3097" s="8">
        <f t="shared" ref="B3097:H3097" si="76">HEX2DEC(10)</f>
        <v>16</v>
      </c>
      <c r="C3097" s="8">
        <f t="shared" si="76"/>
        <v>16</v>
      </c>
      <c r="D3097" s="8">
        <f t="shared" si="76"/>
        <v>16</v>
      </c>
      <c r="E3097" s="8">
        <f t="shared" si="76"/>
        <v>16</v>
      </c>
      <c r="F3097" s="8">
        <f t="shared" si="76"/>
        <v>16</v>
      </c>
      <c r="G3097" s="8">
        <f t="shared" si="76"/>
        <v>16</v>
      </c>
      <c r="H3097" s="8">
        <f t="shared" si="76"/>
        <v>16</v>
      </c>
      <c r="I3097" s="84" t="s">
        <v>3</v>
      </c>
      <c r="J3097" s="90" t="s">
        <v>746</v>
      </c>
      <c r="K3097" s="90"/>
      <c r="L3097"/>
      <c r="M3097" s="85"/>
      <c r="N3097"/>
      <c r="O3097"/>
      <c r="P3097"/>
      <c r="Q3097"/>
      <c r="R3097"/>
      <c r="S3097"/>
    </row>
    <row r="3098" spans="1:19" s="3" customFormat="1">
      <c r="A3098" s="8">
        <f>HEX2DEC(40)</f>
        <v>64</v>
      </c>
      <c r="B3098" s="8">
        <f t="shared" ref="B3098:H3098" si="77">HEX2DEC(40)</f>
        <v>64</v>
      </c>
      <c r="C3098" s="8">
        <f t="shared" si="77"/>
        <v>64</v>
      </c>
      <c r="D3098" s="8">
        <f t="shared" si="77"/>
        <v>64</v>
      </c>
      <c r="E3098" s="8">
        <f t="shared" si="77"/>
        <v>64</v>
      </c>
      <c r="F3098" s="8">
        <f t="shared" si="77"/>
        <v>64</v>
      </c>
      <c r="G3098" s="8">
        <f t="shared" si="77"/>
        <v>64</v>
      </c>
      <c r="H3098" s="8">
        <f t="shared" si="77"/>
        <v>64</v>
      </c>
      <c r="I3098" s="84" t="s">
        <v>3</v>
      </c>
      <c r="J3098" s="90" t="s">
        <v>747</v>
      </c>
      <c r="K3098" s="90"/>
      <c r="L3098"/>
      <c r="M3098" s="85"/>
      <c r="N3098"/>
      <c r="O3098"/>
      <c r="P3098"/>
      <c r="Q3098"/>
      <c r="R3098"/>
      <c r="S3098"/>
    </row>
    <row r="3099" spans="1:19" s="3" customFormat="1">
      <c r="A3099" s="8"/>
      <c r="B3099" s="8"/>
      <c r="C3099" s="8"/>
      <c r="D3099" s="8"/>
      <c r="E3099" s="8"/>
      <c r="F3099" s="8"/>
      <c r="G3099" s="8"/>
      <c r="H3099" s="8"/>
      <c r="I3099" s="84" t="s">
        <v>3</v>
      </c>
      <c r="J3099" s="90"/>
      <c r="K3099" s="90"/>
      <c r="L3099"/>
      <c r="M3099" s="85"/>
      <c r="N3099"/>
      <c r="O3099"/>
      <c r="P3099"/>
      <c r="Q3099"/>
      <c r="R3099"/>
      <c r="S3099"/>
    </row>
    <row r="3100" spans="1:19" s="3" customFormat="1">
      <c r="A3100" s="8"/>
      <c r="B3100" s="8"/>
      <c r="C3100" s="8"/>
      <c r="D3100" s="8"/>
      <c r="E3100" s="8"/>
      <c r="F3100" s="8"/>
      <c r="G3100" s="8"/>
      <c r="H3100" s="8"/>
      <c r="I3100" s="84" t="s">
        <v>3</v>
      </c>
      <c r="J3100" s="90"/>
      <c r="K3100" s="90"/>
      <c r="L3100"/>
      <c r="M3100" s="85"/>
      <c r="N3100"/>
      <c r="O3100"/>
      <c r="P3100"/>
      <c r="Q3100"/>
      <c r="R3100"/>
      <c r="S3100"/>
    </row>
    <row r="3101" spans="1:19" s="3" customFormat="1">
      <c r="A3101" s="8">
        <f>HEX2DEC(20)</f>
        <v>32</v>
      </c>
      <c r="B3101" s="8">
        <f t="shared" ref="B3101:H3101" si="78">HEX2DEC(20)</f>
        <v>32</v>
      </c>
      <c r="C3101" s="8">
        <f t="shared" si="78"/>
        <v>32</v>
      </c>
      <c r="D3101" s="8">
        <f t="shared" si="78"/>
        <v>32</v>
      </c>
      <c r="E3101" s="8">
        <f t="shared" si="78"/>
        <v>32</v>
      </c>
      <c r="F3101" s="8">
        <f t="shared" si="78"/>
        <v>32</v>
      </c>
      <c r="G3101" s="8">
        <f t="shared" si="78"/>
        <v>32</v>
      </c>
      <c r="H3101" s="8">
        <f t="shared" si="78"/>
        <v>32</v>
      </c>
      <c r="I3101" s="87" t="s">
        <v>748</v>
      </c>
      <c r="J3101" s="90" t="s">
        <v>749</v>
      </c>
      <c r="K3101" s="90"/>
      <c r="L3101"/>
      <c r="M3101" s="85"/>
      <c r="N3101"/>
      <c r="O3101"/>
      <c r="P3101"/>
      <c r="Q3101"/>
      <c r="R3101"/>
      <c r="S3101"/>
    </row>
    <row r="3102" spans="1:19" s="3" customFormat="1">
      <c r="A3102" s="8">
        <f>HEX2DEC(10)</f>
        <v>16</v>
      </c>
      <c r="B3102" s="8">
        <f t="shared" ref="B3102:H3102" si="79">HEX2DEC(10)</f>
        <v>16</v>
      </c>
      <c r="C3102" s="8">
        <f t="shared" si="79"/>
        <v>16</v>
      </c>
      <c r="D3102" s="8">
        <f t="shared" si="79"/>
        <v>16</v>
      </c>
      <c r="E3102" s="8">
        <f t="shared" si="79"/>
        <v>16</v>
      </c>
      <c r="F3102" s="8">
        <f t="shared" si="79"/>
        <v>16</v>
      </c>
      <c r="G3102" s="8">
        <f t="shared" si="79"/>
        <v>16</v>
      </c>
      <c r="H3102" s="8">
        <f t="shared" si="79"/>
        <v>16</v>
      </c>
      <c r="I3102" s="84" t="s">
        <v>3</v>
      </c>
      <c r="J3102" s="90" t="s">
        <v>750</v>
      </c>
      <c r="K3102" s="90"/>
      <c r="L3102"/>
      <c r="M3102" s="85"/>
      <c r="N3102"/>
      <c r="O3102"/>
      <c r="P3102"/>
      <c r="Q3102"/>
      <c r="R3102"/>
      <c r="S3102"/>
    </row>
    <row r="3103" spans="1:19" s="3" customFormat="1">
      <c r="A3103" s="8">
        <f>HEX2DEC(41)</f>
        <v>65</v>
      </c>
      <c r="B3103" s="8">
        <f t="shared" ref="B3103:H3103" si="80">HEX2DEC(41)</f>
        <v>65</v>
      </c>
      <c r="C3103" s="8">
        <f t="shared" si="80"/>
        <v>65</v>
      </c>
      <c r="D3103" s="8">
        <f t="shared" si="80"/>
        <v>65</v>
      </c>
      <c r="E3103" s="8">
        <f t="shared" si="80"/>
        <v>65</v>
      </c>
      <c r="F3103" s="8">
        <f t="shared" si="80"/>
        <v>65</v>
      </c>
      <c r="G3103" s="8">
        <f t="shared" si="80"/>
        <v>65</v>
      </c>
      <c r="H3103" s="8">
        <f t="shared" si="80"/>
        <v>65</v>
      </c>
      <c r="I3103" s="84" t="s">
        <v>3</v>
      </c>
      <c r="J3103" s="90" t="s">
        <v>751</v>
      </c>
      <c r="K3103" s="90"/>
      <c r="L3103"/>
      <c r="M3103" s="85"/>
      <c r="N3103"/>
      <c r="O3103"/>
      <c r="P3103"/>
      <c r="Q3103"/>
      <c r="R3103"/>
      <c r="S3103"/>
    </row>
    <row r="3104" spans="1:19" s="3" customFormat="1">
      <c r="A3104" s="8">
        <f>HEX2DEC(22)</f>
        <v>34</v>
      </c>
      <c r="B3104" s="8">
        <f t="shared" ref="B3104:H3104" si="81">HEX2DEC(22)</f>
        <v>34</v>
      </c>
      <c r="C3104" s="8">
        <f t="shared" si="81"/>
        <v>34</v>
      </c>
      <c r="D3104" s="8">
        <f t="shared" si="81"/>
        <v>34</v>
      </c>
      <c r="E3104" s="8">
        <f t="shared" si="81"/>
        <v>34</v>
      </c>
      <c r="F3104" s="8">
        <f t="shared" si="81"/>
        <v>34</v>
      </c>
      <c r="G3104" s="8">
        <f t="shared" si="81"/>
        <v>34</v>
      </c>
      <c r="H3104" s="8">
        <f t="shared" si="81"/>
        <v>34</v>
      </c>
      <c r="I3104" s="84" t="s">
        <v>3</v>
      </c>
      <c r="J3104" s="90" t="s">
        <v>752</v>
      </c>
      <c r="K3104" s="90"/>
      <c r="L3104"/>
      <c r="M3104" s="85"/>
      <c r="N3104"/>
      <c r="O3104"/>
      <c r="P3104"/>
      <c r="Q3104"/>
      <c r="R3104"/>
      <c r="S3104"/>
    </row>
    <row r="3105" spans="1:19" s="3" customFormat="1">
      <c r="A3105" s="6">
        <v>48</v>
      </c>
      <c r="B3105" s="6">
        <v>48</v>
      </c>
      <c r="C3105" s="6">
        <v>48</v>
      </c>
      <c r="D3105" s="6">
        <v>48</v>
      </c>
      <c r="E3105" s="6">
        <v>48</v>
      </c>
      <c r="F3105" s="6">
        <v>48</v>
      </c>
      <c r="G3105" s="6">
        <v>48</v>
      </c>
      <c r="H3105" s="6">
        <v>48</v>
      </c>
      <c r="I3105" t="s">
        <v>32</v>
      </c>
      <c r="J3105" t="s">
        <v>1637</v>
      </c>
      <c r="K3105" s="90"/>
      <c r="L3105"/>
      <c r="M3105" s="85"/>
      <c r="N3105"/>
      <c r="O3105"/>
      <c r="P3105"/>
      <c r="Q3105"/>
      <c r="R3105"/>
      <c r="S3105"/>
    </row>
    <row r="3106" spans="1:19" s="3" customFormat="1">
      <c r="A3106" s="8"/>
      <c r="B3106" s="8"/>
      <c r="C3106" s="8"/>
      <c r="D3106" s="8"/>
      <c r="E3106" s="8"/>
      <c r="F3106" s="8"/>
      <c r="G3106" s="8"/>
      <c r="H3106" s="8"/>
      <c r="I3106" s="84" t="s">
        <v>3</v>
      </c>
      <c r="J3106" s="90"/>
      <c r="K3106" s="90"/>
      <c r="L3106"/>
      <c r="M3106" s="85"/>
      <c r="N3106"/>
      <c r="O3106"/>
      <c r="P3106"/>
      <c r="Q3106"/>
      <c r="R3106"/>
      <c r="S3106"/>
    </row>
    <row r="3107" spans="1:19" s="3" customFormat="1">
      <c r="A3107" s="8"/>
      <c r="B3107" s="8"/>
      <c r="C3107" s="8"/>
      <c r="D3107" s="8"/>
      <c r="E3107" s="8"/>
      <c r="F3107" s="8"/>
      <c r="G3107" s="8"/>
      <c r="H3107" s="8"/>
      <c r="I3107" s="84" t="s">
        <v>3</v>
      </c>
      <c r="J3107" s="90"/>
      <c r="K3107" s="90"/>
      <c r="L3107"/>
      <c r="M3107" s="85"/>
      <c r="N3107"/>
      <c r="O3107"/>
      <c r="P3107"/>
      <c r="Q3107"/>
      <c r="R3107"/>
      <c r="S3107"/>
    </row>
    <row r="3108" spans="1:19" s="3" customFormat="1">
      <c r="A3108" s="8">
        <f>HEX2DEC(32)</f>
        <v>50</v>
      </c>
      <c r="B3108" s="8">
        <f t="shared" ref="B3108:H3108" si="82">HEX2DEC(32)</f>
        <v>50</v>
      </c>
      <c r="C3108" s="8">
        <f t="shared" si="82"/>
        <v>50</v>
      </c>
      <c r="D3108" s="8">
        <f t="shared" si="82"/>
        <v>50</v>
      </c>
      <c r="E3108" s="8">
        <f t="shared" si="82"/>
        <v>50</v>
      </c>
      <c r="F3108" s="8">
        <f t="shared" si="82"/>
        <v>50</v>
      </c>
      <c r="G3108" s="8">
        <f t="shared" si="82"/>
        <v>50</v>
      </c>
      <c r="H3108" s="8">
        <f t="shared" si="82"/>
        <v>50</v>
      </c>
      <c r="I3108" s="87" t="s">
        <v>753</v>
      </c>
      <c r="J3108" s="90" t="s">
        <v>754</v>
      </c>
      <c r="K3108" s="90"/>
      <c r="L3108"/>
      <c r="M3108" s="85"/>
      <c r="N3108"/>
      <c r="O3108"/>
      <c r="P3108"/>
      <c r="Q3108"/>
      <c r="R3108"/>
      <c r="S3108"/>
    </row>
    <row r="3109" spans="1:19" s="3" customFormat="1">
      <c r="A3109" s="8">
        <f>HEX2DEC(40)</f>
        <v>64</v>
      </c>
      <c r="B3109" s="8">
        <f t="shared" ref="B3109:H3110" si="83">HEX2DEC(40)</f>
        <v>64</v>
      </c>
      <c r="C3109" s="8">
        <f t="shared" si="83"/>
        <v>64</v>
      </c>
      <c r="D3109" s="8">
        <f t="shared" si="83"/>
        <v>64</v>
      </c>
      <c r="E3109" s="8">
        <f t="shared" si="83"/>
        <v>64</v>
      </c>
      <c r="F3109" s="8">
        <f t="shared" si="83"/>
        <v>64</v>
      </c>
      <c r="G3109" s="8">
        <f t="shared" si="83"/>
        <v>64</v>
      </c>
      <c r="H3109" s="8">
        <f t="shared" si="83"/>
        <v>64</v>
      </c>
      <c r="I3109" s="84" t="s">
        <v>3</v>
      </c>
      <c r="J3109" s="90" t="s">
        <v>755</v>
      </c>
      <c r="K3109" s="90"/>
      <c r="L3109"/>
      <c r="M3109" s="85"/>
      <c r="N3109"/>
      <c r="O3109"/>
      <c r="P3109"/>
      <c r="Q3109"/>
      <c r="R3109"/>
      <c r="S3109"/>
    </row>
    <row r="3110" spans="1:19" s="3" customFormat="1">
      <c r="A3110" s="8">
        <f>HEX2DEC(40)</f>
        <v>64</v>
      </c>
      <c r="B3110" s="8">
        <f t="shared" si="83"/>
        <v>64</v>
      </c>
      <c r="C3110" s="8">
        <f t="shared" si="83"/>
        <v>64</v>
      </c>
      <c r="D3110" s="8">
        <f t="shared" si="83"/>
        <v>64</v>
      </c>
      <c r="E3110" s="8">
        <f t="shared" si="83"/>
        <v>64</v>
      </c>
      <c r="F3110" s="8">
        <f t="shared" si="83"/>
        <v>64</v>
      </c>
      <c r="G3110" s="8">
        <f t="shared" si="83"/>
        <v>64</v>
      </c>
      <c r="H3110" s="8">
        <f t="shared" si="83"/>
        <v>64</v>
      </c>
      <c r="I3110" s="84" t="s">
        <v>3</v>
      </c>
      <c r="J3110" s="90" t="s">
        <v>756</v>
      </c>
      <c r="K3110" s="90"/>
      <c r="L3110"/>
      <c r="M3110" s="85"/>
      <c r="N3110"/>
      <c r="O3110"/>
      <c r="P3110"/>
      <c r="Q3110"/>
      <c r="R3110"/>
      <c r="S3110"/>
    </row>
    <row r="3111" spans="1:19">
      <c r="A3111" s="8">
        <f>HEX2DEC(41)</f>
        <v>65</v>
      </c>
      <c r="B3111" s="8">
        <f t="shared" ref="B3111:H3111" si="84">HEX2DEC(41)</f>
        <v>65</v>
      </c>
      <c r="C3111" s="8">
        <f t="shared" si="84"/>
        <v>65</v>
      </c>
      <c r="D3111" s="8">
        <f t="shared" si="84"/>
        <v>65</v>
      </c>
      <c r="E3111" s="8">
        <f t="shared" si="84"/>
        <v>65</v>
      </c>
      <c r="F3111" s="8">
        <f t="shared" si="84"/>
        <v>65</v>
      </c>
      <c r="G3111" s="8">
        <f t="shared" si="84"/>
        <v>65</v>
      </c>
      <c r="H3111" s="8">
        <f t="shared" si="84"/>
        <v>65</v>
      </c>
      <c r="I3111" s="84" t="s">
        <v>3</v>
      </c>
      <c r="J3111" s="90" t="s">
        <v>757</v>
      </c>
      <c r="K3111" s="90"/>
      <c r="M3111" s="85"/>
    </row>
    <row r="3112" spans="1:19" s="3" customFormat="1">
      <c r="A3112" s="6">
        <v>64</v>
      </c>
      <c r="B3112" s="6">
        <v>64</v>
      </c>
      <c r="C3112" s="6">
        <v>64</v>
      </c>
      <c r="D3112" s="6">
        <v>64</v>
      </c>
      <c r="E3112" s="6">
        <v>64</v>
      </c>
      <c r="F3112" s="6">
        <v>64</v>
      </c>
      <c r="G3112" s="6">
        <v>64</v>
      </c>
      <c r="H3112" s="6">
        <v>64</v>
      </c>
      <c r="I3112" t="s">
        <v>32</v>
      </c>
      <c r="J3112" t="s">
        <v>1639</v>
      </c>
      <c r="K3112" s="90"/>
      <c r="L3112"/>
      <c r="M3112" s="85"/>
      <c r="N3112"/>
      <c r="O3112"/>
      <c r="P3112"/>
      <c r="Q3112"/>
      <c r="R3112"/>
      <c r="S3112"/>
    </row>
    <row r="3113" spans="1:19" s="3" customFormat="1">
      <c r="A3113" s="8"/>
      <c r="B3113" s="8"/>
      <c r="C3113" s="8"/>
      <c r="D3113" s="8"/>
      <c r="E3113" s="8"/>
      <c r="F3113" s="8"/>
      <c r="G3113" s="8"/>
      <c r="H3113" s="8"/>
      <c r="I3113" s="84" t="s">
        <v>3</v>
      </c>
      <c r="J3113" s="90"/>
      <c r="K3113" s="90"/>
      <c r="L3113"/>
      <c r="M3113" s="85"/>
      <c r="N3113"/>
      <c r="O3113"/>
      <c r="P3113"/>
      <c r="Q3113"/>
      <c r="R3113"/>
      <c r="S3113"/>
    </row>
    <row r="3114" spans="1:19" s="3" customFormat="1">
      <c r="A3114" s="8"/>
      <c r="B3114" s="8"/>
      <c r="C3114" s="8"/>
      <c r="D3114" s="8"/>
      <c r="E3114" s="8"/>
      <c r="F3114" s="8"/>
      <c r="G3114" s="8"/>
      <c r="H3114" s="8"/>
      <c r="I3114" s="84" t="s">
        <v>3</v>
      </c>
      <c r="J3114" s="90"/>
      <c r="K3114" s="90"/>
      <c r="L3114"/>
      <c r="M3114" s="85"/>
      <c r="N3114"/>
      <c r="O3114"/>
      <c r="P3114"/>
      <c r="Q3114"/>
      <c r="R3114"/>
      <c r="S3114"/>
    </row>
    <row r="3115" spans="1:19" s="3" customFormat="1">
      <c r="A3115" s="23">
        <v>16</v>
      </c>
      <c r="B3115" s="23">
        <v>16</v>
      </c>
      <c r="C3115" s="23">
        <v>16</v>
      </c>
      <c r="D3115" s="23">
        <v>16</v>
      </c>
      <c r="E3115" s="23">
        <v>16</v>
      </c>
      <c r="F3115" s="23">
        <v>16</v>
      </c>
      <c r="G3115" s="23">
        <v>16</v>
      </c>
      <c r="H3115" s="23">
        <v>16</v>
      </c>
      <c r="I3115" t="s">
        <v>32</v>
      </c>
      <c r="J3115" t="s">
        <v>1640</v>
      </c>
      <c r="K3115" s="90"/>
      <c r="L3115"/>
      <c r="M3115" s="85"/>
      <c r="N3115"/>
      <c r="O3115"/>
      <c r="P3115"/>
      <c r="Q3115"/>
      <c r="R3115"/>
      <c r="S3115"/>
    </row>
    <row r="3116" spans="1:19" s="3" customFormat="1">
      <c r="A3116" s="23">
        <v>48</v>
      </c>
      <c r="B3116" s="23">
        <v>48</v>
      </c>
      <c r="C3116" s="23">
        <v>48</v>
      </c>
      <c r="D3116" s="23">
        <v>48</v>
      </c>
      <c r="E3116" s="23">
        <v>48</v>
      </c>
      <c r="F3116" s="23">
        <v>48</v>
      </c>
      <c r="G3116" s="23">
        <v>48</v>
      </c>
      <c r="H3116" s="23">
        <v>48</v>
      </c>
      <c r="I3116" t="s">
        <v>32</v>
      </c>
      <c r="J3116" t="s">
        <v>1641</v>
      </c>
      <c r="K3116" s="85"/>
      <c r="L3116"/>
      <c r="M3116" s="85"/>
      <c r="N3116"/>
      <c r="O3116"/>
      <c r="P3116"/>
      <c r="Q3116"/>
      <c r="R3116"/>
      <c r="S3116"/>
    </row>
    <row r="3117" spans="1:19" s="3" customFormat="1">
      <c r="A3117" s="23">
        <v>48</v>
      </c>
      <c r="B3117" s="23">
        <v>48</v>
      </c>
      <c r="C3117" s="23">
        <v>48</v>
      </c>
      <c r="D3117" s="23">
        <v>48</v>
      </c>
      <c r="E3117" s="23">
        <v>48</v>
      </c>
      <c r="F3117" s="23">
        <v>48</v>
      </c>
      <c r="G3117" s="23">
        <v>48</v>
      </c>
      <c r="H3117" s="23">
        <v>48</v>
      </c>
      <c r="I3117" t="s">
        <v>32</v>
      </c>
      <c r="J3117" t="s">
        <v>1642</v>
      </c>
      <c r="K3117" s="85"/>
      <c r="L3117"/>
      <c r="M3117" s="85"/>
      <c r="N3117"/>
      <c r="O3117"/>
      <c r="P3117"/>
      <c r="Q3117"/>
      <c r="R3117"/>
      <c r="S3117"/>
    </row>
    <row r="3118" spans="1:19" s="3" customFormat="1">
      <c r="A3118" s="8"/>
      <c r="B3118" s="8"/>
      <c r="C3118" s="8"/>
      <c r="D3118" s="8"/>
      <c r="E3118" s="8"/>
      <c r="F3118" s="8"/>
      <c r="G3118" s="8"/>
      <c r="H3118" s="8"/>
      <c r="I3118" s="84" t="s">
        <v>3</v>
      </c>
      <c r="J3118" s="85"/>
      <c r="K3118" s="85"/>
      <c r="L3118"/>
      <c r="M3118" s="85"/>
      <c r="N3118"/>
      <c r="O3118"/>
      <c r="P3118"/>
      <c r="Q3118"/>
      <c r="R3118"/>
      <c r="S3118"/>
    </row>
    <row r="3119" spans="1:19" s="3" customFormat="1">
      <c r="A3119" s="8"/>
      <c r="B3119" s="8"/>
      <c r="C3119" s="8"/>
      <c r="D3119" s="8"/>
      <c r="E3119" s="8"/>
      <c r="F3119" s="8"/>
      <c r="G3119" s="8"/>
      <c r="H3119" s="8"/>
      <c r="I3119" s="84" t="s">
        <v>3</v>
      </c>
      <c r="J3119" s="85"/>
      <c r="K3119" s="85"/>
      <c r="L3119"/>
      <c r="M3119" s="85"/>
      <c r="N3119"/>
      <c r="O3119"/>
      <c r="P3119"/>
      <c r="Q3119"/>
      <c r="R3119"/>
      <c r="S3119"/>
    </row>
    <row r="3120" spans="1:19">
      <c r="A3120" s="8"/>
      <c r="B3120" s="8"/>
      <c r="C3120" s="8"/>
      <c r="D3120" s="8"/>
      <c r="E3120" s="8"/>
      <c r="F3120" s="8"/>
      <c r="G3120" s="8"/>
      <c r="H3120" s="8"/>
      <c r="I3120" s="84" t="s">
        <v>3</v>
      </c>
      <c r="J3120" s="85"/>
      <c r="K3120" s="85"/>
      <c r="M3120" s="85"/>
    </row>
    <row r="3121" spans="1:19">
      <c r="A3121" s="8"/>
      <c r="B3121" s="8"/>
      <c r="C3121" s="8"/>
      <c r="D3121" s="8"/>
      <c r="E3121" s="8"/>
      <c r="F3121" s="8"/>
      <c r="G3121" s="8"/>
      <c r="H3121" s="8"/>
      <c r="I3121" s="84" t="s">
        <v>3</v>
      </c>
      <c r="J3121" s="85"/>
      <c r="K3121" s="85"/>
      <c r="M3121" s="85"/>
    </row>
    <row r="3122" spans="1:19">
      <c r="A3122" s="84" t="s">
        <v>3</v>
      </c>
      <c r="B3122" s="3"/>
      <c r="C3122" s="3"/>
      <c r="E3122" s="3"/>
      <c r="F3122" s="3" t="s">
        <v>1027</v>
      </c>
      <c r="G3122" s="3"/>
      <c r="H3122" s="3"/>
      <c r="I3122" s="40"/>
      <c r="J3122" s="85"/>
      <c r="K3122" s="85"/>
      <c r="M3122" s="85"/>
    </row>
    <row r="3123" spans="1:19" s="3" customFormat="1">
      <c r="A3123" t="s">
        <v>1029</v>
      </c>
      <c r="B3123" s="85"/>
      <c r="C3123" s="85"/>
      <c r="D3123"/>
      <c r="E3123" s="85"/>
      <c r="F3123" s="85"/>
      <c r="G3123" s="85"/>
      <c r="H3123" s="85"/>
      <c r="I3123" s="84"/>
      <c r="J3123" s="85"/>
      <c r="K3123" s="85"/>
      <c r="L3123"/>
      <c r="M3123" s="85"/>
      <c r="N3123"/>
      <c r="O3123"/>
      <c r="P3123"/>
      <c r="Q3123"/>
      <c r="R3123"/>
      <c r="S3123"/>
    </row>
    <row r="3124" spans="1:19" s="3" customFormat="1">
      <c r="A3124" s="23">
        <v>14</v>
      </c>
      <c r="B3124" t="s">
        <v>1028</v>
      </c>
      <c r="C3124" t="s">
        <v>1030</v>
      </c>
      <c r="D3124"/>
      <c r="E3124" s="85"/>
      <c r="F3124"/>
      <c r="G3124" s="85"/>
      <c r="H3124" s="85"/>
      <c r="I3124" s="84"/>
      <c r="J3124" s="85"/>
      <c r="K3124" s="85"/>
      <c r="L3124"/>
      <c r="M3124"/>
      <c r="N3124"/>
      <c r="O3124"/>
      <c r="P3124"/>
      <c r="Q3124"/>
      <c r="R3124"/>
      <c r="S3124"/>
    </row>
    <row r="3125" spans="1:19" s="3" customFormat="1">
      <c r="A3125" s="23">
        <v>16</v>
      </c>
      <c r="B3125" t="s">
        <v>1028</v>
      </c>
      <c r="C3125"/>
      <c r="D3125"/>
      <c r="E3125" s="85"/>
      <c r="F3125"/>
      <c r="G3125" s="85"/>
      <c r="H3125" s="85"/>
      <c r="I3125" s="84"/>
      <c r="J3125" s="85"/>
      <c r="K3125" s="85"/>
      <c r="L3125"/>
      <c r="M3125"/>
      <c r="N3125"/>
      <c r="O3125"/>
      <c r="P3125"/>
      <c r="Q3125"/>
      <c r="R3125"/>
      <c r="S3125"/>
    </row>
    <row r="3126" spans="1:19" s="3" customFormat="1">
      <c r="A3126" s="23">
        <v>17</v>
      </c>
      <c r="B3126" t="s">
        <v>1028</v>
      </c>
      <c r="C3126"/>
      <c r="D3126"/>
      <c r="E3126" s="85"/>
      <c r="F3126"/>
      <c r="G3126" s="85"/>
      <c r="H3126" s="85"/>
      <c r="I3126" s="84"/>
      <c r="J3126" s="85"/>
      <c r="K3126" s="85"/>
      <c r="L3126"/>
      <c r="M3126"/>
      <c r="N3126"/>
      <c r="O3126"/>
      <c r="P3126"/>
      <c r="Q3126"/>
      <c r="R3126"/>
      <c r="S3126"/>
    </row>
    <row r="3127" spans="1:19" s="3" customFormat="1">
      <c r="A3127" s="23">
        <v>15</v>
      </c>
      <c r="B3127" t="s">
        <v>1028</v>
      </c>
      <c r="C3127"/>
      <c r="D3127"/>
      <c r="E3127" s="85"/>
      <c r="F3127"/>
      <c r="G3127" s="85"/>
      <c r="H3127" s="85"/>
      <c r="I3127" s="84"/>
      <c r="J3127" s="85"/>
      <c r="K3127" s="85"/>
      <c r="L3127"/>
      <c r="M3127"/>
      <c r="N3127"/>
      <c r="O3127"/>
      <c r="P3127"/>
      <c r="Q3127"/>
      <c r="R3127"/>
      <c r="S3127"/>
    </row>
    <row r="3128" spans="1:19" s="3" customFormat="1">
      <c r="A3128" s="23">
        <v>71</v>
      </c>
      <c r="B3128" t="s">
        <v>1028</v>
      </c>
      <c r="C3128" t="s">
        <v>1031</v>
      </c>
      <c r="D3128"/>
      <c r="E3128" s="85"/>
      <c r="F3128"/>
      <c r="G3128" s="85"/>
      <c r="H3128" s="85"/>
      <c r="I3128" s="84"/>
      <c r="J3128" s="85"/>
      <c r="K3128" s="85"/>
      <c r="L3128"/>
      <c r="M3128"/>
      <c r="N3128"/>
      <c r="O3128"/>
      <c r="P3128"/>
      <c r="Q3128"/>
      <c r="R3128"/>
      <c r="S3128"/>
    </row>
    <row r="3129" spans="1:19" s="3" customFormat="1">
      <c r="A3129" s="23">
        <v>72</v>
      </c>
      <c r="B3129" t="s">
        <v>1028</v>
      </c>
      <c r="C3129"/>
      <c r="D3129"/>
      <c r="E3129" s="85"/>
      <c r="F3129"/>
      <c r="G3129" s="85"/>
      <c r="H3129" s="85"/>
      <c r="I3129" s="84"/>
      <c r="J3129" s="85"/>
      <c r="K3129" s="85"/>
      <c r="L3129"/>
      <c r="M3129"/>
      <c r="N3129"/>
      <c r="O3129"/>
      <c r="P3129"/>
      <c r="Q3129"/>
      <c r="R3129"/>
      <c r="S3129"/>
    </row>
    <row r="3130" spans="1:19" s="3" customFormat="1">
      <c r="A3130" s="23">
        <v>75</v>
      </c>
      <c r="B3130" t="s">
        <v>1028</v>
      </c>
      <c r="C3130"/>
      <c r="D3130"/>
      <c r="E3130" s="85"/>
      <c r="F3130"/>
      <c r="G3130" s="85"/>
      <c r="H3130" s="85"/>
      <c r="I3130" s="84"/>
      <c r="J3130" s="85"/>
      <c r="K3130" s="85"/>
      <c r="L3130"/>
      <c r="M3130"/>
      <c r="N3130"/>
      <c r="O3130"/>
      <c r="P3130"/>
      <c r="Q3130"/>
      <c r="R3130"/>
      <c r="S3130"/>
    </row>
    <row r="3131" spans="1:19" s="3" customFormat="1">
      <c r="A3131" s="23">
        <v>73</v>
      </c>
      <c r="B3131" t="s">
        <v>1028</v>
      </c>
      <c r="C3131"/>
      <c r="D3131"/>
      <c r="E3131" s="85"/>
      <c r="F3131"/>
      <c r="G3131" s="85"/>
      <c r="H3131" s="85"/>
      <c r="I3131" s="84"/>
      <c r="J3131" s="85"/>
      <c r="K3131" s="85"/>
      <c r="L3131"/>
      <c r="M3131"/>
      <c r="N3131"/>
      <c r="O3131"/>
      <c r="P3131"/>
      <c r="Q3131"/>
      <c r="R3131"/>
      <c r="S3131"/>
    </row>
    <row r="3132" spans="1:19">
      <c r="A3132" s="23">
        <v>76</v>
      </c>
      <c r="B3132" t="s">
        <v>1028</v>
      </c>
      <c r="E3132" s="85"/>
      <c r="G3132" s="85"/>
      <c r="H3132" s="85"/>
      <c r="I3132" s="84"/>
      <c r="J3132" s="85"/>
      <c r="K3132" s="85"/>
    </row>
    <row r="3133" spans="1:19" s="3" customFormat="1">
      <c r="A3133" s="23">
        <v>0</v>
      </c>
      <c r="B3133" t="s">
        <v>1028</v>
      </c>
      <c r="C3133"/>
      <c r="D3133"/>
      <c r="E3133" s="85"/>
      <c r="F3133"/>
      <c r="G3133" s="85"/>
      <c r="H3133" s="85"/>
      <c r="I3133" s="84"/>
      <c r="J3133" s="85"/>
      <c r="K3133" s="85"/>
      <c r="L3133"/>
      <c r="M3133"/>
      <c r="N3133"/>
      <c r="O3133"/>
      <c r="P3133"/>
      <c r="Q3133"/>
      <c r="R3133"/>
      <c r="S3133"/>
    </row>
    <row r="3134" spans="1:19" s="3" customFormat="1">
      <c r="A3134" s="23">
        <v>0</v>
      </c>
      <c r="B3134" t="s">
        <v>1028</v>
      </c>
      <c r="C3134"/>
      <c r="D3134"/>
      <c r="E3134" s="85"/>
      <c r="F3134"/>
      <c r="G3134" s="85"/>
      <c r="H3134" s="85"/>
      <c r="I3134" s="84"/>
      <c r="J3134" s="85"/>
      <c r="K3134" s="85"/>
      <c r="L3134"/>
      <c r="M3134"/>
      <c r="N3134"/>
      <c r="O3134"/>
      <c r="P3134"/>
      <c r="Q3134"/>
      <c r="R3134"/>
      <c r="S3134"/>
    </row>
    <row r="3135" spans="1:19" s="3" customFormat="1">
      <c r="A3135" s="23">
        <v>78</v>
      </c>
      <c r="B3135" t="s">
        <v>1028</v>
      </c>
      <c r="C3135" t="s">
        <v>1032</v>
      </c>
      <c r="D3135"/>
      <c r="E3135" s="85"/>
      <c r="F3135"/>
      <c r="G3135" s="85"/>
      <c r="H3135" s="85"/>
      <c r="I3135" s="84"/>
      <c r="J3135" s="85"/>
      <c r="K3135" s="85"/>
      <c r="L3135"/>
      <c r="M3135"/>
      <c r="N3135"/>
      <c r="O3135"/>
      <c r="P3135"/>
      <c r="Q3135"/>
      <c r="R3135"/>
      <c r="S3135"/>
    </row>
    <row r="3136" spans="1:19" s="3" customFormat="1">
      <c r="A3136" s="23">
        <v>79</v>
      </c>
      <c r="B3136" t="s">
        <v>1028</v>
      </c>
      <c r="C3136"/>
      <c r="D3136"/>
      <c r="E3136" s="85"/>
      <c r="F3136"/>
      <c r="G3136" s="85"/>
      <c r="H3136" s="85"/>
      <c r="I3136" s="84"/>
      <c r="J3136" s="85"/>
      <c r="K3136" s="85"/>
      <c r="L3136"/>
      <c r="M3136"/>
      <c r="N3136"/>
      <c r="O3136"/>
      <c r="P3136"/>
      <c r="Q3136"/>
      <c r="R3136"/>
      <c r="S3136"/>
    </row>
    <row r="3137" spans="1:19" s="3" customFormat="1">
      <c r="A3137" s="23">
        <v>81</v>
      </c>
      <c r="B3137" t="s">
        <v>1028</v>
      </c>
      <c r="C3137"/>
      <c r="D3137"/>
      <c r="E3137" s="85"/>
      <c r="F3137"/>
      <c r="G3137" s="85"/>
      <c r="H3137" s="85"/>
      <c r="I3137" s="84"/>
      <c r="J3137" s="85"/>
      <c r="K3137" s="85"/>
      <c r="L3137"/>
      <c r="M3137"/>
      <c r="N3137"/>
      <c r="O3137"/>
      <c r="P3137"/>
      <c r="Q3137"/>
      <c r="R3137"/>
      <c r="S3137"/>
    </row>
    <row r="3138" spans="1:19" s="3" customFormat="1">
      <c r="A3138" s="23">
        <v>0</v>
      </c>
      <c r="B3138" t="s">
        <v>1028</v>
      </c>
      <c r="C3138"/>
      <c r="D3138"/>
      <c r="E3138" s="85"/>
      <c r="F3138"/>
      <c r="G3138" s="85"/>
      <c r="H3138" s="85"/>
      <c r="I3138" s="84"/>
      <c r="J3138" s="85"/>
      <c r="K3138" s="85"/>
      <c r="L3138"/>
      <c r="M3138"/>
      <c r="N3138"/>
      <c r="O3138"/>
      <c r="P3138"/>
      <c r="Q3138"/>
      <c r="R3138"/>
      <c r="S3138"/>
    </row>
    <row r="3139" spans="1:19" s="3" customFormat="1">
      <c r="A3139" s="23">
        <v>0</v>
      </c>
      <c r="B3139" t="s">
        <v>1028</v>
      </c>
      <c r="C3139" t="s">
        <v>1033</v>
      </c>
      <c r="D3139"/>
      <c r="E3139" s="85"/>
      <c r="F3139"/>
      <c r="G3139" s="85"/>
      <c r="H3139"/>
      <c r="I3139"/>
      <c r="J3139"/>
      <c r="K3139"/>
      <c r="L3139"/>
      <c r="M3139"/>
      <c r="N3139"/>
      <c r="O3139"/>
      <c r="P3139"/>
      <c r="Q3139"/>
      <c r="R3139"/>
      <c r="S3139"/>
    </row>
    <row r="3140" spans="1:19" s="3" customFormat="1">
      <c r="A3140" s="23">
        <v>198</v>
      </c>
      <c r="B3140" t="s">
        <v>1028</v>
      </c>
      <c r="C3140"/>
      <c r="D3140"/>
      <c r="E3140" s="85"/>
      <c r="F3140"/>
      <c r="G3140" s="85"/>
      <c r="H3140"/>
      <c r="I3140"/>
      <c r="J3140"/>
      <c r="K3140"/>
      <c r="L3140"/>
      <c r="M3140"/>
      <c r="N3140"/>
      <c r="O3140"/>
      <c r="P3140"/>
      <c r="Q3140"/>
      <c r="R3140"/>
      <c r="S3140"/>
    </row>
    <row r="3141" spans="1:19" s="3" customFormat="1">
      <c r="A3141" s="36" t="s">
        <v>277</v>
      </c>
      <c r="B3141" s="54">
        <f>B2896+1</f>
        <v>19</v>
      </c>
      <c r="C3141" s="36" t="s">
        <v>759</v>
      </c>
      <c r="D3141" s="36"/>
      <c r="E3141" s="36"/>
      <c r="F3141" s="36"/>
      <c r="G3141" s="36"/>
      <c r="H3141" s="36"/>
      <c r="I3141" s="36"/>
      <c r="J3141" s="36"/>
      <c r="K3141" s="36"/>
      <c r="L3141" s="36"/>
      <c r="M3141" s="36"/>
      <c r="N3141" s="36"/>
      <c r="O3141" s="36"/>
      <c r="P3141" s="36"/>
      <c r="Q3141"/>
      <c r="R3141"/>
      <c r="S3141"/>
    </row>
    <row r="3142" spans="1:19" s="3" customFormat="1">
      <c r="A3142" s="1" t="s">
        <v>2</v>
      </c>
      <c r="B3142" s="2" t="s">
        <v>3</v>
      </c>
      <c r="C3142"/>
      <c r="D3142"/>
      <c r="E3142"/>
      <c r="F3142" s="2" t="s">
        <v>760</v>
      </c>
      <c r="G3142"/>
      <c r="H3142"/>
      <c r="I3142"/>
      <c r="J3142"/>
      <c r="K3142" s="40"/>
      <c r="L3142" s="40"/>
      <c r="M3142" s="40"/>
      <c r="N3142" s="40"/>
      <c r="O3142" s="40"/>
      <c r="P3142" s="40"/>
    </row>
    <row r="3143" spans="1:19" s="3" customFormat="1">
      <c r="A3143" s="6">
        <v>0</v>
      </c>
      <c r="B3143" s="6">
        <v>0</v>
      </c>
      <c r="C3143" s="6">
        <v>0</v>
      </c>
      <c r="D3143" s="2" t="s">
        <v>3</v>
      </c>
      <c r="E3143"/>
      <c r="F3143" s="2" t="s">
        <v>761</v>
      </c>
      <c r="G3143"/>
      <c r="H3143"/>
      <c r="I3143"/>
      <c r="J3143"/>
      <c r="K3143" s="40"/>
      <c r="L3143" s="40"/>
      <c r="M3143" s="40"/>
      <c r="N3143" s="40"/>
      <c r="O3143" s="40"/>
      <c r="P3143" s="40"/>
    </row>
    <row r="3144" spans="1:19" s="3" customFormat="1">
      <c r="A3144" s="6">
        <v>0</v>
      </c>
      <c r="B3144" s="6">
        <v>0</v>
      </c>
      <c r="C3144" s="6">
        <v>0</v>
      </c>
      <c r="D3144" s="2" t="s">
        <v>3</v>
      </c>
      <c r="E3144"/>
      <c r="F3144" s="2" t="s">
        <v>762</v>
      </c>
      <c r="G3144"/>
      <c r="H3144"/>
      <c r="I3144"/>
      <c r="J3144"/>
      <c r="K3144" s="40"/>
      <c r="L3144" s="40"/>
      <c r="M3144" s="40"/>
      <c r="N3144" s="40"/>
      <c r="O3144" s="40"/>
      <c r="P3144" s="40"/>
    </row>
    <row r="3145" spans="1:19" s="3" customFormat="1">
      <c r="A3145" s="6">
        <v>0</v>
      </c>
      <c r="B3145" s="6">
        <v>0</v>
      </c>
      <c r="C3145" s="6">
        <v>0</v>
      </c>
      <c r="D3145" s="2" t="s">
        <v>3</v>
      </c>
      <c r="E3145" s="34"/>
      <c r="F3145" s="2" t="s">
        <v>763</v>
      </c>
      <c r="G3145"/>
      <c r="H3145"/>
      <c r="I3145"/>
      <c r="J3145"/>
      <c r="K3145" s="40"/>
      <c r="L3145" s="40"/>
      <c r="M3145" s="40"/>
      <c r="N3145" s="40"/>
      <c r="O3145" s="40"/>
      <c r="P3145" s="40"/>
    </row>
    <row r="3146" spans="1:19" s="3" customFormat="1">
      <c r="A3146" s="6">
        <v>0</v>
      </c>
      <c r="B3146" s="6">
        <v>0</v>
      </c>
      <c r="C3146" s="6">
        <v>0</v>
      </c>
      <c r="D3146" s="2" t="s">
        <v>3</v>
      </c>
      <c r="E3146" s="34"/>
      <c r="F3146" s="2" t="s">
        <v>764</v>
      </c>
      <c r="G3146"/>
      <c r="H3146"/>
      <c r="I3146"/>
      <c r="J3146"/>
      <c r="K3146" s="40"/>
      <c r="L3146" s="40"/>
      <c r="M3146" s="40"/>
      <c r="N3146" s="40"/>
      <c r="O3146" s="40"/>
      <c r="P3146" s="40"/>
    </row>
    <row r="3147" spans="1:19" s="3" customFormat="1">
      <c r="A3147" s="6">
        <v>0</v>
      </c>
      <c r="B3147" s="2" t="s">
        <v>3</v>
      </c>
      <c r="E3147" s="40"/>
      <c r="F3147" s="2" t="s">
        <v>11</v>
      </c>
      <c r="G3147" s="40"/>
      <c r="H3147" s="40"/>
      <c r="I3147" s="40"/>
      <c r="J3147" s="40"/>
      <c r="K3147" s="40"/>
      <c r="L3147" s="40"/>
      <c r="M3147" s="40"/>
      <c r="N3147" s="40"/>
      <c r="O3147" s="40"/>
      <c r="P3147" s="40"/>
    </row>
    <row r="3148" spans="1:19" s="3" customFormat="1">
      <c r="A3148" s="6">
        <v>0</v>
      </c>
      <c r="B3148" s="2" t="s">
        <v>3</v>
      </c>
      <c r="E3148" s="40"/>
      <c r="F3148" s="2" t="s">
        <v>11</v>
      </c>
      <c r="G3148" s="40"/>
      <c r="H3148" s="40"/>
      <c r="I3148" s="40"/>
      <c r="J3148" s="40"/>
      <c r="K3148" s="40"/>
      <c r="L3148" s="40"/>
      <c r="M3148" s="40"/>
      <c r="N3148" s="40"/>
      <c r="O3148" s="40"/>
      <c r="P3148" s="40"/>
    </row>
    <row r="3149" spans="1:19" s="3" customFormat="1">
      <c r="A3149" s="6">
        <v>0</v>
      </c>
      <c r="B3149" s="2" t="s">
        <v>3</v>
      </c>
      <c r="C3149" s="40"/>
      <c r="D3149" s="40"/>
      <c r="E3149" s="40"/>
      <c r="F3149" s="2" t="s">
        <v>11</v>
      </c>
      <c r="G3149" s="40"/>
      <c r="H3149" s="40"/>
      <c r="I3149" s="40"/>
      <c r="J3149" s="40"/>
      <c r="K3149" s="40"/>
      <c r="L3149" s="40"/>
      <c r="M3149" s="40"/>
      <c r="N3149" s="40"/>
      <c r="O3149" s="40"/>
      <c r="P3149" s="40"/>
    </row>
    <row r="3150" spans="1:19" s="3" customFormat="1">
      <c r="A3150" s="6">
        <v>0</v>
      </c>
      <c r="B3150" s="2" t="s">
        <v>3</v>
      </c>
      <c r="C3150" s="40"/>
      <c r="D3150" s="40"/>
      <c r="E3150" s="40"/>
      <c r="F3150" s="2" t="s">
        <v>11</v>
      </c>
      <c r="G3150" s="40"/>
      <c r="H3150" s="40"/>
      <c r="I3150" s="40"/>
      <c r="J3150" s="40"/>
      <c r="K3150" s="40"/>
      <c r="L3150" s="40"/>
      <c r="M3150" s="40"/>
      <c r="N3150" s="40"/>
      <c r="O3150" s="40"/>
      <c r="P3150" s="40"/>
    </row>
    <row r="3151" spans="1:19" s="3" customFormat="1">
      <c r="A3151" s="3" t="s">
        <v>176</v>
      </c>
      <c r="B3151" s="3" t="s">
        <v>3</v>
      </c>
      <c r="C3151" s="15"/>
      <c r="F3151" s="2"/>
      <c r="G3151" s="40"/>
      <c r="H3151" s="40"/>
      <c r="I3151" s="40"/>
      <c r="J3151" s="40"/>
      <c r="K3151" s="40"/>
      <c r="L3151" s="40"/>
      <c r="M3151" s="40"/>
      <c r="N3151" s="40"/>
      <c r="O3151" s="40"/>
      <c r="P3151" s="40"/>
    </row>
    <row r="3152" spans="1:19" s="3" customFormat="1">
      <c r="A3152" s="48" t="s">
        <v>765</v>
      </c>
      <c r="B3152" s="26"/>
      <c r="C3152" s="26"/>
      <c r="D3152" s="48"/>
      <c r="G3152" s="40"/>
      <c r="H3152" s="40"/>
      <c r="I3152" s="40"/>
      <c r="J3152" s="40"/>
      <c r="K3152" s="40"/>
      <c r="L3152" s="40"/>
      <c r="M3152" s="40"/>
      <c r="N3152" s="40"/>
      <c r="O3152" s="40"/>
      <c r="P3152" s="40"/>
    </row>
    <row r="3153" spans="1:17" s="3" customFormat="1">
      <c r="A3153" s="8">
        <f>HEX2DEC(42)</f>
        <v>66</v>
      </c>
      <c r="B3153" s="8">
        <f t="shared" ref="B3153:G3153" si="85">HEX2DEC(42)</f>
        <v>66</v>
      </c>
      <c r="C3153" s="8">
        <f t="shared" si="85"/>
        <v>66</v>
      </c>
      <c r="D3153" s="8">
        <f t="shared" si="85"/>
        <v>66</v>
      </c>
      <c r="E3153" s="8">
        <f t="shared" si="85"/>
        <v>66</v>
      </c>
      <c r="F3153" s="8">
        <f t="shared" si="85"/>
        <v>66</v>
      </c>
      <c r="G3153" s="8">
        <f t="shared" si="85"/>
        <v>66</v>
      </c>
      <c r="H3153" s="8">
        <f>HEX2DEC(0)</f>
        <v>0</v>
      </c>
      <c r="I3153" s="3" t="s">
        <v>3</v>
      </c>
      <c r="J3153" s="40"/>
      <c r="K3153" s="40"/>
      <c r="L3153" s="40"/>
      <c r="M3153" s="40"/>
      <c r="N3153" s="40"/>
      <c r="O3153" s="40"/>
      <c r="P3153" s="40"/>
    </row>
    <row r="3154" spans="1:17" s="3" customFormat="1">
      <c r="A3154" s="1" t="s">
        <v>2</v>
      </c>
      <c r="B3154" s="2" t="s">
        <v>3</v>
      </c>
      <c r="C3154"/>
      <c r="D3154"/>
      <c r="E3154"/>
      <c r="F3154" s="2" t="s">
        <v>766</v>
      </c>
      <c r="G3154"/>
      <c r="H3154"/>
      <c r="I3154"/>
      <c r="J3154"/>
      <c r="K3154" s="40"/>
      <c r="L3154" s="40"/>
      <c r="M3154" s="40"/>
      <c r="N3154" s="40"/>
      <c r="O3154" s="40"/>
      <c r="P3154" s="40"/>
    </row>
    <row r="3155" spans="1:17" s="3" customFormat="1">
      <c r="A3155" s="6">
        <v>0</v>
      </c>
      <c r="B3155" s="6">
        <v>0</v>
      </c>
      <c r="C3155" s="6">
        <v>0</v>
      </c>
      <c r="D3155" s="2" t="s">
        <v>3</v>
      </c>
      <c r="E3155"/>
      <c r="F3155" s="2" t="s">
        <v>763</v>
      </c>
      <c r="G3155"/>
      <c r="I3155"/>
      <c r="J3155"/>
      <c r="K3155" s="40"/>
      <c r="L3155" s="40"/>
      <c r="M3155" s="40"/>
      <c r="N3155" s="40"/>
      <c r="O3155" s="40"/>
      <c r="P3155" s="40"/>
    </row>
    <row r="3156" spans="1:17" s="3" customFormat="1">
      <c r="A3156" s="6">
        <v>0</v>
      </c>
      <c r="B3156" s="6">
        <v>0</v>
      </c>
      <c r="C3156" s="6">
        <v>0</v>
      </c>
      <c r="D3156" s="2" t="s">
        <v>3</v>
      </c>
      <c r="E3156"/>
      <c r="F3156" s="2" t="s">
        <v>767</v>
      </c>
      <c r="G3156"/>
      <c r="H3156"/>
      <c r="I3156"/>
      <c r="J3156"/>
      <c r="K3156" s="40"/>
      <c r="L3156" s="40"/>
      <c r="M3156" s="40"/>
      <c r="N3156" s="40"/>
      <c r="O3156" s="40"/>
      <c r="P3156" s="40"/>
    </row>
    <row r="3157" spans="1:17" s="3" customFormat="1">
      <c r="A3157" s="6">
        <v>0</v>
      </c>
      <c r="B3157" s="6">
        <v>0</v>
      </c>
      <c r="C3157" s="6">
        <v>0</v>
      </c>
      <c r="D3157" s="2" t="s">
        <v>3</v>
      </c>
      <c r="E3157" s="34"/>
      <c r="F3157" s="2" t="s">
        <v>764</v>
      </c>
      <c r="G3157"/>
      <c r="H3157"/>
      <c r="I3157"/>
      <c r="J3157"/>
      <c r="K3157" s="40"/>
      <c r="L3157" s="40"/>
      <c r="M3157" s="40"/>
      <c r="N3157" s="40"/>
      <c r="O3157" s="40"/>
      <c r="P3157" s="40"/>
    </row>
    <row r="3158" spans="1:17" s="3" customFormat="1">
      <c r="A3158" s="6">
        <v>0</v>
      </c>
      <c r="B3158" s="2" t="s">
        <v>3</v>
      </c>
      <c r="E3158" s="40"/>
      <c r="F3158" s="2" t="s">
        <v>11</v>
      </c>
      <c r="G3158" s="40"/>
      <c r="H3158" s="40"/>
      <c r="I3158" s="40"/>
      <c r="J3158" s="40"/>
      <c r="K3158" s="40"/>
      <c r="L3158" s="40"/>
      <c r="M3158" s="40"/>
      <c r="N3158" s="40"/>
      <c r="O3158" s="40"/>
      <c r="P3158" s="40"/>
    </row>
    <row r="3159" spans="1:17" s="3" customFormat="1">
      <c r="A3159" s="6">
        <v>0</v>
      </c>
      <c r="B3159" s="2" t="s">
        <v>3</v>
      </c>
      <c r="E3159" s="40"/>
      <c r="F3159" s="2" t="s">
        <v>11</v>
      </c>
      <c r="G3159" s="40"/>
      <c r="H3159" s="40"/>
      <c r="I3159" s="40"/>
      <c r="J3159" s="40"/>
      <c r="K3159" s="40"/>
      <c r="L3159" s="40"/>
      <c r="M3159" s="40"/>
      <c r="N3159" s="40"/>
      <c r="O3159" s="40"/>
      <c r="P3159" s="40"/>
    </row>
    <row r="3160" spans="1:17" s="3" customFormat="1">
      <c r="A3160" s="6">
        <v>0</v>
      </c>
      <c r="B3160" s="2" t="s">
        <v>3</v>
      </c>
      <c r="C3160" s="40"/>
      <c r="D3160" s="40"/>
      <c r="E3160" s="40"/>
      <c r="F3160" s="2" t="s">
        <v>11</v>
      </c>
      <c r="G3160" s="40"/>
      <c r="H3160" s="40"/>
      <c r="I3160" s="40"/>
      <c r="J3160" s="40"/>
      <c r="K3160" s="40"/>
      <c r="L3160" s="40"/>
      <c r="M3160" s="40"/>
      <c r="N3160" s="40"/>
      <c r="O3160" s="40"/>
      <c r="P3160" s="40"/>
    </row>
    <row r="3161" spans="1:17" s="3" customFormat="1">
      <c r="A3161" s="6">
        <v>0</v>
      </c>
      <c r="B3161" s="2" t="s">
        <v>3</v>
      </c>
      <c r="C3161" s="40"/>
      <c r="D3161" s="40"/>
      <c r="E3161" s="40"/>
      <c r="F3161" s="2" t="s">
        <v>11</v>
      </c>
      <c r="G3161" s="40"/>
      <c r="H3161" s="40"/>
      <c r="I3161" s="40"/>
      <c r="J3161" s="40"/>
      <c r="K3161" s="40"/>
      <c r="L3161" s="40"/>
      <c r="M3161" s="40"/>
      <c r="N3161" s="40"/>
      <c r="O3161" s="40"/>
      <c r="P3161" s="40"/>
    </row>
    <row r="3162" spans="1:17" s="3" customFormat="1">
      <c r="A3162" s="6">
        <v>0</v>
      </c>
      <c r="B3162" s="2" t="s">
        <v>3</v>
      </c>
      <c r="F3162" s="2" t="s">
        <v>11</v>
      </c>
      <c r="J3162" s="40"/>
      <c r="K3162" s="40"/>
      <c r="L3162" s="40"/>
      <c r="M3162" s="40"/>
      <c r="N3162" s="40"/>
      <c r="O3162" s="40"/>
      <c r="P3162" s="40"/>
    </row>
    <row r="3163" spans="1:17" s="3" customFormat="1">
      <c r="A3163" s="6">
        <v>0</v>
      </c>
      <c r="B3163" s="2" t="s">
        <v>3</v>
      </c>
      <c r="F3163" s="2" t="s">
        <v>11</v>
      </c>
      <c r="J3163" s="40"/>
      <c r="K3163" s="40"/>
      <c r="L3163" s="40"/>
      <c r="M3163" s="40"/>
      <c r="N3163" s="40"/>
      <c r="O3163" s="40"/>
      <c r="P3163" s="40"/>
    </row>
    <row r="3164" spans="1:17" s="3" customFormat="1">
      <c r="A3164" s="6">
        <v>0</v>
      </c>
      <c r="B3164" s="2" t="s">
        <v>3</v>
      </c>
      <c r="F3164" s="2" t="s">
        <v>11</v>
      </c>
      <c r="J3164" s="40"/>
      <c r="K3164" s="40"/>
      <c r="L3164" s="40"/>
      <c r="M3164" s="40"/>
      <c r="N3164" s="40"/>
      <c r="O3164" s="40"/>
      <c r="P3164" s="40"/>
    </row>
    <row r="3165" spans="1:17" s="3" customFormat="1">
      <c r="A3165" s="3" t="s">
        <v>176</v>
      </c>
      <c r="B3165" s="3" t="s">
        <v>3</v>
      </c>
      <c r="C3165" s="15"/>
      <c r="G3165" s="40"/>
      <c r="H3165" s="40"/>
      <c r="I3165" s="40"/>
      <c r="J3165" s="40"/>
      <c r="K3165" s="40"/>
      <c r="L3165" s="40"/>
      <c r="M3165" s="40"/>
      <c r="N3165" s="40"/>
      <c r="O3165" s="40"/>
      <c r="P3165" s="40"/>
    </row>
    <row r="3166" spans="1:17" s="3" customFormat="1">
      <c r="A3166" s="48" t="s">
        <v>768</v>
      </c>
      <c r="B3166" s="26"/>
      <c r="C3166" s="26"/>
      <c r="D3166" s="48"/>
      <c r="G3166" s="40"/>
      <c r="H3166" s="40"/>
      <c r="I3166" s="40"/>
      <c r="J3166" s="40"/>
      <c r="K3166" s="40"/>
      <c r="L3166" s="40"/>
      <c r="M3166" s="40"/>
      <c r="N3166" s="40"/>
      <c r="O3166" s="40"/>
      <c r="P3166" s="40"/>
    </row>
    <row r="3167" spans="1:17" s="3" customFormat="1">
      <c r="A3167" s="8">
        <f>HEX2DEC(41)</f>
        <v>65</v>
      </c>
      <c r="B3167" s="8">
        <f t="shared" ref="B3167:H3167" si="86">HEX2DEC(41)</f>
        <v>65</v>
      </c>
      <c r="C3167" s="8">
        <f t="shared" si="86"/>
        <v>65</v>
      </c>
      <c r="D3167" s="8">
        <f t="shared" si="86"/>
        <v>65</v>
      </c>
      <c r="E3167" s="8">
        <f t="shared" si="86"/>
        <v>65</v>
      </c>
      <c r="F3167" s="8">
        <f t="shared" si="86"/>
        <v>65</v>
      </c>
      <c r="G3167" s="8">
        <f t="shared" si="86"/>
        <v>65</v>
      </c>
      <c r="H3167" s="8">
        <f t="shared" si="86"/>
        <v>65</v>
      </c>
      <c r="I3167" s="3" t="s">
        <v>3</v>
      </c>
      <c r="J3167" s="40"/>
      <c r="K3167" s="40"/>
      <c r="L3167" s="40"/>
      <c r="M3167" s="40"/>
      <c r="N3167" s="40"/>
      <c r="O3167" s="40"/>
      <c r="P3167" s="40"/>
    </row>
    <row r="3168" spans="1:17" ht="15">
      <c r="A3168" s="137" t="s">
        <v>1288</v>
      </c>
      <c r="B3168" s="137"/>
      <c r="C3168" s="137"/>
      <c r="D3168" s="137"/>
      <c r="E3168" s="137"/>
      <c r="F3168" s="137"/>
      <c r="G3168" s="137"/>
      <c r="H3168" s="137"/>
      <c r="I3168" s="137"/>
      <c r="J3168" s="137"/>
      <c r="K3168" s="137"/>
      <c r="L3168" s="137"/>
      <c r="M3168" s="137"/>
      <c r="N3168" s="137"/>
      <c r="O3168" s="137"/>
      <c r="P3168" s="137"/>
      <c r="Q3168" s="137"/>
    </row>
    <row r="3169" spans="1:19">
      <c r="A3169" s="138">
        <v>21</v>
      </c>
      <c r="B3169" s="138">
        <v>21</v>
      </c>
      <c r="C3169" s="138">
        <v>21</v>
      </c>
      <c r="D3169" s="138">
        <v>21</v>
      </c>
      <c r="E3169" s="139" t="s">
        <v>1223</v>
      </c>
      <c r="F3169" s="139" t="s">
        <v>1223</v>
      </c>
      <c r="G3169" s="140">
        <v>32</v>
      </c>
      <c r="H3169" s="140">
        <v>32</v>
      </c>
      <c r="I3169" s="140">
        <v>32</v>
      </c>
      <c r="J3169" s="140">
        <v>32</v>
      </c>
      <c r="K3169" s="140">
        <v>32</v>
      </c>
      <c r="L3169" s="140">
        <v>32</v>
      </c>
      <c r="M3169" s="139" t="s">
        <v>1223</v>
      </c>
      <c r="N3169" s="139" t="s">
        <v>1223</v>
      </c>
      <c r="O3169" s="139" t="s">
        <v>1223</v>
      </c>
      <c r="P3169" s="139" t="s">
        <v>1223</v>
      </c>
      <c r="Q3169" s="141" t="s">
        <v>1224</v>
      </c>
      <c r="R3169" s="3"/>
      <c r="S3169" s="3"/>
    </row>
    <row r="3170" spans="1:19">
      <c r="A3170" s="139" t="s">
        <v>1223</v>
      </c>
      <c r="B3170" s="139" t="s">
        <v>1223</v>
      </c>
      <c r="C3170" s="139" t="s">
        <v>1223</v>
      </c>
      <c r="D3170" s="139" t="s">
        <v>1223</v>
      </c>
      <c r="E3170" s="139" t="s">
        <v>1223</v>
      </c>
      <c r="F3170" s="139" t="s">
        <v>1223</v>
      </c>
      <c r="G3170" s="139" t="s">
        <v>1223</v>
      </c>
      <c r="H3170" s="139" t="s">
        <v>1223</v>
      </c>
      <c r="I3170" s="139" t="s">
        <v>1223</v>
      </c>
      <c r="J3170" s="139" t="s">
        <v>1223</v>
      </c>
      <c r="K3170" s="139" t="s">
        <v>1223</v>
      </c>
      <c r="L3170" s="139" t="s">
        <v>1223</v>
      </c>
      <c r="M3170" s="139" t="s">
        <v>1223</v>
      </c>
      <c r="N3170" s="139" t="s">
        <v>1223</v>
      </c>
      <c r="O3170" s="139" t="s">
        <v>1223</v>
      </c>
      <c r="P3170" s="139" t="s">
        <v>1223</v>
      </c>
      <c r="Q3170" s="141" t="s">
        <v>1225</v>
      </c>
      <c r="R3170" s="3"/>
      <c r="S3170" s="3"/>
    </row>
    <row r="3171" spans="1:19">
      <c r="A3171" s="139" t="s">
        <v>1223</v>
      </c>
      <c r="B3171" s="139" t="s">
        <v>1223</v>
      </c>
      <c r="C3171" s="139" t="s">
        <v>1223</v>
      </c>
      <c r="D3171" s="139" t="s">
        <v>1223</v>
      </c>
      <c r="E3171" s="139" t="s">
        <v>1223</v>
      </c>
      <c r="F3171" s="139" t="s">
        <v>1223</v>
      </c>
      <c r="G3171" s="139" t="s">
        <v>1223</v>
      </c>
      <c r="H3171" s="139" t="s">
        <v>1223</v>
      </c>
      <c r="I3171" s="139" t="s">
        <v>1223</v>
      </c>
      <c r="J3171" s="139" t="s">
        <v>1223</v>
      </c>
      <c r="K3171" s="139" t="s">
        <v>1223</v>
      </c>
      <c r="L3171" s="139" t="s">
        <v>1223</v>
      </c>
      <c r="M3171" s="139" t="s">
        <v>1223</v>
      </c>
      <c r="N3171" s="139" t="s">
        <v>1223</v>
      </c>
      <c r="O3171" s="139" t="s">
        <v>1223</v>
      </c>
      <c r="P3171" s="139" t="s">
        <v>1223</v>
      </c>
      <c r="Q3171" s="141" t="s">
        <v>1226</v>
      </c>
      <c r="R3171" s="3"/>
      <c r="S3171" s="3"/>
    </row>
    <row r="3172" spans="1:19">
      <c r="A3172" s="139" t="s">
        <v>1223</v>
      </c>
      <c r="B3172" s="139" t="s">
        <v>1223</v>
      </c>
      <c r="C3172" s="139" t="s">
        <v>1223</v>
      </c>
      <c r="D3172" s="139" t="s">
        <v>1223</v>
      </c>
      <c r="E3172" s="139" t="s">
        <v>1223</v>
      </c>
      <c r="F3172" s="139" t="s">
        <v>1223</v>
      </c>
      <c r="G3172" s="139" t="s">
        <v>1223</v>
      </c>
      <c r="H3172" s="139" t="s">
        <v>1223</v>
      </c>
      <c r="I3172" s="139" t="s">
        <v>1223</v>
      </c>
      <c r="J3172" s="139" t="s">
        <v>1223</v>
      </c>
      <c r="K3172" s="139" t="s">
        <v>1223</v>
      </c>
      <c r="L3172" s="139" t="s">
        <v>1223</v>
      </c>
      <c r="M3172" s="139" t="s">
        <v>1223</v>
      </c>
      <c r="N3172" s="139" t="s">
        <v>1223</v>
      </c>
      <c r="O3172" s="139" t="s">
        <v>1223</v>
      </c>
      <c r="P3172" s="139" t="s">
        <v>1223</v>
      </c>
      <c r="Q3172" s="141" t="s">
        <v>1227</v>
      </c>
      <c r="R3172" s="3"/>
      <c r="S3172" s="3"/>
    </row>
    <row r="3173" spans="1:19">
      <c r="A3173" s="139" t="s">
        <v>1223</v>
      </c>
      <c r="B3173" s="139" t="s">
        <v>1223</v>
      </c>
      <c r="C3173" s="139" t="s">
        <v>1223</v>
      </c>
      <c r="D3173" s="139" t="s">
        <v>1223</v>
      </c>
      <c r="E3173" s="139" t="s">
        <v>1223</v>
      </c>
      <c r="F3173" s="139" t="s">
        <v>1223</v>
      </c>
      <c r="G3173" s="139" t="s">
        <v>1223</v>
      </c>
      <c r="H3173" s="139" t="s">
        <v>1223</v>
      </c>
      <c r="I3173" s="139" t="s">
        <v>1223</v>
      </c>
      <c r="J3173" s="139" t="s">
        <v>1223</v>
      </c>
      <c r="K3173" s="139" t="s">
        <v>1223</v>
      </c>
      <c r="L3173" s="139" t="s">
        <v>1223</v>
      </c>
      <c r="M3173" s="139" t="s">
        <v>1223</v>
      </c>
      <c r="N3173" s="139" t="s">
        <v>1223</v>
      </c>
      <c r="O3173" s="139" t="s">
        <v>1223</v>
      </c>
      <c r="P3173" s="139" t="s">
        <v>1223</v>
      </c>
      <c r="Q3173" s="141" t="s">
        <v>1228</v>
      </c>
      <c r="R3173" s="3"/>
      <c r="S3173" s="3"/>
    </row>
    <row r="3174" spans="1:19">
      <c r="A3174" s="139" t="s">
        <v>1223</v>
      </c>
      <c r="B3174" s="139" t="s">
        <v>1223</v>
      </c>
      <c r="C3174" s="139" t="s">
        <v>1223</v>
      </c>
      <c r="D3174" s="139" t="s">
        <v>1223</v>
      </c>
      <c r="E3174" s="139" t="s">
        <v>1223</v>
      </c>
      <c r="F3174" s="139" t="s">
        <v>1223</v>
      </c>
      <c r="G3174" s="139" t="s">
        <v>1223</v>
      </c>
      <c r="H3174" s="139" t="s">
        <v>1223</v>
      </c>
      <c r="I3174" s="139" t="s">
        <v>1223</v>
      </c>
      <c r="J3174" s="139" t="s">
        <v>1223</v>
      </c>
      <c r="K3174" s="139" t="s">
        <v>1223</v>
      </c>
      <c r="L3174" s="139" t="s">
        <v>1223</v>
      </c>
      <c r="M3174" s="139" t="s">
        <v>1223</v>
      </c>
      <c r="N3174" s="139" t="s">
        <v>1223</v>
      </c>
      <c r="O3174" s="139" t="s">
        <v>1223</v>
      </c>
      <c r="P3174" s="139" t="s">
        <v>1223</v>
      </c>
      <c r="Q3174" s="141" t="s">
        <v>1229</v>
      </c>
      <c r="R3174" s="3"/>
      <c r="S3174" s="3"/>
    </row>
    <row r="3175" spans="1:19">
      <c r="A3175" s="139" t="s">
        <v>1223</v>
      </c>
      <c r="B3175" s="139" t="s">
        <v>1223</v>
      </c>
      <c r="C3175" s="139" t="s">
        <v>1223</v>
      </c>
      <c r="D3175" s="139" t="s">
        <v>1223</v>
      </c>
      <c r="E3175" s="139" t="s">
        <v>1223</v>
      </c>
      <c r="F3175" s="139" t="s">
        <v>1223</v>
      </c>
      <c r="G3175" s="139" t="s">
        <v>1223</v>
      </c>
      <c r="H3175" s="139" t="s">
        <v>1223</v>
      </c>
      <c r="I3175" s="139" t="s">
        <v>1223</v>
      </c>
      <c r="J3175" s="139" t="s">
        <v>1223</v>
      </c>
      <c r="K3175" s="139" t="s">
        <v>1223</v>
      </c>
      <c r="L3175" s="139" t="s">
        <v>1223</v>
      </c>
      <c r="M3175" s="139" t="s">
        <v>1223</v>
      </c>
      <c r="N3175" s="139" t="s">
        <v>1223</v>
      </c>
      <c r="O3175" s="139" t="s">
        <v>1223</v>
      </c>
      <c r="P3175" s="139" t="s">
        <v>1223</v>
      </c>
      <c r="Q3175" s="141" t="s">
        <v>1230</v>
      </c>
      <c r="R3175" s="3"/>
      <c r="S3175" s="3"/>
    </row>
    <row r="3176" spans="1:19">
      <c r="A3176" s="139" t="s">
        <v>1223</v>
      </c>
      <c r="B3176" s="139" t="s">
        <v>1223</v>
      </c>
      <c r="C3176" s="139" t="s">
        <v>1223</v>
      </c>
      <c r="D3176" s="139" t="s">
        <v>1223</v>
      </c>
      <c r="E3176" s="139" t="s">
        <v>1223</v>
      </c>
      <c r="F3176" s="139" t="s">
        <v>1223</v>
      </c>
      <c r="G3176" s="139" t="s">
        <v>1223</v>
      </c>
      <c r="H3176" s="139" t="s">
        <v>1223</v>
      </c>
      <c r="I3176" s="139" t="s">
        <v>1223</v>
      </c>
      <c r="J3176" s="139" t="s">
        <v>1223</v>
      </c>
      <c r="K3176" s="139" t="s">
        <v>1223</v>
      </c>
      <c r="L3176" s="139" t="s">
        <v>1223</v>
      </c>
      <c r="M3176" s="139" t="s">
        <v>1223</v>
      </c>
      <c r="N3176" s="139" t="s">
        <v>1223</v>
      </c>
      <c r="O3176" s="139" t="s">
        <v>1223</v>
      </c>
      <c r="P3176" s="139" t="s">
        <v>1223</v>
      </c>
      <c r="Q3176" s="141" t="s">
        <v>1231</v>
      </c>
      <c r="R3176" s="3"/>
      <c r="S3176" s="3"/>
    </row>
    <row r="3177" spans="1:19">
      <c r="A3177" s="139" t="s">
        <v>1223</v>
      </c>
      <c r="B3177" s="139" t="s">
        <v>1223</v>
      </c>
      <c r="C3177" s="139" t="s">
        <v>1223</v>
      </c>
      <c r="D3177" s="139" t="s">
        <v>1223</v>
      </c>
      <c r="E3177" s="139" t="s">
        <v>1223</v>
      </c>
      <c r="F3177" s="139" t="s">
        <v>1223</v>
      </c>
      <c r="G3177" s="139" t="s">
        <v>1223</v>
      </c>
      <c r="H3177" s="139" t="s">
        <v>1223</v>
      </c>
      <c r="I3177" s="139" t="s">
        <v>1223</v>
      </c>
      <c r="J3177" s="139" t="s">
        <v>1223</v>
      </c>
      <c r="K3177" s="139" t="s">
        <v>1223</v>
      </c>
      <c r="L3177" s="139" t="s">
        <v>1223</v>
      </c>
      <c r="M3177" s="139" t="s">
        <v>1223</v>
      </c>
      <c r="N3177" s="139" t="s">
        <v>1223</v>
      </c>
      <c r="O3177" s="139" t="s">
        <v>1223</v>
      </c>
      <c r="P3177" s="139" t="s">
        <v>1223</v>
      </c>
      <c r="Q3177" s="141" t="s">
        <v>1232</v>
      </c>
      <c r="R3177" s="3"/>
      <c r="S3177" s="3"/>
    </row>
    <row r="3178" spans="1:19">
      <c r="A3178" s="139" t="s">
        <v>1223</v>
      </c>
      <c r="B3178" s="139" t="s">
        <v>1223</v>
      </c>
      <c r="C3178" s="139" t="s">
        <v>1223</v>
      </c>
      <c r="D3178" s="139" t="s">
        <v>1223</v>
      </c>
      <c r="E3178" s="139" t="s">
        <v>1223</v>
      </c>
      <c r="F3178" s="139" t="s">
        <v>1223</v>
      </c>
      <c r="G3178" s="139" t="s">
        <v>1223</v>
      </c>
      <c r="H3178" s="139" t="s">
        <v>1223</v>
      </c>
      <c r="I3178" s="139" t="s">
        <v>1223</v>
      </c>
      <c r="J3178" s="139" t="s">
        <v>1223</v>
      </c>
      <c r="K3178" s="139" t="s">
        <v>1223</v>
      </c>
      <c r="L3178" s="139" t="s">
        <v>1223</v>
      </c>
      <c r="M3178" s="139" t="s">
        <v>1223</v>
      </c>
      <c r="N3178" s="139" t="s">
        <v>1223</v>
      </c>
      <c r="O3178" s="139" t="s">
        <v>1223</v>
      </c>
      <c r="P3178" s="139" t="s">
        <v>1223</v>
      </c>
      <c r="Q3178" s="141" t="s">
        <v>1233</v>
      </c>
      <c r="R3178" s="3"/>
      <c r="S3178" s="3"/>
    </row>
    <row r="3179" spans="1:19">
      <c r="A3179" s="139" t="s">
        <v>1223</v>
      </c>
      <c r="B3179" s="139" t="s">
        <v>1223</v>
      </c>
      <c r="C3179" s="139" t="s">
        <v>1223</v>
      </c>
      <c r="D3179" s="139" t="s">
        <v>1223</v>
      </c>
      <c r="E3179" s="139" t="s">
        <v>1223</v>
      </c>
      <c r="F3179" s="139" t="s">
        <v>1223</v>
      </c>
      <c r="G3179" s="139" t="s">
        <v>1223</v>
      </c>
      <c r="H3179" s="139" t="s">
        <v>1223</v>
      </c>
      <c r="I3179" s="139" t="s">
        <v>1223</v>
      </c>
      <c r="J3179" s="139" t="s">
        <v>1223</v>
      </c>
      <c r="K3179" s="139" t="s">
        <v>1223</v>
      </c>
      <c r="L3179" s="139" t="s">
        <v>1223</v>
      </c>
      <c r="M3179" s="139" t="s">
        <v>1223</v>
      </c>
      <c r="N3179" s="139" t="s">
        <v>1223</v>
      </c>
      <c r="O3179" s="139" t="s">
        <v>1223</v>
      </c>
      <c r="P3179" s="139" t="s">
        <v>1223</v>
      </c>
      <c r="Q3179" s="141" t="s">
        <v>1234</v>
      </c>
      <c r="R3179" s="3"/>
      <c r="S3179" s="3"/>
    </row>
    <row r="3180" spans="1:19">
      <c r="A3180" s="139" t="s">
        <v>1223</v>
      </c>
      <c r="B3180" s="139" t="s">
        <v>1223</v>
      </c>
      <c r="C3180" s="139" t="s">
        <v>1223</v>
      </c>
      <c r="D3180" s="139" t="s">
        <v>1223</v>
      </c>
      <c r="E3180" s="139" t="s">
        <v>1223</v>
      </c>
      <c r="F3180" s="139" t="s">
        <v>1223</v>
      </c>
      <c r="G3180" s="139" t="s">
        <v>1223</v>
      </c>
      <c r="H3180" s="139" t="s">
        <v>1223</v>
      </c>
      <c r="I3180" s="139" t="s">
        <v>1223</v>
      </c>
      <c r="J3180" s="139" t="s">
        <v>1223</v>
      </c>
      <c r="K3180" s="139" t="s">
        <v>1223</v>
      </c>
      <c r="L3180" s="139" t="s">
        <v>1223</v>
      </c>
      <c r="M3180" s="139" t="s">
        <v>1223</v>
      </c>
      <c r="N3180" s="139" t="s">
        <v>1223</v>
      </c>
      <c r="O3180" s="139" t="s">
        <v>1223</v>
      </c>
      <c r="P3180" s="139" t="s">
        <v>1223</v>
      </c>
      <c r="Q3180" s="141" t="s">
        <v>1235</v>
      </c>
      <c r="R3180" s="3"/>
      <c r="S3180" s="3"/>
    </row>
    <row r="3181" spans="1:19">
      <c r="A3181" s="139" t="s">
        <v>1223</v>
      </c>
      <c r="B3181" s="139" t="s">
        <v>1223</v>
      </c>
      <c r="C3181" s="139" t="s">
        <v>1223</v>
      </c>
      <c r="D3181" s="139" t="s">
        <v>1223</v>
      </c>
      <c r="E3181" s="139" t="s">
        <v>1223</v>
      </c>
      <c r="F3181" s="139" t="s">
        <v>1223</v>
      </c>
      <c r="G3181" s="139" t="s">
        <v>1223</v>
      </c>
      <c r="H3181" s="139" t="s">
        <v>1223</v>
      </c>
      <c r="I3181" s="140">
        <v>32</v>
      </c>
      <c r="J3181" s="140">
        <v>32</v>
      </c>
      <c r="K3181" s="140">
        <v>32</v>
      </c>
      <c r="L3181" s="140">
        <v>32</v>
      </c>
      <c r="M3181" s="140">
        <v>32</v>
      </c>
      <c r="N3181" s="140">
        <v>32</v>
      </c>
      <c r="O3181" s="140">
        <v>32</v>
      </c>
      <c r="P3181" s="140">
        <v>32</v>
      </c>
      <c r="Q3181" s="141" t="s">
        <v>1236</v>
      </c>
      <c r="R3181" s="3"/>
      <c r="S3181" s="3"/>
    </row>
    <row r="3182" spans="1:19">
      <c r="A3182" s="139" t="s">
        <v>1223</v>
      </c>
      <c r="B3182" s="139" t="s">
        <v>1223</v>
      </c>
      <c r="C3182" s="139" t="s">
        <v>1223</v>
      </c>
      <c r="D3182" s="139" t="s">
        <v>1223</v>
      </c>
      <c r="E3182" s="139" t="s">
        <v>1223</v>
      </c>
      <c r="F3182" s="139" t="s">
        <v>1223</v>
      </c>
      <c r="G3182" s="139" t="s">
        <v>1223</v>
      </c>
      <c r="H3182" s="139" t="s">
        <v>1223</v>
      </c>
      <c r="I3182" s="139" t="s">
        <v>1223</v>
      </c>
      <c r="J3182" s="139" t="s">
        <v>1223</v>
      </c>
      <c r="K3182" s="139" t="s">
        <v>1223</v>
      </c>
      <c r="L3182" s="139" t="s">
        <v>1223</v>
      </c>
      <c r="M3182" s="139" t="s">
        <v>1223</v>
      </c>
      <c r="N3182" s="139" t="s">
        <v>1223</v>
      </c>
      <c r="O3182" s="139" t="s">
        <v>1223</v>
      </c>
      <c r="P3182" s="139" t="s">
        <v>1223</v>
      </c>
      <c r="Q3182" s="141" t="s">
        <v>1237</v>
      </c>
      <c r="R3182" s="3"/>
      <c r="S3182" s="3"/>
    </row>
    <row r="3183" spans="1:19">
      <c r="A3183" s="139" t="s">
        <v>1223</v>
      </c>
      <c r="B3183" s="139" t="s">
        <v>1223</v>
      </c>
      <c r="C3183" s="139" t="s">
        <v>1223</v>
      </c>
      <c r="D3183" s="139" t="s">
        <v>1223</v>
      </c>
      <c r="E3183" s="139" t="s">
        <v>1223</v>
      </c>
      <c r="F3183" s="139" t="s">
        <v>1223</v>
      </c>
      <c r="G3183" s="139" t="s">
        <v>1223</v>
      </c>
      <c r="H3183" s="139" t="s">
        <v>1223</v>
      </c>
      <c r="I3183" s="139" t="s">
        <v>1223</v>
      </c>
      <c r="J3183" s="139" t="s">
        <v>1223</v>
      </c>
      <c r="K3183" s="139" t="s">
        <v>1223</v>
      </c>
      <c r="L3183" s="139" t="s">
        <v>1223</v>
      </c>
      <c r="M3183" s="139" t="s">
        <v>1223</v>
      </c>
      <c r="N3183" s="139" t="s">
        <v>1223</v>
      </c>
      <c r="O3183" s="139" t="s">
        <v>1223</v>
      </c>
      <c r="P3183" s="139" t="s">
        <v>1223</v>
      </c>
      <c r="Q3183" s="141" t="s">
        <v>1238</v>
      </c>
      <c r="R3183" s="3"/>
      <c r="S3183" s="3"/>
    </row>
    <row r="3184" spans="1:19">
      <c r="A3184" s="139" t="s">
        <v>1223</v>
      </c>
      <c r="B3184" s="139" t="s">
        <v>1223</v>
      </c>
      <c r="C3184" s="139" t="s">
        <v>1223</v>
      </c>
      <c r="D3184" s="139" t="s">
        <v>1223</v>
      </c>
      <c r="E3184" s="139" t="s">
        <v>1223</v>
      </c>
      <c r="F3184" s="139" t="s">
        <v>1223</v>
      </c>
      <c r="G3184" s="139" t="s">
        <v>1223</v>
      </c>
      <c r="H3184" s="139" t="s">
        <v>1223</v>
      </c>
      <c r="I3184" s="139" t="s">
        <v>1223</v>
      </c>
      <c r="J3184" s="139" t="s">
        <v>1223</v>
      </c>
      <c r="K3184" s="139" t="s">
        <v>1223</v>
      </c>
      <c r="L3184" s="139" t="s">
        <v>1223</v>
      </c>
      <c r="M3184" s="139" t="s">
        <v>1330</v>
      </c>
      <c r="N3184" s="139" t="s">
        <v>1223</v>
      </c>
      <c r="O3184" s="139" t="s">
        <v>1223</v>
      </c>
      <c r="P3184" s="139" t="s">
        <v>1223</v>
      </c>
      <c r="Q3184" s="141" t="s">
        <v>1239</v>
      </c>
      <c r="R3184" s="3"/>
      <c r="S3184" s="3"/>
    </row>
    <row r="3185" spans="1:19">
      <c r="A3185" s="139" t="s">
        <v>1223</v>
      </c>
      <c r="B3185" s="139" t="s">
        <v>1223</v>
      </c>
      <c r="C3185" s="139" t="s">
        <v>1223</v>
      </c>
      <c r="D3185" s="139" t="s">
        <v>1223</v>
      </c>
      <c r="E3185" s="139" t="s">
        <v>1223</v>
      </c>
      <c r="F3185" s="139" t="s">
        <v>1223</v>
      </c>
      <c r="G3185" s="139" t="s">
        <v>1223</v>
      </c>
      <c r="H3185" s="139" t="s">
        <v>1223</v>
      </c>
      <c r="I3185" s="139" t="s">
        <v>1223</v>
      </c>
      <c r="J3185" s="139" t="s">
        <v>1223</v>
      </c>
      <c r="K3185" s="139" t="s">
        <v>1223</v>
      </c>
      <c r="L3185" s="139" t="s">
        <v>1223</v>
      </c>
      <c r="M3185" s="139" t="s">
        <v>1223</v>
      </c>
      <c r="N3185" s="139" t="s">
        <v>1223</v>
      </c>
      <c r="O3185" s="139" t="s">
        <v>1223</v>
      </c>
      <c r="P3185" s="139" t="s">
        <v>1223</v>
      </c>
      <c r="Q3185" s="141" t="s">
        <v>1240</v>
      </c>
      <c r="R3185" s="3"/>
      <c r="S3185" s="3"/>
    </row>
    <row r="3186" spans="1:19">
      <c r="A3186" s="139" t="s">
        <v>1223</v>
      </c>
      <c r="B3186" s="139" t="s">
        <v>1223</v>
      </c>
      <c r="C3186" s="139" t="s">
        <v>1223</v>
      </c>
      <c r="D3186" s="139" t="s">
        <v>1223</v>
      </c>
      <c r="E3186" s="139" t="s">
        <v>1223</v>
      </c>
      <c r="F3186" s="139" t="s">
        <v>1223</v>
      </c>
      <c r="G3186" s="139" t="s">
        <v>1223</v>
      </c>
      <c r="H3186" s="139" t="s">
        <v>1223</v>
      </c>
      <c r="I3186" s="139" t="s">
        <v>1223</v>
      </c>
      <c r="J3186" s="139" t="s">
        <v>1223</v>
      </c>
      <c r="K3186" s="139" t="s">
        <v>1223</v>
      </c>
      <c r="L3186" s="139" t="s">
        <v>1223</v>
      </c>
      <c r="M3186" s="139" t="s">
        <v>1223</v>
      </c>
      <c r="N3186" s="139" t="s">
        <v>1223</v>
      </c>
      <c r="O3186" s="139" t="s">
        <v>1223</v>
      </c>
      <c r="P3186" s="139" t="s">
        <v>1223</v>
      </c>
      <c r="Q3186" s="141" t="s">
        <v>1241</v>
      </c>
    </row>
    <row r="3187" spans="1:19">
      <c r="A3187" s="139" t="s">
        <v>1223</v>
      </c>
      <c r="B3187" s="139" t="s">
        <v>1223</v>
      </c>
      <c r="C3187" s="139" t="s">
        <v>1223</v>
      </c>
      <c r="D3187" s="139" t="s">
        <v>1223</v>
      </c>
      <c r="E3187" s="139" t="s">
        <v>1223</v>
      </c>
      <c r="F3187" s="139" t="s">
        <v>1223</v>
      </c>
      <c r="G3187" s="139" t="s">
        <v>1223</v>
      </c>
      <c r="H3187" s="139" t="s">
        <v>1223</v>
      </c>
      <c r="I3187" s="139" t="s">
        <v>1223</v>
      </c>
      <c r="J3187" s="139" t="s">
        <v>1223</v>
      </c>
      <c r="K3187" s="139" t="s">
        <v>1223</v>
      </c>
      <c r="L3187" s="139" t="s">
        <v>1223</v>
      </c>
      <c r="M3187" s="139" t="s">
        <v>1223</v>
      </c>
      <c r="N3187" s="139" t="s">
        <v>1223</v>
      </c>
      <c r="O3187" s="139" t="s">
        <v>1223</v>
      </c>
      <c r="P3187" s="139" t="s">
        <v>1223</v>
      </c>
      <c r="Q3187" s="141" t="s">
        <v>1242</v>
      </c>
      <c r="R3187" s="3"/>
      <c r="S3187" s="3"/>
    </row>
    <row r="3188" spans="1:19">
      <c r="A3188" s="139" t="s">
        <v>1223</v>
      </c>
      <c r="B3188" s="139" t="s">
        <v>1223</v>
      </c>
      <c r="C3188" s="139" t="s">
        <v>1223</v>
      </c>
      <c r="D3188" s="139" t="s">
        <v>1223</v>
      </c>
      <c r="E3188" s="139" t="s">
        <v>1223</v>
      </c>
      <c r="F3188" s="139" t="s">
        <v>1223</v>
      </c>
      <c r="G3188" s="139" t="s">
        <v>1223</v>
      </c>
      <c r="H3188" s="139" t="s">
        <v>1223</v>
      </c>
      <c r="I3188" s="139" t="s">
        <v>1223</v>
      </c>
      <c r="J3188" s="139" t="s">
        <v>1223</v>
      </c>
      <c r="K3188" s="139" t="s">
        <v>1223</v>
      </c>
      <c r="L3188" s="139" t="s">
        <v>1223</v>
      </c>
      <c r="M3188" s="139" t="s">
        <v>1223</v>
      </c>
      <c r="N3188" s="139" t="s">
        <v>1223</v>
      </c>
      <c r="O3188" s="139" t="s">
        <v>1223</v>
      </c>
      <c r="P3188" s="139" t="s">
        <v>1223</v>
      </c>
      <c r="Q3188" s="141" t="s">
        <v>1243</v>
      </c>
      <c r="R3188" s="3"/>
      <c r="S3188" s="3"/>
    </row>
    <row r="3189" spans="1:19">
      <c r="A3189" s="139" t="s">
        <v>1223</v>
      </c>
      <c r="B3189" s="139" t="s">
        <v>1223</v>
      </c>
      <c r="C3189" s="139" t="s">
        <v>1223</v>
      </c>
      <c r="D3189" s="139" t="s">
        <v>1223</v>
      </c>
      <c r="E3189" s="139" t="s">
        <v>1223</v>
      </c>
      <c r="F3189" s="139" t="s">
        <v>1223</v>
      </c>
      <c r="G3189" s="139" t="s">
        <v>1223</v>
      </c>
      <c r="H3189" s="139" t="s">
        <v>1223</v>
      </c>
      <c r="I3189" s="139" t="s">
        <v>1223</v>
      </c>
      <c r="J3189" s="139" t="s">
        <v>1223</v>
      </c>
      <c r="K3189" s="139" t="s">
        <v>1223</v>
      </c>
      <c r="L3189" s="139" t="s">
        <v>1223</v>
      </c>
      <c r="M3189" s="139" t="s">
        <v>1223</v>
      </c>
      <c r="N3189" s="139" t="s">
        <v>1223</v>
      </c>
      <c r="O3189" s="139" t="s">
        <v>1223</v>
      </c>
      <c r="P3189" s="139" t="s">
        <v>1223</v>
      </c>
      <c r="Q3189" s="141" t="s">
        <v>1244</v>
      </c>
      <c r="R3189" s="3"/>
      <c r="S3189" s="3"/>
    </row>
    <row r="3190" spans="1:19">
      <c r="A3190" s="139" t="s">
        <v>1223</v>
      </c>
      <c r="B3190" s="139" t="s">
        <v>1223</v>
      </c>
      <c r="C3190" s="139" t="s">
        <v>1223</v>
      </c>
      <c r="D3190" s="139" t="s">
        <v>1223</v>
      </c>
      <c r="E3190" s="139" t="s">
        <v>1223</v>
      </c>
      <c r="F3190" s="139" t="s">
        <v>1223</v>
      </c>
      <c r="G3190" s="139" t="s">
        <v>1223</v>
      </c>
      <c r="H3190" s="139" t="s">
        <v>1223</v>
      </c>
      <c r="I3190" s="139" t="s">
        <v>1223</v>
      </c>
      <c r="J3190" s="139" t="s">
        <v>1223</v>
      </c>
      <c r="K3190" s="139" t="s">
        <v>1223</v>
      </c>
      <c r="L3190" s="139" t="s">
        <v>1223</v>
      </c>
      <c r="M3190" s="139" t="s">
        <v>1223</v>
      </c>
      <c r="N3190" s="139" t="s">
        <v>1223</v>
      </c>
      <c r="O3190" s="139" t="s">
        <v>1223</v>
      </c>
      <c r="P3190" s="139" t="s">
        <v>1223</v>
      </c>
      <c r="Q3190" s="141" t="s">
        <v>1245</v>
      </c>
      <c r="R3190" s="3"/>
      <c r="S3190" s="3"/>
    </row>
    <row r="3191" spans="1:19">
      <c r="A3191" s="139" t="s">
        <v>1223</v>
      </c>
      <c r="B3191" s="139" t="s">
        <v>1223</v>
      </c>
      <c r="C3191" s="139" t="s">
        <v>1223</v>
      </c>
      <c r="D3191" s="139" t="s">
        <v>1223</v>
      </c>
      <c r="E3191" s="139" t="s">
        <v>1223</v>
      </c>
      <c r="F3191" s="139" t="s">
        <v>1223</v>
      </c>
      <c r="G3191" s="139" t="s">
        <v>1223</v>
      </c>
      <c r="H3191" s="139" t="s">
        <v>1223</v>
      </c>
      <c r="I3191" s="139" t="s">
        <v>1223</v>
      </c>
      <c r="J3191" s="139" t="s">
        <v>1223</v>
      </c>
      <c r="K3191" s="139" t="s">
        <v>1223</v>
      </c>
      <c r="L3191" s="139" t="s">
        <v>1223</v>
      </c>
      <c r="M3191" s="139" t="s">
        <v>1223</v>
      </c>
      <c r="N3191" s="139" t="s">
        <v>1223</v>
      </c>
      <c r="O3191" s="139" t="s">
        <v>1223</v>
      </c>
      <c r="P3191" s="139" t="s">
        <v>1223</v>
      </c>
      <c r="Q3191" s="141" t="s">
        <v>1246</v>
      </c>
      <c r="R3191" s="3"/>
      <c r="S3191" s="3"/>
    </row>
    <row r="3192" spans="1:19">
      <c r="A3192" s="139" t="s">
        <v>1223</v>
      </c>
      <c r="B3192" s="139" t="s">
        <v>1223</v>
      </c>
      <c r="C3192" s="139" t="s">
        <v>1223</v>
      </c>
      <c r="D3192" s="139" t="s">
        <v>1223</v>
      </c>
      <c r="E3192" s="139" t="s">
        <v>1223</v>
      </c>
      <c r="F3192" s="139" t="s">
        <v>1223</v>
      </c>
      <c r="G3192" s="139" t="s">
        <v>1223</v>
      </c>
      <c r="H3192" s="139" t="s">
        <v>1223</v>
      </c>
      <c r="I3192" s="139" t="s">
        <v>1223</v>
      </c>
      <c r="J3192" s="139" t="s">
        <v>1223</v>
      </c>
      <c r="K3192" s="139" t="s">
        <v>1223</v>
      </c>
      <c r="L3192" s="139" t="s">
        <v>1223</v>
      </c>
      <c r="M3192" s="139" t="s">
        <v>1223</v>
      </c>
      <c r="N3192" s="139" t="s">
        <v>1223</v>
      </c>
      <c r="O3192" s="139" t="s">
        <v>1223</v>
      </c>
      <c r="P3192" s="139" t="s">
        <v>1223</v>
      </c>
      <c r="Q3192" s="141" t="s">
        <v>1247</v>
      </c>
      <c r="R3192" s="3"/>
      <c r="S3192" s="3"/>
    </row>
    <row r="3193" spans="1:19">
      <c r="A3193" s="139" t="s">
        <v>1223</v>
      </c>
      <c r="B3193" s="139" t="s">
        <v>1223</v>
      </c>
      <c r="C3193" s="139" t="s">
        <v>1223</v>
      </c>
      <c r="D3193" s="139" t="s">
        <v>1223</v>
      </c>
      <c r="E3193" s="139" t="s">
        <v>1223</v>
      </c>
      <c r="F3193" s="139" t="s">
        <v>1223</v>
      </c>
      <c r="G3193" s="139" t="s">
        <v>1223</v>
      </c>
      <c r="H3193" s="139" t="s">
        <v>1223</v>
      </c>
      <c r="I3193" s="139" t="s">
        <v>1223</v>
      </c>
      <c r="J3193" s="139" t="s">
        <v>1223</v>
      </c>
      <c r="K3193" s="139" t="s">
        <v>1223</v>
      </c>
      <c r="L3193" s="139" t="s">
        <v>1223</v>
      </c>
      <c r="M3193" s="139" t="s">
        <v>1223</v>
      </c>
      <c r="N3193" s="139" t="s">
        <v>1223</v>
      </c>
      <c r="O3193" s="139" t="s">
        <v>1223</v>
      </c>
      <c r="P3193" s="139" t="s">
        <v>1223</v>
      </c>
      <c r="Q3193" s="141" t="s">
        <v>1248</v>
      </c>
      <c r="R3193" s="3"/>
      <c r="S3193" s="3"/>
    </row>
    <row r="3194" spans="1:19">
      <c r="A3194" s="139" t="s">
        <v>1223</v>
      </c>
      <c r="B3194" s="139" t="s">
        <v>1223</v>
      </c>
      <c r="C3194" s="139" t="s">
        <v>1223</v>
      </c>
      <c r="D3194" s="139" t="s">
        <v>1223</v>
      </c>
      <c r="E3194" s="139" t="s">
        <v>1223</v>
      </c>
      <c r="F3194" s="139" t="s">
        <v>1223</v>
      </c>
      <c r="G3194" s="139" t="s">
        <v>1223</v>
      </c>
      <c r="H3194" s="139" t="s">
        <v>1223</v>
      </c>
      <c r="I3194" s="139" t="s">
        <v>1223</v>
      </c>
      <c r="J3194" s="139" t="s">
        <v>1223</v>
      </c>
      <c r="K3194" s="139" t="s">
        <v>1223</v>
      </c>
      <c r="L3194" s="139" t="s">
        <v>1223</v>
      </c>
      <c r="M3194" s="139" t="s">
        <v>1223</v>
      </c>
      <c r="N3194" s="139" t="s">
        <v>1223</v>
      </c>
      <c r="O3194" s="139" t="s">
        <v>1223</v>
      </c>
      <c r="P3194" s="139" t="s">
        <v>1223</v>
      </c>
      <c r="Q3194" s="141" t="s">
        <v>1249</v>
      </c>
      <c r="R3194" s="3"/>
      <c r="S3194" s="3"/>
    </row>
    <row r="3195" spans="1:19">
      <c r="A3195" s="139" t="s">
        <v>1223</v>
      </c>
      <c r="B3195" s="139" t="s">
        <v>1223</v>
      </c>
      <c r="C3195" s="139" t="s">
        <v>1223</v>
      </c>
      <c r="D3195" s="139" t="s">
        <v>1223</v>
      </c>
      <c r="E3195" s="139" t="s">
        <v>1223</v>
      </c>
      <c r="F3195" s="139" t="s">
        <v>1223</v>
      </c>
      <c r="G3195" s="139" t="s">
        <v>1223</v>
      </c>
      <c r="H3195" s="139" t="s">
        <v>1223</v>
      </c>
      <c r="I3195" s="139" t="s">
        <v>1223</v>
      </c>
      <c r="J3195" s="139" t="s">
        <v>1223</v>
      </c>
      <c r="K3195" s="139" t="s">
        <v>1223</v>
      </c>
      <c r="L3195" s="139" t="s">
        <v>1223</v>
      </c>
      <c r="M3195" s="139" t="s">
        <v>1223</v>
      </c>
      <c r="N3195" s="139" t="s">
        <v>1223</v>
      </c>
      <c r="O3195" s="139" t="s">
        <v>1223</v>
      </c>
      <c r="P3195" s="139" t="s">
        <v>1223</v>
      </c>
      <c r="Q3195" s="141" t="s">
        <v>1250</v>
      </c>
      <c r="R3195" s="3"/>
      <c r="S3195" s="3"/>
    </row>
    <row r="3196" spans="1:19">
      <c r="A3196" s="139" t="s">
        <v>1223</v>
      </c>
      <c r="B3196" s="139" t="s">
        <v>1223</v>
      </c>
      <c r="C3196" s="139" t="s">
        <v>1223</v>
      </c>
      <c r="D3196" s="139" t="s">
        <v>1223</v>
      </c>
      <c r="E3196" s="139" t="s">
        <v>1223</v>
      </c>
      <c r="F3196" s="139" t="s">
        <v>1223</v>
      </c>
      <c r="G3196" s="139" t="s">
        <v>1223</v>
      </c>
      <c r="H3196" s="139" t="s">
        <v>1223</v>
      </c>
      <c r="I3196" s="139" t="s">
        <v>1223</v>
      </c>
      <c r="J3196" s="139" t="s">
        <v>1223</v>
      </c>
      <c r="K3196" s="139" t="s">
        <v>1223</v>
      </c>
      <c r="L3196" s="139" t="s">
        <v>1223</v>
      </c>
      <c r="M3196" s="139" t="s">
        <v>1223</v>
      </c>
      <c r="N3196" s="139" t="s">
        <v>1223</v>
      </c>
      <c r="O3196" s="139" t="s">
        <v>1223</v>
      </c>
      <c r="P3196" s="139" t="s">
        <v>1223</v>
      </c>
      <c r="Q3196" s="141" t="s">
        <v>1251</v>
      </c>
      <c r="R3196" s="3"/>
      <c r="S3196" s="3"/>
    </row>
    <row r="3197" spans="1:19">
      <c r="A3197" s="139" t="s">
        <v>1223</v>
      </c>
      <c r="B3197" s="139" t="s">
        <v>1223</v>
      </c>
      <c r="C3197" s="139" t="s">
        <v>1223</v>
      </c>
      <c r="D3197" s="139" t="s">
        <v>1223</v>
      </c>
      <c r="E3197" s="139" t="s">
        <v>1223</v>
      </c>
      <c r="F3197" s="139" t="s">
        <v>1223</v>
      </c>
      <c r="G3197" s="139" t="s">
        <v>1223</v>
      </c>
      <c r="H3197" s="139" t="s">
        <v>1223</v>
      </c>
      <c r="I3197" s="139" t="s">
        <v>1223</v>
      </c>
      <c r="J3197" s="139" t="s">
        <v>1223</v>
      </c>
      <c r="K3197" s="139" t="s">
        <v>1223</v>
      </c>
      <c r="L3197" s="139" t="s">
        <v>1223</v>
      </c>
      <c r="M3197" s="139" t="s">
        <v>1223</v>
      </c>
      <c r="N3197" s="139" t="s">
        <v>1223</v>
      </c>
      <c r="O3197" s="139" t="s">
        <v>1223</v>
      </c>
      <c r="P3197" s="139" t="s">
        <v>1223</v>
      </c>
      <c r="Q3197" s="141" t="s">
        <v>1252</v>
      </c>
      <c r="R3197" s="3"/>
      <c r="S3197" s="3"/>
    </row>
    <row r="3198" spans="1:19">
      <c r="A3198" s="139" t="s">
        <v>1223</v>
      </c>
      <c r="B3198" s="139" t="s">
        <v>1223</v>
      </c>
      <c r="C3198" s="139" t="s">
        <v>1223</v>
      </c>
      <c r="D3198" s="139" t="s">
        <v>1223</v>
      </c>
      <c r="E3198" s="139" t="s">
        <v>1223</v>
      </c>
      <c r="F3198" s="139" t="s">
        <v>1223</v>
      </c>
      <c r="G3198" s="139" t="s">
        <v>1223</v>
      </c>
      <c r="H3198" s="139" t="s">
        <v>1223</v>
      </c>
      <c r="I3198" s="139" t="s">
        <v>1223</v>
      </c>
      <c r="J3198" s="139" t="s">
        <v>1223</v>
      </c>
      <c r="K3198" s="139" t="s">
        <v>1223</v>
      </c>
      <c r="L3198" s="139" t="s">
        <v>1223</v>
      </c>
      <c r="M3198" s="139" t="s">
        <v>1223</v>
      </c>
      <c r="N3198" s="139" t="s">
        <v>1223</v>
      </c>
      <c r="O3198" s="139" t="s">
        <v>1223</v>
      </c>
      <c r="P3198" s="139" t="s">
        <v>1223</v>
      </c>
      <c r="Q3198" s="141" t="s">
        <v>1253</v>
      </c>
      <c r="R3198" s="3"/>
      <c r="S3198" s="3"/>
    </row>
    <row r="3199" spans="1:19">
      <c r="A3199" s="139" t="s">
        <v>1223</v>
      </c>
      <c r="B3199" s="139" t="s">
        <v>1223</v>
      </c>
      <c r="C3199" s="139" t="s">
        <v>1223</v>
      </c>
      <c r="D3199" s="139" t="s">
        <v>1223</v>
      </c>
      <c r="E3199" s="139" t="s">
        <v>1223</v>
      </c>
      <c r="F3199" s="139" t="s">
        <v>1223</v>
      </c>
      <c r="G3199" s="139" t="s">
        <v>1223</v>
      </c>
      <c r="H3199" s="139" t="s">
        <v>1223</v>
      </c>
      <c r="I3199" s="139" t="s">
        <v>1223</v>
      </c>
      <c r="J3199" s="139" t="s">
        <v>1223</v>
      </c>
      <c r="K3199" s="139" t="s">
        <v>1223</v>
      </c>
      <c r="L3199" s="139" t="s">
        <v>1223</v>
      </c>
      <c r="M3199" s="139" t="s">
        <v>1223</v>
      </c>
      <c r="N3199" s="139" t="s">
        <v>1223</v>
      </c>
      <c r="O3199" s="139" t="s">
        <v>1223</v>
      </c>
      <c r="P3199" s="139" t="s">
        <v>1223</v>
      </c>
      <c r="Q3199" s="141" t="s">
        <v>1254</v>
      </c>
      <c r="R3199" s="3"/>
      <c r="S3199" s="3"/>
    </row>
    <row r="3200" spans="1:19">
      <c r="A3200" s="139" t="s">
        <v>1223</v>
      </c>
      <c r="B3200" s="139" t="s">
        <v>1223</v>
      </c>
      <c r="C3200" s="139" t="s">
        <v>1223</v>
      </c>
      <c r="D3200" s="139" t="s">
        <v>1223</v>
      </c>
      <c r="E3200" s="139" t="s">
        <v>1223</v>
      </c>
      <c r="F3200" s="139" t="s">
        <v>1223</v>
      </c>
      <c r="G3200" s="139" t="s">
        <v>1223</v>
      </c>
      <c r="H3200" s="139" t="s">
        <v>1223</v>
      </c>
      <c r="I3200" s="139" t="s">
        <v>1223</v>
      </c>
      <c r="J3200" s="139" t="s">
        <v>1223</v>
      </c>
      <c r="K3200" s="139" t="s">
        <v>1223</v>
      </c>
      <c r="L3200" s="139" t="s">
        <v>1223</v>
      </c>
      <c r="M3200" s="139" t="s">
        <v>1223</v>
      </c>
      <c r="N3200" s="139" t="s">
        <v>1223</v>
      </c>
      <c r="O3200" s="139" t="s">
        <v>1223</v>
      </c>
      <c r="P3200" s="139" t="s">
        <v>1223</v>
      </c>
      <c r="Q3200" s="141" t="s">
        <v>1255</v>
      </c>
      <c r="R3200" s="3"/>
      <c r="S3200" s="3"/>
    </row>
    <row r="3201" spans="1:19">
      <c r="A3201" s="139" t="s">
        <v>1223</v>
      </c>
      <c r="B3201" s="139" t="s">
        <v>1223</v>
      </c>
      <c r="C3201" s="139" t="s">
        <v>1223</v>
      </c>
      <c r="D3201" s="139" t="s">
        <v>1223</v>
      </c>
      <c r="E3201" s="139" t="s">
        <v>1223</v>
      </c>
      <c r="F3201" s="139" t="s">
        <v>1223</v>
      </c>
      <c r="G3201" s="139" t="s">
        <v>1223</v>
      </c>
      <c r="H3201" s="139" t="s">
        <v>1223</v>
      </c>
      <c r="I3201" s="139" t="s">
        <v>1223</v>
      </c>
      <c r="J3201" s="139" t="s">
        <v>1223</v>
      </c>
      <c r="K3201" s="139" t="s">
        <v>1223</v>
      </c>
      <c r="L3201" s="139" t="s">
        <v>1223</v>
      </c>
      <c r="M3201" s="139" t="s">
        <v>1223</v>
      </c>
      <c r="N3201" s="139" t="s">
        <v>1223</v>
      </c>
      <c r="O3201" s="139" t="s">
        <v>1223</v>
      </c>
      <c r="P3201" s="139" t="s">
        <v>1223</v>
      </c>
      <c r="Q3201" s="141" t="s">
        <v>1256</v>
      </c>
      <c r="R3201" s="3"/>
      <c r="S3201" s="3"/>
    </row>
    <row r="3202" spans="1:19">
      <c r="A3202" s="139" t="s">
        <v>1223</v>
      </c>
      <c r="B3202" s="139" t="s">
        <v>1223</v>
      </c>
      <c r="C3202" s="139" t="s">
        <v>1223</v>
      </c>
      <c r="D3202" s="139" t="s">
        <v>1223</v>
      </c>
      <c r="E3202" s="139" t="s">
        <v>1223</v>
      </c>
      <c r="F3202" s="139" t="s">
        <v>1223</v>
      </c>
      <c r="G3202" s="139" t="s">
        <v>1223</v>
      </c>
      <c r="H3202" s="139" t="s">
        <v>1223</v>
      </c>
      <c r="I3202" s="139" t="s">
        <v>1223</v>
      </c>
      <c r="J3202" s="139" t="s">
        <v>1223</v>
      </c>
      <c r="K3202" s="139" t="s">
        <v>1223</v>
      </c>
      <c r="L3202" s="139" t="s">
        <v>1223</v>
      </c>
      <c r="M3202" s="139" t="s">
        <v>1223</v>
      </c>
      <c r="N3202" s="139" t="s">
        <v>1223</v>
      </c>
      <c r="O3202" s="139" t="s">
        <v>1223</v>
      </c>
      <c r="P3202" s="139" t="s">
        <v>1223</v>
      </c>
      <c r="Q3202" s="141" t="s">
        <v>1257</v>
      </c>
    </row>
    <row r="3203" spans="1:19">
      <c r="A3203" s="139" t="s">
        <v>1223</v>
      </c>
      <c r="B3203" s="139" t="s">
        <v>1223</v>
      </c>
      <c r="C3203" s="139" t="s">
        <v>1223</v>
      </c>
      <c r="D3203" s="139" t="s">
        <v>1223</v>
      </c>
      <c r="E3203" s="139" t="s">
        <v>1223</v>
      </c>
      <c r="F3203" s="139" t="s">
        <v>1223</v>
      </c>
      <c r="G3203" s="139" t="s">
        <v>1223</v>
      </c>
      <c r="H3203" s="139" t="s">
        <v>1223</v>
      </c>
      <c r="I3203" s="139" t="s">
        <v>1223</v>
      </c>
      <c r="J3203" s="139" t="s">
        <v>1223</v>
      </c>
      <c r="K3203" s="139" t="s">
        <v>1223</v>
      </c>
      <c r="L3203" s="139" t="s">
        <v>1223</v>
      </c>
      <c r="M3203" s="139" t="s">
        <v>1223</v>
      </c>
      <c r="N3203" s="139" t="s">
        <v>1223</v>
      </c>
      <c r="O3203" s="139" t="s">
        <v>1223</v>
      </c>
      <c r="P3203" s="139" t="s">
        <v>1223</v>
      </c>
      <c r="Q3203" s="141" t="s">
        <v>1258</v>
      </c>
      <c r="R3203" s="3"/>
      <c r="S3203" s="3"/>
    </row>
    <row r="3204" spans="1:19">
      <c r="A3204" s="139" t="s">
        <v>1223</v>
      </c>
      <c r="B3204" s="139" t="s">
        <v>1223</v>
      </c>
      <c r="C3204" s="139" t="s">
        <v>1223</v>
      </c>
      <c r="D3204" s="139" t="s">
        <v>1223</v>
      </c>
      <c r="E3204" s="139" t="s">
        <v>1223</v>
      </c>
      <c r="F3204" s="139" t="s">
        <v>1223</v>
      </c>
      <c r="G3204" s="139" t="s">
        <v>1223</v>
      </c>
      <c r="H3204" s="139" t="s">
        <v>1223</v>
      </c>
      <c r="I3204" s="139" t="s">
        <v>1223</v>
      </c>
      <c r="J3204" s="139" t="s">
        <v>1223</v>
      </c>
      <c r="K3204" s="139" t="s">
        <v>1223</v>
      </c>
      <c r="L3204" s="139" t="s">
        <v>1223</v>
      </c>
      <c r="M3204" s="139" t="s">
        <v>1223</v>
      </c>
      <c r="N3204" s="139" t="s">
        <v>1223</v>
      </c>
      <c r="O3204" s="139" t="s">
        <v>1223</v>
      </c>
      <c r="P3204" s="139" t="s">
        <v>1223</v>
      </c>
      <c r="Q3204" s="141" t="s">
        <v>1259</v>
      </c>
      <c r="R3204" s="3"/>
      <c r="S3204" s="3"/>
    </row>
    <row r="3205" spans="1:19">
      <c r="A3205" s="139" t="s">
        <v>1223</v>
      </c>
      <c r="B3205" s="139" t="s">
        <v>1223</v>
      </c>
      <c r="C3205" s="139" t="s">
        <v>1223</v>
      </c>
      <c r="D3205" s="139" t="s">
        <v>1223</v>
      </c>
      <c r="E3205" s="139" t="s">
        <v>1223</v>
      </c>
      <c r="F3205" s="139" t="s">
        <v>1223</v>
      </c>
      <c r="G3205" s="139" t="s">
        <v>1223</v>
      </c>
      <c r="H3205" s="139" t="s">
        <v>1223</v>
      </c>
      <c r="I3205" s="139" t="s">
        <v>1223</v>
      </c>
      <c r="J3205" s="139" t="s">
        <v>1223</v>
      </c>
      <c r="K3205" s="139" t="s">
        <v>1223</v>
      </c>
      <c r="L3205" s="139" t="s">
        <v>1223</v>
      </c>
      <c r="M3205" s="139" t="s">
        <v>1223</v>
      </c>
      <c r="N3205" s="139" t="s">
        <v>1223</v>
      </c>
      <c r="O3205" s="139" t="s">
        <v>1223</v>
      </c>
      <c r="P3205" s="139" t="s">
        <v>1223</v>
      </c>
      <c r="Q3205" s="141" t="s">
        <v>1260</v>
      </c>
      <c r="R3205" s="3"/>
      <c r="S3205" s="3"/>
    </row>
    <row r="3206" spans="1:19">
      <c r="A3206" s="139" t="s">
        <v>1223</v>
      </c>
      <c r="B3206" s="139" t="s">
        <v>1223</v>
      </c>
      <c r="C3206" s="139" t="s">
        <v>1223</v>
      </c>
      <c r="D3206" s="139" t="s">
        <v>1223</v>
      </c>
      <c r="E3206" s="139" t="s">
        <v>1223</v>
      </c>
      <c r="F3206" s="139" t="s">
        <v>1223</v>
      </c>
      <c r="G3206" s="139" t="s">
        <v>1223</v>
      </c>
      <c r="H3206" s="139" t="s">
        <v>1223</v>
      </c>
      <c r="I3206" s="139" t="s">
        <v>1223</v>
      </c>
      <c r="J3206" s="139" t="s">
        <v>1223</v>
      </c>
      <c r="K3206" s="139" t="s">
        <v>1223</v>
      </c>
      <c r="L3206" s="139" t="s">
        <v>1223</v>
      </c>
      <c r="M3206" s="139" t="s">
        <v>1223</v>
      </c>
      <c r="N3206" s="139" t="s">
        <v>1223</v>
      </c>
      <c r="O3206" s="139" t="s">
        <v>1223</v>
      </c>
      <c r="P3206" s="139" t="s">
        <v>1223</v>
      </c>
      <c r="Q3206" s="141" t="s">
        <v>1261</v>
      </c>
      <c r="R3206" s="3"/>
      <c r="S3206" s="3"/>
    </row>
    <row r="3207" spans="1:19">
      <c r="A3207" s="139" t="s">
        <v>1223</v>
      </c>
      <c r="B3207" s="139" t="s">
        <v>1223</v>
      </c>
      <c r="C3207" s="139" t="s">
        <v>1223</v>
      </c>
      <c r="D3207" s="139" t="s">
        <v>1223</v>
      </c>
      <c r="E3207" s="139" t="s">
        <v>1223</v>
      </c>
      <c r="F3207" s="139" t="s">
        <v>1223</v>
      </c>
      <c r="G3207" s="139" t="s">
        <v>1223</v>
      </c>
      <c r="H3207" s="139" t="s">
        <v>1223</v>
      </c>
      <c r="I3207" s="139" t="s">
        <v>1223</v>
      </c>
      <c r="J3207" s="139" t="s">
        <v>1223</v>
      </c>
      <c r="K3207" s="139" t="s">
        <v>1223</v>
      </c>
      <c r="L3207" s="139" t="s">
        <v>1223</v>
      </c>
      <c r="M3207" s="139" t="s">
        <v>1223</v>
      </c>
      <c r="N3207" s="139" t="s">
        <v>1223</v>
      </c>
      <c r="O3207" s="139" t="s">
        <v>1223</v>
      </c>
      <c r="P3207" s="139" t="s">
        <v>1223</v>
      </c>
      <c r="Q3207" s="141" t="s">
        <v>1262</v>
      </c>
      <c r="R3207" s="3"/>
      <c r="S3207" s="3"/>
    </row>
    <row r="3208" spans="1:19">
      <c r="A3208" s="139" t="s">
        <v>1223</v>
      </c>
      <c r="B3208" s="139" t="s">
        <v>1223</v>
      </c>
      <c r="C3208" s="139" t="s">
        <v>1223</v>
      </c>
      <c r="D3208" s="139" t="s">
        <v>1223</v>
      </c>
      <c r="E3208" s="139" t="s">
        <v>1223</v>
      </c>
      <c r="F3208" s="139" t="s">
        <v>1223</v>
      </c>
      <c r="G3208" s="139" t="s">
        <v>1223</v>
      </c>
      <c r="H3208" s="139" t="s">
        <v>1223</v>
      </c>
      <c r="I3208" s="139" t="s">
        <v>1223</v>
      </c>
      <c r="J3208" s="139" t="s">
        <v>1223</v>
      </c>
      <c r="K3208" s="139" t="s">
        <v>1223</v>
      </c>
      <c r="L3208" s="139" t="s">
        <v>1223</v>
      </c>
      <c r="M3208" s="139" t="s">
        <v>1223</v>
      </c>
      <c r="N3208" s="139" t="s">
        <v>1223</v>
      </c>
      <c r="O3208" s="139" t="s">
        <v>1223</v>
      </c>
      <c r="P3208" s="139" t="s">
        <v>1223</v>
      </c>
      <c r="Q3208" s="141" t="s">
        <v>1263</v>
      </c>
      <c r="R3208" s="3"/>
      <c r="S3208" s="3"/>
    </row>
    <row r="3209" spans="1:19">
      <c r="A3209" s="139" t="s">
        <v>1223</v>
      </c>
      <c r="B3209" s="139" t="s">
        <v>1223</v>
      </c>
      <c r="C3209" s="139" t="s">
        <v>1223</v>
      </c>
      <c r="D3209" s="139" t="s">
        <v>1223</v>
      </c>
      <c r="E3209" s="139" t="s">
        <v>1223</v>
      </c>
      <c r="F3209" s="139" t="s">
        <v>1223</v>
      </c>
      <c r="G3209" s="139" t="s">
        <v>1223</v>
      </c>
      <c r="H3209" s="139" t="s">
        <v>1223</v>
      </c>
      <c r="I3209" s="139" t="s">
        <v>1223</v>
      </c>
      <c r="J3209" s="139" t="s">
        <v>1223</v>
      </c>
      <c r="K3209" s="139" t="s">
        <v>1223</v>
      </c>
      <c r="L3209" s="139" t="s">
        <v>1223</v>
      </c>
      <c r="M3209" s="139" t="s">
        <v>1223</v>
      </c>
      <c r="N3209" s="139" t="s">
        <v>1223</v>
      </c>
      <c r="O3209" s="139" t="s">
        <v>1223</v>
      </c>
      <c r="P3209" s="139" t="s">
        <v>1223</v>
      </c>
      <c r="Q3209" s="141" t="s">
        <v>1264</v>
      </c>
      <c r="R3209" s="3"/>
      <c r="S3209" s="3"/>
    </row>
    <row r="3210" spans="1:19">
      <c r="A3210" s="139" t="s">
        <v>1223</v>
      </c>
      <c r="B3210" s="139" t="s">
        <v>1223</v>
      </c>
      <c r="C3210" s="139" t="s">
        <v>1223</v>
      </c>
      <c r="D3210" s="139" t="s">
        <v>1223</v>
      </c>
      <c r="E3210" s="139" t="s">
        <v>1223</v>
      </c>
      <c r="F3210" s="139" t="s">
        <v>1223</v>
      </c>
      <c r="G3210" s="139" t="s">
        <v>1223</v>
      </c>
      <c r="H3210" s="139" t="s">
        <v>1223</v>
      </c>
      <c r="I3210" s="139" t="s">
        <v>1223</v>
      </c>
      <c r="J3210" s="139" t="s">
        <v>1223</v>
      </c>
      <c r="K3210" s="139" t="s">
        <v>1223</v>
      </c>
      <c r="L3210" s="139" t="s">
        <v>1223</v>
      </c>
      <c r="M3210" s="139" t="s">
        <v>1223</v>
      </c>
      <c r="N3210" s="139" t="s">
        <v>1223</v>
      </c>
      <c r="O3210" s="139" t="s">
        <v>1223</v>
      </c>
      <c r="P3210" s="139" t="s">
        <v>1223</v>
      </c>
      <c r="Q3210" s="141" t="s">
        <v>1265</v>
      </c>
      <c r="R3210" s="3"/>
      <c r="S3210" s="3"/>
    </row>
    <row r="3211" spans="1:19">
      <c r="A3211" s="139" t="s">
        <v>1223</v>
      </c>
      <c r="B3211" s="139" t="s">
        <v>1223</v>
      </c>
      <c r="C3211" s="139" t="s">
        <v>1223</v>
      </c>
      <c r="D3211" s="139" t="s">
        <v>1223</v>
      </c>
      <c r="E3211" s="139" t="s">
        <v>1223</v>
      </c>
      <c r="F3211" s="139" t="s">
        <v>1223</v>
      </c>
      <c r="G3211" s="139" t="s">
        <v>1223</v>
      </c>
      <c r="H3211" s="139" t="s">
        <v>1223</v>
      </c>
      <c r="I3211" s="139" t="s">
        <v>1223</v>
      </c>
      <c r="J3211" s="139" t="s">
        <v>1223</v>
      </c>
      <c r="K3211" s="139" t="s">
        <v>1223</v>
      </c>
      <c r="L3211" s="139" t="s">
        <v>1223</v>
      </c>
      <c r="M3211" s="139" t="s">
        <v>1223</v>
      </c>
      <c r="N3211" s="139" t="s">
        <v>1223</v>
      </c>
      <c r="O3211" s="139" t="s">
        <v>1223</v>
      </c>
      <c r="P3211" s="139" t="s">
        <v>1223</v>
      </c>
      <c r="Q3211" s="141" t="s">
        <v>1266</v>
      </c>
    </row>
    <row r="3212" spans="1:19">
      <c r="A3212" s="139" t="s">
        <v>1223</v>
      </c>
      <c r="B3212" s="139" t="s">
        <v>1223</v>
      </c>
      <c r="C3212" s="139" t="s">
        <v>1223</v>
      </c>
      <c r="D3212" s="139" t="s">
        <v>1223</v>
      </c>
      <c r="E3212" s="139" t="s">
        <v>1223</v>
      </c>
      <c r="F3212" s="139" t="s">
        <v>1223</v>
      </c>
      <c r="G3212" s="139" t="s">
        <v>1223</v>
      </c>
      <c r="H3212" s="139" t="s">
        <v>1223</v>
      </c>
      <c r="I3212" s="139" t="s">
        <v>1223</v>
      </c>
      <c r="J3212" s="139" t="s">
        <v>1223</v>
      </c>
      <c r="K3212" s="139" t="s">
        <v>1223</v>
      </c>
      <c r="L3212" s="139" t="s">
        <v>1223</v>
      </c>
      <c r="M3212" s="139" t="s">
        <v>1223</v>
      </c>
      <c r="N3212" s="139" t="s">
        <v>1223</v>
      </c>
      <c r="O3212" s="139" t="s">
        <v>1223</v>
      </c>
      <c r="P3212" s="139" t="s">
        <v>1223</v>
      </c>
      <c r="Q3212" s="141" t="s">
        <v>1267</v>
      </c>
    </row>
    <row r="3213" spans="1:19">
      <c r="A3213" s="139" t="s">
        <v>1223</v>
      </c>
      <c r="B3213" s="139" t="s">
        <v>1223</v>
      </c>
      <c r="C3213" s="139" t="s">
        <v>1223</v>
      </c>
      <c r="D3213" s="139" t="s">
        <v>1223</v>
      </c>
      <c r="E3213" s="139" t="s">
        <v>1223</v>
      </c>
      <c r="F3213" s="139" t="s">
        <v>1223</v>
      </c>
      <c r="G3213" s="139" t="s">
        <v>1223</v>
      </c>
      <c r="H3213" s="139" t="s">
        <v>1223</v>
      </c>
      <c r="I3213" s="139" t="s">
        <v>1223</v>
      </c>
      <c r="J3213" s="139" t="s">
        <v>1223</v>
      </c>
      <c r="K3213" s="139" t="s">
        <v>1223</v>
      </c>
      <c r="L3213" s="139" t="s">
        <v>1223</v>
      </c>
      <c r="M3213" s="139" t="s">
        <v>1223</v>
      </c>
      <c r="N3213" s="139" t="s">
        <v>1223</v>
      </c>
      <c r="O3213" s="139" t="s">
        <v>1223</v>
      </c>
      <c r="P3213" s="139" t="s">
        <v>1223</v>
      </c>
      <c r="Q3213" s="141" t="s">
        <v>1268</v>
      </c>
    </row>
    <row r="3214" spans="1:19">
      <c r="A3214" s="139" t="s">
        <v>1223</v>
      </c>
      <c r="B3214" s="139" t="s">
        <v>1223</v>
      </c>
      <c r="C3214" s="139" t="s">
        <v>1223</v>
      </c>
      <c r="D3214" s="139" t="s">
        <v>1223</v>
      </c>
      <c r="E3214" s="139" t="s">
        <v>1223</v>
      </c>
      <c r="F3214" s="139" t="s">
        <v>1223</v>
      </c>
      <c r="G3214" s="139" t="s">
        <v>1223</v>
      </c>
      <c r="H3214" s="139" t="s">
        <v>1223</v>
      </c>
      <c r="I3214" s="139" t="s">
        <v>1223</v>
      </c>
      <c r="J3214" s="139" t="s">
        <v>1223</v>
      </c>
      <c r="K3214" s="139" t="s">
        <v>1223</v>
      </c>
      <c r="L3214" s="139" t="s">
        <v>1223</v>
      </c>
      <c r="M3214" s="139" t="s">
        <v>1223</v>
      </c>
      <c r="N3214" s="139" t="s">
        <v>1223</v>
      </c>
      <c r="O3214" s="139" t="s">
        <v>1223</v>
      </c>
      <c r="P3214" s="139" t="s">
        <v>1223</v>
      </c>
      <c r="Q3214" s="141" t="s">
        <v>1269</v>
      </c>
      <c r="R3214" s="3"/>
      <c r="S3214" s="3"/>
    </row>
    <row r="3215" spans="1:19">
      <c r="A3215" s="139" t="s">
        <v>1223</v>
      </c>
      <c r="B3215" s="139" t="s">
        <v>1223</v>
      </c>
      <c r="C3215" s="139" t="s">
        <v>1223</v>
      </c>
      <c r="D3215" s="139" t="s">
        <v>1223</v>
      </c>
      <c r="E3215" s="139" t="s">
        <v>1223</v>
      </c>
      <c r="F3215" s="139" t="s">
        <v>1223</v>
      </c>
      <c r="G3215" s="139" t="s">
        <v>1223</v>
      </c>
      <c r="H3215" s="139" t="s">
        <v>1223</v>
      </c>
      <c r="I3215" s="139" t="s">
        <v>1223</v>
      </c>
      <c r="J3215" s="139" t="s">
        <v>1223</v>
      </c>
      <c r="K3215" s="139" t="s">
        <v>1223</v>
      </c>
      <c r="L3215" s="139" t="s">
        <v>1223</v>
      </c>
      <c r="M3215" s="139" t="s">
        <v>1223</v>
      </c>
      <c r="N3215" s="139" t="s">
        <v>1223</v>
      </c>
      <c r="O3215" s="139" t="s">
        <v>1223</v>
      </c>
      <c r="P3215" s="139" t="s">
        <v>1223</v>
      </c>
      <c r="Q3215" s="141" t="s">
        <v>1270</v>
      </c>
      <c r="R3215" s="3"/>
      <c r="S3215" s="3"/>
    </row>
    <row r="3216" spans="1:19">
      <c r="A3216" s="139" t="s">
        <v>1223</v>
      </c>
      <c r="B3216" s="139" t="s">
        <v>1223</v>
      </c>
      <c r="C3216" s="139" t="s">
        <v>1223</v>
      </c>
      <c r="D3216" s="139" t="s">
        <v>1223</v>
      </c>
      <c r="E3216" s="139" t="s">
        <v>1223</v>
      </c>
      <c r="F3216" s="139" t="s">
        <v>1223</v>
      </c>
      <c r="G3216" s="139" t="s">
        <v>1223</v>
      </c>
      <c r="H3216" s="139" t="s">
        <v>1223</v>
      </c>
      <c r="I3216" s="139" t="s">
        <v>1223</v>
      </c>
      <c r="J3216" s="139" t="s">
        <v>1223</v>
      </c>
      <c r="K3216" s="139" t="s">
        <v>1223</v>
      </c>
      <c r="L3216" s="139" t="s">
        <v>1223</v>
      </c>
      <c r="M3216" s="139" t="s">
        <v>1223</v>
      </c>
      <c r="N3216" s="139" t="s">
        <v>1223</v>
      </c>
      <c r="O3216" s="139" t="s">
        <v>1223</v>
      </c>
      <c r="P3216" s="139" t="s">
        <v>1223</v>
      </c>
      <c r="Q3216" s="141" t="s">
        <v>1271</v>
      </c>
      <c r="R3216" s="3"/>
      <c r="S3216" s="3"/>
    </row>
    <row r="3217" spans="1:19">
      <c r="A3217" s="139" t="s">
        <v>1223</v>
      </c>
      <c r="B3217" s="139" t="s">
        <v>1223</v>
      </c>
      <c r="C3217" s="139" t="s">
        <v>1223</v>
      </c>
      <c r="D3217" s="139" t="s">
        <v>1223</v>
      </c>
      <c r="E3217" s="139" t="s">
        <v>1223</v>
      </c>
      <c r="F3217" s="139" t="s">
        <v>1223</v>
      </c>
      <c r="G3217" s="139" t="s">
        <v>1223</v>
      </c>
      <c r="H3217" s="139" t="s">
        <v>1223</v>
      </c>
      <c r="I3217" s="139" t="s">
        <v>1223</v>
      </c>
      <c r="J3217" s="139" t="s">
        <v>1223</v>
      </c>
      <c r="K3217" s="139" t="s">
        <v>1223</v>
      </c>
      <c r="L3217" s="139" t="s">
        <v>1223</v>
      </c>
      <c r="M3217" s="139" t="s">
        <v>1223</v>
      </c>
      <c r="N3217" s="139" t="s">
        <v>1223</v>
      </c>
      <c r="O3217" s="139" t="s">
        <v>1223</v>
      </c>
      <c r="P3217" s="139" t="s">
        <v>1223</v>
      </c>
      <c r="Q3217" s="141" t="s">
        <v>1272</v>
      </c>
      <c r="R3217" s="3"/>
      <c r="S3217" s="3"/>
    </row>
    <row r="3218" spans="1:19">
      <c r="A3218" s="139" t="s">
        <v>1223</v>
      </c>
      <c r="B3218" s="139" t="s">
        <v>1223</v>
      </c>
      <c r="C3218" s="139" t="s">
        <v>1223</v>
      </c>
      <c r="D3218" s="139" t="s">
        <v>1223</v>
      </c>
      <c r="E3218" s="139" t="s">
        <v>1223</v>
      </c>
      <c r="F3218" s="139" t="s">
        <v>1223</v>
      </c>
      <c r="G3218" s="139" t="s">
        <v>1223</v>
      </c>
      <c r="H3218" s="139" t="s">
        <v>1223</v>
      </c>
      <c r="I3218" s="139" t="s">
        <v>1223</v>
      </c>
      <c r="J3218" s="139" t="s">
        <v>1223</v>
      </c>
      <c r="K3218" s="139" t="s">
        <v>1223</v>
      </c>
      <c r="L3218" s="139" t="s">
        <v>1223</v>
      </c>
      <c r="M3218" s="139" t="s">
        <v>1223</v>
      </c>
      <c r="N3218" s="139" t="s">
        <v>1223</v>
      </c>
      <c r="O3218" s="139" t="s">
        <v>1223</v>
      </c>
      <c r="P3218" s="139" t="s">
        <v>1223</v>
      </c>
      <c r="Q3218" s="141" t="s">
        <v>1273</v>
      </c>
      <c r="R3218" s="3"/>
      <c r="S3218" s="3"/>
    </row>
    <row r="3219" spans="1:19">
      <c r="A3219" s="139" t="s">
        <v>1223</v>
      </c>
      <c r="B3219" s="139" t="s">
        <v>1223</v>
      </c>
      <c r="C3219" s="139" t="s">
        <v>1223</v>
      </c>
      <c r="D3219" s="139" t="s">
        <v>1223</v>
      </c>
      <c r="E3219" s="139" t="s">
        <v>1223</v>
      </c>
      <c r="F3219" s="139" t="s">
        <v>1223</v>
      </c>
      <c r="G3219" s="139" t="s">
        <v>1223</v>
      </c>
      <c r="H3219" s="139" t="s">
        <v>1223</v>
      </c>
      <c r="I3219" s="139" t="s">
        <v>1223</v>
      </c>
      <c r="J3219" s="139" t="s">
        <v>1223</v>
      </c>
      <c r="K3219" s="139" t="s">
        <v>1223</v>
      </c>
      <c r="L3219" s="139" t="s">
        <v>1223</v>
      </c>
      <c r="M3219" s="139" t="s">
        <v>1223</v>
      </c>
      <c r="N3219" s="139" t="s">
        <v>1223</v>
      </c>
      <c r="O3219" s="139" t="s">
        <v>1223</v>
      </c>
      <c r="P3219" s="139" t="s">
        <v>1223</v>
      </c>
      <c r="Q3219" s="141" t="s">
        <v>1274</v>
      </c>
      <c r="R3219" s="3"/>
      <c r="S3219" s="3"/>
    </row>
    <row r="3220" spans="1:19">
      <c r="A3220" s="139" t="s">
        <v>1223</v>
      </c>
      <c r="B3220" s="139" t="s">
        <v>1223</v>
      </c>
      <c r="C3220" s="139" t="s">
        <v>1223</v>
      </c>
      <c r="D3220" s="139" t="s">
        <v>1223</v>
      </c>
      <c r="E3220" s="139" t="s">
        <v>1223</v>
      </c>
      <c r="F3220" s="139" t="s">
        <v>1223</v>
      </c>
      <c r="G3220" s="139" t="s">
        <v>1223</v>
      </c>
      <c r="H3220" s="139" t="s">
        <v>1223</v>
      </c>
      <c r="I3220" s="139" t="s">
        <v>1223</v>
      </c>
      <c r="J3220" s="139" t="s">
        <v>1223</v>
      </c>
      <c r="K3220" s="139" t="s">
        <v>1223</v>
      </c>
      <c r="L3220" s="139" t="s">
        <v>1223</v>
      </c>
      <c r="M3220" s="139" t="s">
        <v>1223</v>
      </c>
      <c r="N3220" s="139" t="s">
        <v>1223</v>
      </c>
      <c r="O3220" s="139" t="s">
        <v>1223</v>
      </c>
      <c r="P3220" s="139" t="s">
        <v>1223</v>
      </c>
      <c r="Q3220" s="141" t="s">
        <v>1275</v>
      </c>
      <c r="R3220" s="3"/>
      <c r="S3220" s="3"/>
    </row>
    <row r="3221" spans="1:19">
      <c r="A3221" s="139" t="s">
        <v>1223</v>
      </c>
      <c r="B3221" s="139" t="s">
        <v>1223</v>
      </c>
      <c r="C3221" s="139" t="s">
        <v>1223</v>
      </c>
      <c r="D3221" s="139" t="s">
        <v>1223</v>
      </c>
      <c r="E3221" s="139" t="s">
        <v>1223</v>
      </c>
      <c r="F3221" s="139" t="s">
        <v>1223</v>
      </c>
      <c r="G3221" s="139" t="s">
        <v>1223</v>
      </c>
      <c r="H3221" s="139" t="s">
        <v>1223</v>
      </c>
      <c r="I3221" s="139" t="s">
        <v>1223</v>
      </c>
      <c r="J3221" s="139" t="s">
        <v>1223</v>
      </c>
      <c r="K3221" s="139" t="s">
        <v>1223</v>
      </c>
      <c r="L3221" s="139" t="s">
        <v>1223</v>
      </c>
      <c r="M3221" s="139" t="s">
        <v>1223</v>
      </c>
      <c r="N3221" s="139" t="s">
        <v>1223</v>
      </c>
      <c r="O3221" s="139" t="s">
        <v>1223</v>
      </c>
      <c r="P3221" s="139" t="s">
        <v>1223</v>
      </c>
      <c r="Q3221" s="141" t="s">
        <v>1276</v>
      </c>
      <c r="R3221" s="3"/>
      <c r="S3221" s="3"/>
    </row>
    <row r="3222" spans="1:19">
      <c r="A3222" s="139" t="s">
        <v>1223</v>
      </c>
      <c r="B3222" s="139" t="s">
        <v>1223</v>
      </c>
      <c r="C3222" s="139" t="s">
        <v>1223</v>
      </c>
      <c r="D3222" s="139" t="s">
        <v>1223</v>
      </c>
      <c r="E3222" s="139" t="s">
        <v>1223</v>
      </c>
      <c r="F3222" s="139" t="s">
        <v>1223</v>
      </c>
      <c r="G3222" s="139" t="s">
        <v>1223</v>
      </c>
      <c r="H3222" s="139" t="s">
        <v>1223</v>
      </c>
      <c r="I3222" s="139" t="s">
        <v>1223</v>
      </c>
      <c r="J3222" s="139" t="s">
        <v>1223</v>
      </c>
      <c r="K3222" s="139" t="s">
        <v>1223</v>
      </c>
      <c r="L3222" s="139" t="s">
        <v>1223</v>
      </c>
      <c r="M3222" s="139" t="s">
        <v>1223</v>
      </c>
      <c r="N3222" s="139" t="s">
        <v>1223</v>
      </c>
      <c r="O3222" s="139" t="s">
        <v>1223</v>
      </c>
      <c r="P3222" s="139" t="s">
        <v>1223</v>
      </c>
      <c r="Q3222" s="141" t="s">
        <v>1277</v>
      </c>
      <c r="R3222" s="3"/>
      <c r="S3222" s="3"/>
    </row>
    <row r="3223" spans="1:19">
      <c r="A3223" s="139" t="s">
        <v>1223</v>
      </c>
      <c r="B3223" s="139" t="s">
        <v>1223</v>
      </c>
      <c r="C3223" s="139" t="s">
        <v>1223</v>
      </c>
      <c r="D3223" s="139" t="s">
        <v>1223</v>
      </c>
      <c r="E3223" s="139" t="s">
        <v>1223</v>
      </c>
      <c r="F3223" s="139" t="s">
        <v>1223</v>
      </c>
      <c r="G3223" s="139" t="s">
        <v>1223</v>
      </c>
      <c r="H3223" s="139" t="s">
        <v>1223</v>
      </c>
      <c r="I3223" s="139" t="s">
        <v>1223</v>
      </c>
      <c r="J3223" s="139" t="s">
        <v>1223</v>
      </c>
      <c r="K3223" s="139" t="s">
        <v>1223</v>
      </c>
      <c r="L3223" s="139" t="s">
        <v>1223</v>
      </c>
      <c r="M3223" s="139" t="s">
        <v>1223</v>
      </c>
      <c r="N3223" s="139" t="s">
        <v>1223</v>
      </c>
      <c r="O3223" s="139" t="s">
        <v>1223</v>
      </c>
      <c r="P3223" s="139" t="s">
        <v>1223</v>
      </c>
      <c r="Q3223" s="141" t="s">
        <v>1278</v>
      </c>
    </row>
    <row r="3224" spans="1:19">
      <c r="A3224" s="139" t="s">
        <v>1223</v>
      </c>
      <c r="B3224" s="139" t="s">
        <v>1223</v>
      </c>
      <c r="C3224" s="139" t="s">
        <v>1223</v>
      </c>
      <c r="D3224" s="139" t="s">
        <v>1223</v>
      </c>
      <c r="E3224" s="139" t="s">
        <v>1223</v>
      </c>
      <c r="F3224" s="139" t="s">
        <v>1223</v>
      </c>
      <c r="G3224" s="139" t="s">
        <v>1223</v>
      </c>
      <c r="H3224" s="139" t="s">
        <v>1223</v>
      </c>
      <c r="I3224" s="139" t="s">
        <v>1223</v>
      </c>
      <c r="J3224" s="139" t="s">
        <v>1223</v>
      </c>
      <c r="K3224" s="139" t="s">
        <v>1223</v>
      </c>
      <c r="L3224" s="139" t="s">
        <v>1223</v>
      </c>
      <c r="M3224" s="139" t="s">
        <v>1223</v>
      </c>
      <c r="N3224" s="139" t="s">
        <v>1223</v>
      </c>
      <c r="O3224" s="139" t="s">
        <v>1223</v>
      </c>
      <c r="P3224" s="139" t="s">
        <v>1223</v>
      </c>
      <c r="Q3224" s="141" t="s">
        <v>1279</v>
      </c>
      <c r="R3224" s="3"/>
      <c r="S3224" s="3"/>
    </row>
    <row r="3225" spans="1:19">
      <c r="A3225" s="139" t="s">
        <v>1223</v>
      </c>
      <c r="B3225" s="139" t="s">
        <v>1223</v>
      </c>
      <c r="C3225" s="139" t="s">
        <v>1223</v>
      </c>
      <c r="D3225" s="139" t="s">
        <v>1223</v>
      </c>
      <c r="E3225" s="139" t="s">
        <v>1223</v>
      </c>
      <c r="F3225" s="139" t="s">
        <v>1223</v>
      </c>
      <c r="G3225" s="139" t="s">
        <v>1223</v>
      </c>
      <c r="H3225" s="139" t="s">
        <v>1223</v>
      </c>
      <c r="I3225" s="139" t="s">
        <v>1223</v>
      </c>
      <c r="J3225" s="139" t="s">
        <v>1223</v>
      </c>
      <c r="K3225" s="139" t="s">
        <v>1223</v>
      </c>
      <c r="L3225" s="139" t="s">
        <v>1223</v>
      </c>
      <c r="M3225" s="139" t="s">
        <v>1223</v>
      </c>
      <c r="N3225" s="139" t="s">
        <v>1223</v>
      </c>
      <c r="O3225" s="139" t="s">
        <v>1223</v>
      </c>
      <c r="P3225" s="139" t="s">
        <v>1223</v>
      </c>
      <c r="Q3225" s="141" t="s">
        <v>1280</v>
      </c>
      <c r="R3225" s="3"/>
      <c r="S3225" s="3"/>
    </row>
    <row r="3226" spans="1:19">
      <c r="A3226" s="139" t="s">
        <v>1223</v>
      </c>
      <c r="B3226" s="139" t="s">
        <v>1223</v>
      </c>
      <c r="C3226" s="139" t="s">
        <v>1223</v>
      </c>
      <c r="D3226" s="139" t="s">
        <v>1223</v>
      </c>
      <c r="E3226" s="139" t="s">
        <v>1223</v>
      </c>
      <c r="F3226" s="139" t="s">
        <v>1223</v>
      </c>
      <c r="G3226" s="139" t="s">
        <v>1223</v>
      </c>
      <c r="H3226" s="139" t="s">
        <v>1223</v>
      </c>
      <c r="I3226" s="139" t="s">
        <v>1223</v>
      </c>
      <c r="J3226" s="139" t="s">
        <v>1223</v>
      </c>
      <c r="K3226" s="139" t="s">
        <v>1223</v>
      </c>
      <c r="L3226" s="139" t="s">
        <v>1223</v>
      </c>
      <c r="M3226" s="139" t="s">
        <v>1223</v>
      </c>
      <c r="N3226" s="139" t="s">
        <v>1223</v>
      </c>
      <c r="O3226" s="139" t="s">
        <v>1223</v>
      </c>
      <c r="P3226" s="139" t="s">
        <v>1223</v>
      </c>
      <c r="Q3226" s="141" t="s">
        <v>1281</v>
      </c>
      <c r="R3226" s="3"/>
      <c r="S3226" s="3"/>
    </row>
    <row r="3227" spans="1:19">
      <c r="A3227" s="139" t="s">
        <v>1223</v>
      </c>
      <c r="B3227" s="139" t="s">
        <v>1223</v>
      </c>
      <c r="C3227" s="139" t="s">
        <v>1223</v>
      </c>
      <c r="D3227" s="139" t="s">
        <v>1223</v>
      </c>
      <c r="E3227" s="139" t="s">
        <v>1223</v>
      </c>
      <c r="F3227" s="139" t="s">
        <v>1223</v>
      </c>
      <c r="G3227" s="139" t="s">
        <v>1223</v>
      </c>
      <c r="H3227" s="139" t="s">
        <v>1223</v>
      </c>
      <c r="I3227" s="139" t="s">
        <v>1223</v>
      </c>
      <c r="J3227" s="139" t="s">
        <v>1223</v>
      </c>
      <c r="K3227" s="139" t="s">
        <v>1223</v>
      </c>
      <c r="L3227" s="139" t="s">
        <v>1223</v>
      </c>
      <c r="M3227" s="139" t="s">
        <v>1223</v>
      </c>
      <c r="N3227" s="139" t="s">
        <v>1223</v>
      </c>
      <c r="O3227" s="139" t="s">
        <v>1223</v>
      </c>
      <c r="P3227" s="139" t="s">
        <v>1223</v>
      </c>
      <c r="Q3227" s="141" t="s">
        <v>1282</v>
      </c>
      <c r="R3227" s="3"/>
      <c r="S3227" s="3"/>
    </row>
    <row r="3228" spans="1:19">
      <c r="A3228" s="139" t="s">
        <v>1223</v>
      </c>
      <c r="B3228" s="139" t="s">
        <v>1223</v>
      </c>
      <c r="C3228" s="139" t="s">
        <v>1223</v>
      </c>
      <c r="D3228" s="139" t="s">
        <v>1223</v>
      </c>
      <c r="E3228" s="139" t="s">
        <v>1223</v>
      </c>
      <c r="F3228" s="139" t="s">
        <v>1223</v>
      </c>
      <c r="G3228" s="139" t="s">
        <v>1223</v>
      </c>
      <c r="H3228" s="139" t="s">
        <v>1223</v>
      </c>
      <c r="I3228" s="139" t="s">
        <v>1223</v>
      </c>
      <c r="J3228" s="139" t="s">
        <v>1223</v>
      </c>
      <c r="K3228" s="139" t="s">
        <v>1223</v>
      </c>
      <c r="L3228" s="139" t="s">
        <v>1223</v>
      </c>
      <c r="M3228" s="139" t="s">
        <v>1223</v>
      </c>
      <c r="N3228" s="139" t="s">
        <v>1223</v>
      </c>
      <c r="O3228" s="139" t="s">
        <v>1223</v>
      </c>
      <c r="P3228" s="139" t="s">
        <v>1223</v>
      </c>
      <c r="Q3228" s="141" t="s">
        <v>1283</v>
      </c>
      <c r="R3228" s="3"/>
      <c r="S3228" s="3"/>
    </row>
    <row r="3229" spans="1:19">
      <c r="A3229" s="139" t="s">
        <v>1223</v>
      </c>
      <c r="B3229" s="139" t="s">
        <v>1223</v>
      </c>
      <c r="C3229" s="139" t="s">
        <v>1223</v>
      </c>
      <c r="D3229" s="139" t="s">
        <v>1223</v>
      </c>
      <c r="E3229" s="139" t="s">
        <v>1223</v>
      </c>
      <c r="F3229" s="139" t="s">
        <v>1223</v>
      </c>
      <c r="G3229" s="139" t="s">
        <v>1223</v>
      </c>
      <c r="H3229" s="139" t="s">
        <v>1223</v>
      </c>
      <c r="I3229" s="139" t="s">
        <v>1223</v>
      </c>
      <c r="J3229" s="139" t="s">
        <v>1223</v>
      </c>
      <c r="K3229" s="139" t="s">
        <v>1223</v>
      </c>
      <c r="L3229" s="139" t="s">
        <v>1223</v>
      </c>
      <c r="M3229" s="139" t="s">
        <v>1223</v>
      </c>
      <c r="N3229" s="139" t="s">
        <v>1223</v>
      </c>
      <c r="O3229" s="139" t="s">
        <v>1223</v>
      </c>
      <c r="P3229" s="139" t="s">
        <v>1223</v>
      </c>
      <c r="Q3229" s="141" t="s">
        <v>1284</v>
      </c>
      <c r="R3229" s="3"/>
      <c r="S3229" s="3"/>
    </row>
    <row r="3230" spans="1:19">
      <c r="A3230" s="139" t="s">
        <v>1223</v>
      </c>
      <c r="B3230" s="139" t="s">
        <v>1223</v>
      </c>
      <c r="C3230" s="139" t="s">
        <v>1223</v>
      </c>
      <c r="D3230" s="139" t="s">
        <v>1223</v>
      </c>
      <c r="E3230" s="139" t="s">
        <v>1223</v>
      </c>
      <c r="F3230" s="139" t="s">
        <v>1223</v>
      </c>
      <c r="G3230" s="139" t="s">
        <v>1223</v>
      </c>
      <c r="H3230" s="139" t="s">
        <v>1223</v>
      </c>
      <c r="I3230" s="139" t="s">
        <v>1223</v>
      </c>
      <c r="J3230" s="139" t="s">
        <v>1223</v>
      </c>
      <c r="K3230" s="139" t="s">
        <v>1223</v>
      </c>
      <c r="L3230" s="139" t="s">
        <v>1223</v>
      </c>
      <c r="M3230" s="139" t="s">
        <v>1223</v>
      </c>
      <c r="N3230" s="139" t="s">
        <v>1223</v>
      </c>
      <c r="O3230" s="139" t="s">
        <v>1223</v>
      </c>
      <c r="P3230" s="139" t="s">
        <v>1223</v>
      </c>
      <c r="Q3230" s="141" t="s">
        <v>1285</v>
      </c>
      <c r="R3230" s="3"/>
      <c r="S3230" s="3"/>
    </row>
    <row r="3231" spans="1:19">
      <c r="A3231" s="139" t="s">
        <v>1223</v>
      </c>
      <c r="B3231" s="139" t="s">
        <v>1223</v>
      </c>
      <c r="C3231" s="139" t="s">
        <v>1223</v>
      </c>
      <c r="D3231" s="139" t="s">
        <v>1223</v>
      </c>
      <c r="E3231" s="139" t="s">
        <v>1223</v>
      </c>
      <c r="F3231" s="139" t="s">
        <v>1223</v>
      </c>
      <c r="G3231" s="139" t="s">
        <v>1223</v>
      </c>
      <c r="H3231" s="139" t="s">
        <v>1223</v>
      </c>
      <c r="I3231" s="139"/>
      <c r="J3231" s="139"/>
      <c r="K3231" s="139"/>
      <c r="L3231" s="139"/>
      <c r="M3231" s="139"/>
      <c r="N3231" s="139"/>
      <c r="O3231" s="139"/>
      <c r="P3231" s="139"/>
      <c r="Q3231" s="141" t="s">
        <v>1286</v>
      </c>
      <c r="R3231" s="3"/>
      <c r="S3231" s="3"/>
    </row>
    <row r="3232" spans="1:19" ht="15">
      <c r="A3232" s="137" t="s">
        <v>1289</v>
      </c>
      <c r="B3232" s="137"/>
      <c r="C3232" s="137"/>
      <c r="D3232" s="137"/>
      <c r="E3232" s="137"/>
      <c r="F3232" s="137"/>
      <c r="G3232" s="137"/>
      <c r="H3232" s="137"/>
      <c r="I3232" s="137"/>
      <c r="J3232" s="137"/>
      <c r="K3232" s="137"/>
      <c r="L3232" s="137"/>
      <c r="M3232" s="137"/>
      <c r="N3232" s="137"/>
      <c r="O3232" s="137"/>
      <c r="P3232" s="137"/>
      <c r="Q3232" s="137"/>
      <c r="R3232" s="3"/>
      <c r="S3232" s="3"/>
    </row>
    <row r="3233" spans="1:19">
      <c r="A3233" s="138">
        <v>21</v>
      </c>
      <c r="B3233" s="138">
        <v>21</v>
      </c>
      <c r="C3233" s="138">
        <v>21</v>
      </c>
      <c r="D3233" s="138">
        <v>21</v>
      </c>
      <c r="E3233" s="139" t="s">
        <v>1223</v>
      </c>
      <c r="F3233" s="139" t="s">
        <v>1223</v>
      </c>
      <c r="G3233" s="140">
        <v>32</v>
      </c>
      <c r="H3233" s="140">
        <v>32</v>
      </c>
      <c r="I3233" s="140">
        <v>32</v>
      </c>
      <c r="J3233" s="140">
        <v>32</v>
      </c>
      <c r="K3233" s="140">
        <v>32</v>
      </c>
      <c r="L3233" s="140">
        <v>32</v>
      </c>
      <c r="M3233" s="139" t="s">
        <v>1223</v>
      </c>
      <c r="N3233" s="139" t="s">
        <v>1223</v>
      </c>
      <c r="O3233" s="139" t="s">
        <v>1223</v>
      </c>
      <c r="P3233" s="139" t="s">
        <v>1223</v>
      </c>
      <c r="Q3233" s="141" t="s">
        <v>1224</v>
      </c>
      <c r="R3233" s="3"/>
      <c r="S3233" s="3"/>
    </row>
    <row r="3234" spans="1:19">
      <c r="A3234" s="139" t="s">
        <v>1223</v>
      </c>
      <c r="B3234" s="139" t="s">
        <v>1223</v>
      </c>
      <c r="C3234" s="139" t="s">
        <v>1223</v>
      </c>
      <c r="D3234" s="139" t="s">
        <v>1223</v>
      </c>
      <c r="E3234" s="139" t="s">
        <v>1223</v>
      </c>
      <c r="F3234" s="139" t="s">
        <v>1223</v>
      </c>
      <c r="G3234" s="139" t="s">
        <v>1223</v>
      </c>
      <c r="H3234" s="139" t="s">
        <v>1223</v>
      </c>
      <c r="I3234" s="139" t="s">
        <v>1223</v>
      </c>
      <c r="J3234" s="139" t="s">
        <v>1223</v>
      </c>
      <c r="K3234" s="139" t="s">
        <v>1223</v>
      </c>
      <c r="L3234" s="139" t="s">
        <v>1223</v>
      </c>
      <c r="M3234" s="139" t="s">
        <v>1223</v>
      </c>
      <c r="N3234" s="139" t="s">
        <v>1223</v>
      </c>
      <c r="O3234" s="139" t="s">
        <v>1223</v>
      </c>
      <c r="P3234" s="139" t="s">
        <v>1223</v>
      </c>
      <c r="Q3234" s="141" t="s">
        <v>1225</v>
      </c>
      <c r="R3234" s="3"/>
      <c r="S3234" s="3"/>
    </row>
    <row r="3235" spans="1:19">
      <c r="A3235" s="139" t="s">
        <v>1223</v>
      </c>
      <c r="B3235" s="139" t="s">
        <v>1223</v>
      </c>
      <c r="C3235" s="139" t="s">
        <v>1223</v>
      </c>
      <c r="D3235" s="139" t="s">
        <v>1223</v>
      </c>
      <c r="E3235" s="139" t="s">
        <v>1223</v>
      </c>
      <c r="F3235" s="139" t="s">
        <v>1223</v>
      </c>
      <c r="G3235" s="139" t="s">
        <v>1223</v>
      </c>
      <c r="H3235" s="139" t="s">
        <v>1223</v>
      </c>
      <c r="I3235" s="139" t="s">
        <v>1223</v>
      </c>
      <c r="J3235" s="139" t="s">
        <v>1223</v>
      </c>
      <c r="K3235" s="139" t="s">
        <v>1223</v>
      </c>
      <c r="L3235" s="139" t="s">
        <v>1223</v>
      </c>
      <c r="M3235" s="139" t="s">
        <v>1223</v>
      </c>
      <c r="N3235" s="139" t="s">
        <v>1223</v>
      </c>
      <c r="O3235" s="139" t="s">
        <v>1223</v>
      </c>
      <c r="P3235" s="139" t="s">
        <v>1223</v>
      </c>
      <c r="Q3235" s="141" t="s">
        <v>1226</v>
      </c>
      <c r="R3235" s="3"/>
      <c r="S3235" s="3"/>
    </row>
    <row r="3236" spans="1:19">
      <c r="A3236" s="139" t="s">
        <v>1223</v>
      </c>
      <c r="B3236" s="139" t="s">
        <v>1223</v>
      </c>
      <c r="C3236" s="139" t="s">
        <v>1223</v>
      </c>
      <c r="D3236" s="139" t="s">
        <v>1223</v>
      </c>
      <c r="E3236" s="139" t="s">
        <v>1223</v>
      </c>
      <c r="F3236" s="139" t="s">
        <v>1223</v>
      </c>
      <c r="G3236" s="139" t="s">
        <v>1223</v>
      </c>
      <c r="H3236" s="139" t="s">
        <v>1223</v>
      </c>
      <c r="I3236" s="139" t="s">
        <v>1223</v>
      </c>
      <c r="J3236" s="139" t="s">
        <v>1223</v>
      </c>
      <c r="K3236" s="139" t="s">
        <v>1223</v>
      </c>
      <c r="L3236" s="139" t="s">
        <v>1223</v>
      </c>
      <c r="M3236" s="139" t="s">
        <v>1223</v>
      </c>
      <c r="N3236" s="139" t="s">
        <v>1223</v>
      </c>
      <c r="O3236" s="139" t="s">
        <v>1223</v>
      </c>
      <c r="P3236" s="139" t="s">
        <v>1223</v>
      </c>
      <c r="Q3236" s="141" t="s">
        <v>1227</v>
      </c>
      <c r="R3236" s="3"/>
      <c r="S3236" s="3"/>
    </row>
    <row r="3237" spans="1:19">
      <c r="A3237" s="139" t="s">
        <v>1223</v>
      </c>
      <c r="B3237" s="139" t="s">
        <v>1223</v>
      </c>
      <c r="C3237" s="139" t="s">
        <v>1223</v>
      </c>
      <c r="D3237" s="139" t="s">
        <v>1223</v>
      </c>
      <c r="E3237" s="139" t="s">
        <v>1223</v>
      </c>
      <c r="F3237" s="139" t="s">
        <v>1223</v>
      </c>
      <c r="G3237" s="139" t="s">
        <v>1223</v>
      </c>
      <c r="H3237" s="139" t="s">
        <v>1223</v>
      </c>
      <c r="I3237" s="139" t="s">
        <v>1223</v>
      </c>
      <c r="J3237" s="139" t="s">
        <v>1223</v>
      </c>
      <c r="K3237" s="139" t="s">
        <v>1223</v>
      </c>
      <c r="L3237" s="139" t="s">
        <v>1223</v>
      </c>
      <c r="M3237" s="139" t="s">
        <v>1223</v>
      </c>
      <c r="N3237" s="139" t="s">
        <v>1223</v>
      </c>
      <c r="O3237" s="139" t="s">
        <v>1223</v>
      </c>
      <c r="P3237" s="139" t="s">
        <v>1223</v>
      </c>
      <c r="Q3237" s="141" t="s">
        <v>1228</v>
      </c>
      <c r="R3237" s="3"/>
      <c r="S3237" s="3"/>
    </row>
    <row r="3238" spans="1:19">
      <c r="A3238" s="139" t="s">
        <v>1223</v>
      </c>
      <c r="B3238" s="139" t="s">
        <v>1223</v>
      </c>
      <c r="C3238" s="139" t="s">
        <v>1223</v>
      </c>
      <c r="D3238" s="139" t="s">
        <v>1223</v>
      </c>
      <c r="E3238" s="139" t="s">
        <v>1223</v>
      </c>
      <c r="F3238" s="139" t="s">
        <v>1223</v>
      </c>
      <c r="G3238" s="139" t="s">
        <v>1223</v>
      </c>
      <c r="H3238" s="139" t="s">
        <v>1223</v>
      </c>
      <c r="I3238" s="139" t="s">
        <v>1223</v>
      </c>
      <c r="J3238" s="139" t="s">
        <v>1223</v>
      </c>
      <c r="K3238" s="139" t="s">
        <v>1223</v>
      </c>
      <c r="L3238" s="139" t="s">
        <v>1223</v>
      </c>
      <c r="M3238" s="139" t="s">
        <v>1223</v>
      </c>
      <c r="N3238" s="139" t="s">
        <v>1223</v>
      </c>
      <c r="O3238" s="139" t="s">
        <v>1223</v>
      </c>
      <c r="P3238" s="139" t="s">
        <v>1223</v>
      </c>
      <c r="Q3238" s="141" t="s">
        <v>1229</v>
      </c>
      <c r="R3238" s="3"/>
      <c r="S3238" s="3"/>
    </row>
    <row r="3239" spans="1:19">
      <c r="A3239" s="139" t="s">
        <v>1223</v>
      </c>
      <c r="B3239" s="139" t="s">
        <v>1223</v>
      </c>
      <c r="C3239" s="139" t="s">
        <v>1223</v>
      </c>
      <c r="D3239" s="139" t="s">
        <v>1223</v>
      </c>
      <c r="E3239" s="139" t="s">
        <v>1223</v>
      </c>
      <c r="F3239" s="139" t="s">
        <v>1223</v>
      </c>
      <c r="G3239" s="139" t="s">
        <v>1223</v>
      </c>
      <c r="H3239" s="139" t="s">
        <v>1223</v>
      </c>
      <c r="I3239" s="139" t="s">
        <v>1223</v>
      </c>
      <c r="J3239" s="139" t="s">
        <v>1223</v>
      </c>
      <c r="K3239" s="139" t="s">
        <v>1223</v>
      </c>
      <c r="L3239" s="139" t="s">
        <v>1223</v>
      </c>
      <c r="M3239" s="139" t="s">
        <v>1223</v>
      </c>
      <c r="N3239" s="139" t="s">
        <v>1223</v>
      </c>
      <c r="O3239" s="139" t="s">
        <v>1223</v>
      </c>
      <c r="P3239" s="139" t="s">
        <v>1223</v>
      </c>
      <c r="Q3239" s="141" t="s">
        <v>1230</v>
      </c>
      <c r="R3239" s="3"/>
      <c r="S3239" s="3"/>
    </row>
    <row r="3240" spans="1:19">
      <c r="A3240" s="139" t="s">
        <v>1223</v>
      </c>
      <c r="B3240" s="139" t="s">
        <v>1223</v>
      </c>
      <c r="C3240" s="139" t="s">
        <v>1223</v>
      </c>
      <c r="D3240" s="139" t="s">
        <v>1223</v>
      </c>
      <c r="E3240" s="139" t="s">
        <v>1223</v>
      </c>
      <c r="F3240" s="139" t="s">
        <v>1223</v>
      </c>
      <c r="G3240" s="139" t="s">
        <v>1223</v>
      </c>
      <c r="H3240" s="139" t="s">
        <v>1223</v>
      </c>
      <c r="I3240" s="139" t="s">
        <v>1223</v>
      </c>
      <c r="J3240" s="139" t="s">
        <v>1223</v>
      </c>
      <c r="K3240" s="139" t="s">
        <v>1223</v>
      </c>
      <c r="L3240" s="139" t="s">
        <v>1223</v>
      </c>
      <c r="M3240" s="139" t="s">
        <v>1223</v>
      </c>
      <c r="N3240" s="139" t="s">
        <v>1223</v>
      </c>
      <c r="O3240" s="139" t="s">
        <v>1223</v>
      </c>
      <c r="P3240" s="139" t="s">
        <v>1223</v>
      </c>
      <c r="Q3240" s="141" t="s">
        <v>1231</v>
      </c>
      <c r="R3240" s="3"/>
      <c r="S3240" s="3"/>
    </row>
    <row r="3241" spans="1:19">
      <c r="A3241" s="139" t="s">
        <v>1223</v>
      </c>
      <c r="B3241" s="139" t="s">
        <v>1223</v>
      </c>
      <c r="C3241" s="139" t="s">
        <v>1223</v>
      </c>
      <c r="D3241" s="139" t="s">
        <v>1223</v>
      </c>
      <c r="E3241" s="139" t="s">
        <v>1223</v>
      </c>
      <c r="F3241" s="139" t="s">
        <v>1223</v>
      </c>
      <c r="G3241" s="139" t="s">
        <v>1223</v>
      </c>
      <c r="H3241" s="139" t="s">
        <v>1223</v>
      </c>
      <c r="I3241" s="139" t="s">
        <v>1223</v>
      </c>
      <c r="J3241" s="139" t="s">
        <v>1223</v>
      </c>
      <c r="K3241" s="139" t="s">
        <v>1223</v>
      </c>
      <c r="L3241" s="139" t="s">
        <v>1223</v>
      </c>
      <c r="M3241" s="139" t="s">
        <v>1223</v>
      </c>
      <c r="N3241" s="139" t="s">
        <v>1223</v>
      </c>
      <c r="O3241" s="139" t="s">
        <v>1223</v>
      </c>
      <c r="P3241" s="139" t="s">
        <v>1223</v>
      </c>
      <c r="Q3241" s="141" t="s">
        <v>1232</v>
      </c>
      <c r="R3241" s="3"/>
      <c r="S3241" s="3"/>
    </row>
    <row r="3242" spans="1:19">
      <c r="A3242" s="139" t="s">
        <v>1223</v>
      </c>
      <c r="B3242" s="139" t="s">
        <v>1223</v>
      </c>
      <c r="C3242" s="139" t="s">
        <v>1223</v>
      </c>
      <c r="D3242" s="139" t="s">
        <v>1223</v>
      </c>
      <c r="E3242" s="139" t="s">
        <v>1223</v>
      </c>
      <c r="F3242" s="139" t="s">
        <v>1223</v>
      </c>
      <c r="G3242" s="139" t="s">
        <v>1223</v>
      </c>
      <c r="H3242" s="139" t="s">
        <v>1223</v>
      </c>
      <c r="I3242" s="139" t="s">
        <v>1223</v>
      </c>
      <c r="J3242" s="139" t="s">
        <v>1223</v>
      </c>
      <c r="K3242" s="139" t="s">
        <v>1223</v>
      </c>
      <c r="L3242" s="139" t="s">
        <v>1223</v>
      </c>
      <c r="M3242" s="139" t="s">
        <v>1223</v>
      </c>
      <c r="N3242" s="139" t="s">
        <v>1223</v>
      </c>
      <c r="O3242" s="139" t="s">
        <v>1223</v>
      </c>
      <c r="P3242" s="139" t="s">
        <v>1223</v>
      </c>
      <c r="Q3242" s="141" t="s">
        <v>1233</v>
      </c>
      <c r="R3242" s="3"/>
      <c r="S3242" s="3"/>
    </row>
    <row r="3243" spans="1:19">
      <c r="A3243" s="139" t="s">
        <v>1223</v>
      </c>
      <c r="B3243" s="139" t="s">
        <v>1223</v>
      </c>
      <c r="C3243" s="139" t="s">
        <v>1223</v>
      </c>
      <c r="D3243" s="139" t="s">
        <v>1223</v>
      </c>
      <c r="E3243" s="139" t="s">
        <v>1223</v>
      </c>
      <c r="F3243" s="139" t="s">
        <v>1223</v>
      </c>
      <c r="G3243" s="139" t="s">
        <v>1223</v>
      </c>
      <c r="H3243" s="139" t="s">
        <v>1223</v>
      </c>
      <c r="I3243" s="139" t="s">
        <v>1223</v>
      </c>
      <c r="J3243" s="139" t="s">
        <v>1223</v>
      </c>
      <c r="K3243" s="139" t="s">
        <v>1223</v>
      </c>
      <c r="L3243" s="139" t="s">
        <v>1223</v>
      </c>
      <c r="M3243" s="139" t="s">
        <v>1223</v>
      </c>
      <c r="N3243" s="139" t="s">
        <v>1223</v>
      </c>
      <c r="O3243" s="139" t="s">
        <v>1223</v>
      </c>
      <c r="P3243" s="139" t="s">
        <v>1223</v>
      </c>
      <c r="Q3243" s="141" t="s">
        <v>1234</v>
      </c>
      <c r="R3243" s="3"/>
      <c r="S3243" s="3"/>
    </row>
    <row r="3244" spans="1:19">
      <c r="A3244" s="139" t="s">
        <v>1223</v>
      </c>
      <c r="B3244" s="139" t="s">
        <v>1223</v>
      </c>
      <c r="C3244" s="139" t="s">
        <v>1223</v>
      </c>
      <c r="D3244" s="139" t="s">
        <v>1223</v>
      </c>
      <c r="E3244" s="139" t="s">
        <v>1223</v>
      </c>
      <c r="F3244" s="139" t="s">
        <v>1223</v>
      </c>
      <c r="G3244" s="139" t="s">
        <v>1223</v>
      </c>
      <c r="H3244" s="139" t="s">
        <v>1223</v>
      </c>
      <c r="I3244" s="139" t="s">
        <v>1223</v>
      </c>
      <c r="J3244" s="139" t="s">
        <v>1223</v>
      </c>
      <c r="K3244" s="139" t="s">
        <v>1223</v>
      </c>
      <c r="L3244" s="139" t="s">
        <v>1223</v>
      </c>
      <c r="M3244" s="139" t="s">
        <v>1223</v>
      </c>
      <c r="N3244" s="139" t="s">
        <v>1223</v>
      </c>
      <c r="O3244" s="139" t="s">
        <v>1223</v>
      </c>
      <c r="P3244" s="139" t="s">
        <v>1223</v>
      </c>
      <c r="Q3244" s="141" t="s">
        <v>1235</v>
      </c>
      <c r="R3244" s="3"/>
      <c r="S3244" s="3"/>
    </row>
    <row r="3245" spans="1:19">
      <c r="A3245" s="139" t="s">
        <v>1223</v>
      </c>
      <c r="B3245" s="139" t="s">
        <v>1223</v>
      </c>
      <c r="C3245" s="139" t="s">
        <v>1223</v>
      </c>
      <c r="D3245" s="139" t="s">
        <v>1223</v>
      </c>
      <c r="E3245" s="139" t="s">
        <v>1223</v>
      </c>
      <c r="F3245" s="139" t="s">
        <v>1223</v>
      </c>
      <c r="G3245" s="139" t="s">
        <v>1223</v>
      </c>
      <c r="H3245" s="139" t="s">
        <v>1223</v>
      </c>
      <c r="I3245" s="140">
        <v>32</v>
      </c>
      <c r="J3245" s="140">
        <v>32</v>
      </c>
      <c r="K3245" s="140">
        <v>32</v>
      </c>
      <c r="L3245" s="140">
        <v>32</v>
      </c>
      <c r="M3245" s="140">
        <v>32</v>
      </c>
      <c r="N3245" s="140">
        <v>32</v>
      </c>
      <c r="O3245" s="140">
        <v>32</v>
      </c>
      <c r="P3245" s="140">
        <v>32</v>
      </c>
      <c r="Q3245" s="141" t="s">
        <v>1236</v>
      </c>
      <c r="R3245" s="3"/>
      <c r="S3245" s="3"/>
    </row>
    <row r="3246" spans="1:19">
      <c r="A3246" s="139" t="s">
        <v>1223</v>
      </c>
      <c r="B3246" s="139" t="s">
        <v>1223</v>
      </c>
      <c r="C3246" s="139" t="s">
        <v>1223</v>
      </c>
      <c r="D3246" s="139" t="s">
        <v>1223</v>
      </c>
      <c r="E3246" s="139" t="s">
        <v>1223</v>
      </c>
      <c r="F3246" s="139" t="s">
        <v>1223</v>
      </c>
      <c r="G3246" s="139" t="s">
        <v>1223</v>
      </c>
      <c r="H3246" s="139" t="s">
        <v>1223</v>
      </c>
      <c r="I3246" s="139" t="s">
        <v>1223</v>
      </c>
      <c r="J3246" s="139" t="s">
        <v>1223</v>
      </c>
      <c r="K3246" s="139" t="s">
        <v>1223</v>
      </c>
      <c r="L3246" s="139" t="s">
        <v>1223</v>
      </c>
      <c r="M3246" s="139" t="s">
        <v>1223</v>
      </c>
      <c r="N3246" s="139" t="s">
        <v>1223</v>
      </c>
      <c r="O3246" s="139" t="s">
        <v>1223</v>
      </c>
      <c r="P3246" s="139" t="s">
        <v>1223</v>
      </c>
      <c r="Q3246" s="141" t="s">
        <v>1237</v>
      </c>
      <c r="R3246" s="3"/>
      <c r="S3246" s="3"/>
    </row>
    <row r="3247" spans="1:19">
      <c r="A3247" s="139" t="s">
        <v>1223</v>
      </c>
      <c r="B3247" s="139" t="s">
        <v>1223</v>
      </c>
      <c r="C3247" s="139" t="s">
        <v>1223</v>
      </c>
      <c r="D3247" s="139" t="s">
        <v>1223</v>
      </c>
      <c r="E3247" s="139" t="s">
        <v>1223</v>
      </c>
      <c r="F3247" s="139" t="s">
        <v>1223</v>
      </c>
      <c r="G3247" s="139" t="s">
        <v>1223</v>
      </c>
      <c r="H3247" s="139" t="s">
        <v>1223</v>
      </c>
      <c r="I3247" s="139" t="s">
        <v>1223</v>
      </c>
      <c r="J3247" s="139" t="s">
        <v>1223</v>
      </c>
      <c r="K3247" s="139" t="s">
        <v>1223</v>
      </c>
      <c r="L3247" s="139" t="s">
        <v>1223</v>
      </c>
      <c r="M3247" s="139" t="s">
        <v>1223</v>
      </c>
      <c r="N3247" s="139" t="s">
        <v>1223</v>
      </c>
      <c r="O3247" s="139" t="s">
        <v>1223</v>
      </c>
      <c r="P3247" s="139" t="s">
        <v>1223</v>
      </c>
      <c r="Q3247" s="141" t="s">
        <v>1238</v>
      </c>
      <c r="R3247" s="3"/>
      <c r="S3247" s="3"/>
    </row>
    <row r="3248" spans="1:19">
      <c r="A3248" s="139" t="s">
        <v>1223</v>
      </c>
      <c r="B3248" s="139" t="s">
        <v>1223</v>
      </c>
      <c r="C3248" s="139" t="s">
        <v>1223</v>
      </c>
      <c r="D3248" s="139" t="s">
        <v>1223</v>
      </c>
      <c r="E3248" s="139" t="s">
        <v>1223</v>
      </c>
      <c r="F3248" s="139" t="s">
        <v>1223</v>
      </c>
      <c r="G3248" s="139" t="s">
        <v>1223</v>
      </c>
      <c r="H3248" s="139" t="s">
        <v>1223</v>
      </c>
      <c r="I3248" s="139" t="s">
        <v>1223</v>
      </c>
      <c r="J3248" s="139" t="s">
        <v>1223</v>
      </c>
      <c r="K3248" s="139" t="s">
        <v>1223</v>
      </c>
      <c r="L3248" s="139" t="s">
        <v>1223</v>
      </c>
      <c r="M3248" s="139" t="s">
        <v>1330</v>
      </c>
      <c r="N3248" s="139" t="s">
        <v>1223</v>
      </c>
      <c r="O3248" s="139" t="s">
        <v>1223</v>
      </c>
      <c r="P3248" s="139" t="s">
        <v>1223</v>
      </c>
      <c r="Q3248" s="141" t="s">
        <v>1239</v>
      </c>
      <c r="R3248" s="3"/>
      <c r="S3248" s="3"/>
    </row>
    <row r="3249" spans="1:19">
      <c r="A3249" s="139" t="s">
        <v>1223</v>
      </c>
      <c r="B3249" s="139" t="s">
        <v>1223</v>
      </c>
      <c r="C3249" s="139" t="s">
        <v>1223</v>
      </c>
      <c r="D3249" s="139" t="s">
        <v>1223</v>
      </c>
      <c r="E3249" s="139" t="s">
        <v>1223</v>
      </c>
      <c r="F3249" s="139" t="s">
        <v>1223</v>
      </c>
      <c r="G3249" s="139" t="s">
        <v>1223</v>
      </c>
      <c r="H3249" s="139" t="s">
        <v>1223</v>
      </c>
      <c r="I3249" s="139" t="s">
        <v>1223</v>
      </c>
      <c r="J3249" s="139" t="s">
        <v>1223</v>
      </c>
      <c r="K3249" s="139" t="s">
        <v>1223</v>
      </c>
      <c r="L3249" s="139" t="s">
        <v>1223</v>
      </c>
      <c r="M3249" s="139" t="s">
        <v>1223</v>
      </c>
      <c r="N3249" s="139" t="s">
        <v>1223</v>
      </c>
      <c r="O3249" s="139" t="s">
        <v>1223</v>
      </c>
      <c r="P3249" s="139" t="s">
        <v>1223</v>
      </c>
      <c r="Q3249" s="141" t="s">
        <v>1240</v>
      </c>
      <c r="R3249" s="3"/>
      <c r="S3249" s="3"/>
    </row>
    <row r="3250" spans="1:19">
      <c r="A3250" s="139" t="s">
        <v>1223</v>
      </c>
      <c r="B3250" s="139" t="s">
        <v>1223</v>
      </c>
      <c r="C3250" s="139" t="s">
        <v>1223</v>
      </c>
      <c r="D3250" s="139" t="s">
        <v>1223</v>
      </c>
      <c r="E3250" s="139" t="s">
        <v>1223</v>
      </c>
      <c r="F3250" s="139" t="s">
        <v>1223</v>
      </c>
      <c r="G3250" s="139" t="s">
        <v>1223</v>
      </c>
      <c r="H3250" s="139" t="s">
        <v>1223</v>
      </c>
      <c r="I3250" s="139" t="s">
        <v>1223</v>
      </c>
      <c r="J3250" s="139" t="s">
        <v>1223</v>
      </c>
      <c r="K3250" s="139" t="s">
        <v>1223</v>
      </c>
      <c r="L3250" s="139" t="s">
        <v>1223</v>
      </c>
      <c r="M3250" s="139" t="s">
        <v>1223</v>
      </c>
      <c r="N3250" s="139" t="s">
        <v>1223</v>
      </c>
      <c r="O3250" s="139" t="s">
        <v>1223</v>
      </c>
      <c r="P3250" s="139" t="s">
        <v>1223</v>
      </c>
      <c r="Q3250" s="141" t="s">
        <v>1241</v>
      </c>
      <c r="R3250" s="3"/>
      <c r="S3250" s="3"/>
    </row>
    <row r="3251" spans="1:19">
      <c r="A3251" s="139" t="s">
        <v>1223</v>
      </c>
      <c r="B3251" s="139" t="s">
        <v>1223</v>
      </c>
      <c r="C3251" s="139" t="s">
        <v>1223</v>
      </c>
      <c r="D3251" s="139" t="s">
        <v>1223</v>
      </c>
      <c r="E3251" s="139" t="s">
        <v>1223</v>
      </c>
      <c r="F3251" s="139" t="s">
        <v>1223</v>
      </c>
      <c r="G3251" s="139" t="s">
        <v>1223</v>
      </c>
      <c r="H3251" s="139" t="s">
        <v>1223</v>
      </c>
      <c r="I3251" s="139" t="s">
        <v>1223</v>
      </c>
      <c r="J3251" s="139" t="s">
        <v>1223</v>
      </c>
      <c r="K3251" s="139" t="s">
        <v>1223</v>
      </c>
      <c r="L3251" s="139" t="s">
        <v>1223</v>
      </c>
      <c r="M3251" s="139" t="s">
        <v>1223</v>
      </c>
      <c r="N3251" s="139" t="s">
        <v>1223</v>
      </c>
      <c r="O3251" s="139" t="s">
        <v>1223</v>
      </c>
      <c r="P3251" s="139" t="s">
        <v>1223</v>
      </c>
      <c r="Q3251" s="141" t="s">
        <v>1242</v>
      </c>
      <c r="R3251" s="3"/>
      <c r="S3251" s="3"/>
    </row>
    <row r="3252" spans="1:19">
      <c r="A3252" s="139" t="s">
        <v>1223</v>
      </c>
      <c r="B3252" s="139" t="s">
        <v>1223</v>
      </c>
      <c r="C3252" s="139" t="s">
        <v>1223</v>
      </c>
      <c r="D3252" s="139" t="s">
        <v>1223</v>
      </c>
      <c r="E3252" s="139" t="s">
        <v>1223</v>
      </c>
      <c r="F3252" s="139" t="s">
        <v>1223</v>
      </c>
      <c r="G3252" s="139" t="s">
        <v>1223</v>
      </c>
      <c r="H3252" s="139" t="s">
        <v>1223</v>
      </c>
      <c r="I3252" s="139" t="s">
        <v>1223</v>
      </c>
      <c r="J3252" s="139" t="s">
        <v>1223</v>
      </c>
      <c r="K3252" s="139" t="s">
        <v>1223</v>
      </c>
      <c r="L3252" s="139" t="s">
        <v>1223</v>
      </c>
      <c r="M3252" s="139" t="s">
        <v>1223</v>
      </c>
      <c r="N3252" s="139" t="s">
        <v>1223</v>
      </c>
      <c r="O3252" s="139" t="s">
        <v>1223</v>
      </c>
      <c r="P3252" s="139" t="s">
        <v>1223</v>
      </c>
      <c r="Q3252" s="141" t="s">
        <v>1243</v>
      </c>
      <c r="R3252" s="3"/>
      <c r="S3252" s="3"/>
    </row>
    <row r="3253" spans="1:19">
      <c r="A3253" s="139" t="s">
        <v>1223</v>
      </c>
      <c r="B3253" s="139" t="s">
        <v>1223</v>
      </c>
      <c r="C3253" s="139" t="s">
        <v>1223</v>
      </c>
      <c r="D3253" s="139" t="s">
        <v>1223</v>
      </c>
      <c r="E3253" s="139" t="s">
        <v>1223</v>
      </c>
      <c r="F3253" s="139" t="s">
        <v>1223</v>
      </c>
      <c r="G3253" s="139" t="s">
        <v>1223</v>
      </c>
      <c r="H3253" s="139" t="s">
        <v>1223</v>
      </c>
      <c r="I3253" s="139" t="s">
        <v>1223</v>
      </c>
      <c r="J3253" s="139" t="s">
        <v>1223</v>
      </c>
      <c r="K3253" s="139" t="s">
        <v>1223</v>
      </c>
      <c r="L3253" s="139" t="s">
        <v>1223</v>
      </c>
      <c r="M3253" s="139" t="s">
        <v>1223</v>
      </c>
      <c r="N3253" s="139" t="s">
        <v>1223</v>
      </c>
      <c r="O3253" s="139" t="s">
        <v>1223</v>
      </c>
      <c r="P3253" s="139" t="s">
        <v>1223</v>
      </c>
      <c r="Q3253" s="141" t="s">
        <v>1244</v>
      </c>
      <c r="R3253" s="3"/>
      <c r="S3253" s="3"/>
    </row>
    <row r="3254" spans="1:19">
      <c r="A3254" s="139" t="s">
        <v>1223</v>
      </c>
      <c r="B3254" s="139" t="s">
        <v>1223</v>
      </c>
      <c r="C3254" s="139" t="s">
        <v>1223</v>
      </c>
      <c r="D3254" s="139" t="s">
        <v>1223</v>
      </c>
      <c r="E3254" s="139" t="s">
        <v>1223</v>
      </c>
      <c r="F3254" s="139" t="s">
        <v>1223</v>
      </c>
      <c r="G3254" s="139" t="s">
        <v>1223</v>
      </c>
      <c r="H3254" s="139" t="s">
        <v>1223</v>
      </c>
      <c r="I3254" s="139" t="s">
        <v>1223</v>
      </c>
      <c r="J3254" s="139" t="s">
        <v>1223</v>
      </c>
      <c r="K3254" s="139" t="s">
        <v>1223</v>
      </c>
      <c r="L3254" s="139" t="s">
        <v>1223</v>
      </c>
      <c r="M3254" s="139" t="s">
        <v>1223</v>
      </c>
      <c r="N3254" s="139" t="s">
        <v>1223</v>
      </c>
      <c r="O3254" s="139" t="s">
        <v>1223</v>
      </c>
      <c r="P3254" s="139" t="s">
        <v>1223</v>
      </c>
      <c r="Q3254" s="141" t="s">
        <v>1245</v>
      </c>
      <c r="R3254" s="3"/>
      <c r="S3254" s="3"/>
    </row>
    <row r="3255" spans="1:19">
      <c r="A3255" s="139" t="s">
        <v>1223</v>
      </c>
      <c r="B3255" s="139" t="s">
        <v>1223</v>
      </c>
      <c r="C3255" s="139" t="s">
        <v>1223</v>
      </c>
      <c r="D3255" s="139" t="s">
        <v>1223</v>
      </c>
      <c r="E3255" s="139" t="s">
        <v>1223</v>
      </c>
      <c r="F3255" s="139" t="s">
        <v>1223</v>
      </c>
      <c r="G3255" s="139" t="s">
        <v>1223</v>
      </c>
      <c r="H3255" s="139" t="s">
        <v>1223</v>
      </c>
      <c r="I3255" s="139" t="s">
        <v>1223</v>
      </c>
      <c r="J3255" s="139" t="s">
        <v>1223</v>
      </c>
      <c r="K3255" s="139" t="s">
        <v>1223</v>
      </c>
      <c r="L3255" s="139" t="s">
        <v>1223</v>
      </c>
      <c r="M3255" s="139" t="s">
        <v>1223</v>
      </c>
      <c r="N3255" s="139" t="s">
        <v>1223</v>
      </c>
      <c r="O3255" s="139" t="s">
        <v>1223</v>
      </c>
      <c r="P3255" s="139" t="s">
        <v>1223</v>
      </c>
      <c r="Q3255" s="141" t="s">
        <v>1246</v>
      </c>
      <c r="R3255" s="3"/>
      <c r="S3255" s="3"/>
    </row>
    <row r="3256" spans="1:19">
      <c r="A3256" s="139" t="s">
        <v>1223</v>
      </c>
      <c r="B3256" s="139" t="s">
        <v>1223</v>
      </c>
      <c r="C3256" s="139" t="s">
        <v>1223</v>
      </c>
      <c r="D3256" s="139" t="s">
        <v>1223</v>
      </c>
      <c r="E3256" s="139" t="s">
        <v>1223</v>
      </c>
      <c r="F3256" s="139" t="s">
        <v>1223</v>
      </c>
      <c r="G3256" s="139" t="s">
        <v>1223</v>
      </c>
      <c r="H3256" s="139" t="s">
        <v>1223</v>
      </c>
      <c r="I3256" s="139" t="s">
        <v>1223</v>
      </c>
      <c r="J3256" s="139" t="s">
        <v>1223</v>
      </c>
      <c r="K3256" s="139" t="s">
        <v>1223</v>
      </c>
      <c r="L3256" s="139" t="s">
        <v>1223</v>
      </c>
      <c r="M3256" s="139" t="s">
        <v>1223</v>
      </c>
      <c r="N3256" s="139" t="s">
        <v>1223</v>
      </c>
      <c r="O3256" s="139" t="s">
        <v>1223</v>
      </c>
      <c r="P3256" s="139" t="s">
        <v>1223</v>
      </c>
      <c r="Q3256" s="141" t="s">
        <v>1247</v>
      </c>
      <c r="R3256" s="3"/>
      <c r="S3256" s="3"/>
    </row>
    <row r="3257" spans="1:19">
      <c r="A3257" s="139" t="s">
        <v>1223</v>
      </c>
      <c r="B3257" s="139" t="s">
        <v>1223</v>
      </c>
      <c r="C3257" s="139" t="s">
        <v>1223</v>
      </c>
      <c r="D3257" s="139" t="s">
        <v>1223</v>
      </c>
      <c r="E3257" s="139" t="s">
        <v>1223</v>
      </c>
      <c r="F3257" s="139" t="s">
        <v>1223</v>
      </c>
      <c r="G3257" s="139" t="s">
        <v>1223</v>
      </c>
      <c r="H3257" s="139" t="s">
        <v>1223</v>
      </c>
      <c r="I3257" s="139" t="s">
        <v>1223</v>
      </c>
      <c r="J3257" s="139" t="s">
        <v>1223</v>
      </c>
      <c r="K3257" s="139" t="s">
        <v>1223</v>
      </c>
      <c r="L3257" s="139" t="s">
        <v>1223</v>
      </c>
      <c r="M3257" s="139" t="s">
        <v>1223</v>
      </c>
      <c r="N3257" s="139" t="s">
        <v>1223</v>
      </c>
      <c r="O3257" s="139" t="s">
        <v>1223</v>
      </c>
      <c r="P3257" s="139" t="s">
        <v>1223</v>
      </c>
      <c r="Q3257" s="141" t="s">
        <v>1248</v>
      </c>
      <c r="R3257" s="3"/>
      <c r="S3257" s="3"/>
    </row>
    <row r="3258" spans="1:19">
      <c r="A3258" s="139" t="s">
        <v>1223</v>
      </c>
      <c r="B3258" s="139" t="s">
        <v>1223</v>
      </c>
      <c r="C3258" s="139" t="s">
        <v>1223</v>
      </c>
      <c r="D3258" s="139" t="s">
        <v>1223</v>
      </c>
      <c r="E3258" s="139" t="s">
        <v>1223</v>
      </c>
      <c r="F3258" s="139" t="s">
        <v>1223</v>
      </c>
      <c r="G3258" s="139" t="s">
        <v>1223</v>
      </c>
      <c r="H3258" s="139" t="s">
        <v>1223</v>
      </c>
      <c r="I3258" s="139" t="s">
        <v>1223</v>
      </c>
      <c r="J3258" s="139" t="s">
        <v>1223</v>
      </c>
      <c r="K3258" s="139" t="s">
        <v>1223</v>
      </c>
      <c r="L3258" s="139" t="s">
        <v>1223</v>
      </c>
      <c r="M3258" s="139" t="s">
        <v>1223</v>
      </c>
      <c r="N3258" s="139" t="s">
        <v>1223</v>
      </c>
      <c r="O3258" s="139" t="s">
        <v>1223</v>
      </c>
      <c r="P3258" s="139" t="s">
        <v>1223</v>
      </c>
      <c r="Q3258" s="141" t="s">
        <v>1249</v>
      </c>
      <c r="R3258" s="3"/>
      <c r="S3258" s="3"/>
    </row>
    <row r="3259" spans="1:19">
      <c r="A3259" s="139" t="s">
        <v>1223</v>
      </c>
      <c r="B3259" s="139" t="s">
        <v>1223</v>
      </c>
      <c r="C3259" s="139" t="s">
        <v>1223</v>
      </c>
      <c r="D3259" s="139" t="s">
        <v>1223</v>
      </c>
      <c r="E3259" s="139" t="s">
        <v>1223</v>
      </c>
      <c r="F3259" s="139" t="s">
        <v>1223</v>
      </c>
      <c r="G3259" s="139" t="s">
        <v>1223</v>
      </c>
      <c r="H3259" s="139" t="s">
        <v>1223</v>
      </c>
      <c r="I3259" s="139" t="s">
        <v>1223</v>
      </c>
      <c r="J3259" s="139" t="s">
        <v>1223</v>
      </c>
      <c r="K3259" s="139" t="s">
        <v>1223</v>
      </c>
      <c r="L3259" s="139" t="s">
        <v>1223</v>
      </c>
      <c r="M3259" s="139" t="s">
        <v>1223</v>
      </c>
      <c r="N3259" s="139" t="s">
        <v>1223</v>
      </c>
      <c r="O3259" s="139" t="s">
        <v>1223</v>
      </c>
      <c r="P3259" s="139" t="s">
        <v>1223</v>
      </c>
      <c r="Q3259" s="141" t="s">
        <v>1250</v>
      </c>
    </row>
    <row r="3260" spans="1:19">
      <c r="A3260" s="139" t="s">
        <v>1223</v>
      </c>
      <c r="B3260" s="139" t="s">
        <v>1223</v>
      </c>
      <c r="C3260" s="139" t="s">
        <v>1223</v>
      </c>
      <c r="D3260" s="139" t="s">
        <v>1223</v>
      </c>
      <c r="E3260" s="139" t="s">
        <v>1223</v>
      </c>
      <c r="F3260" s="139" t="s">
        <v>1223</v>
      </c>
      <c r="G3260" s="139" t="s">
        <v>1223</v>
      </c>
      <c r="H3260" s="139" t="s">
        <v>1223</v>
      </c>
      <c r="I3260" s="139" t="s">
        <v>1223</v>
      </c>
      <c r="J3260" s="139" t="s">
        <v>1223</v>
      </c>
      <c r="K3260" s="139" t="s">
        <v>1223</v>
      </c>
      <c r="L3260" s="139" t="s">
        <v>1223</v>
      </c>
      <c r="M3260" s="139" t="s">
        <v>1223</v>
      </c>
      <c r="N3260" s="139" t="s">
        <v>1223</v>
      </c>
      <c r="O3260" s="139" t="s">
        <v>1223</v>
      </c>
      <c r="P3260" s="139" t="s">
        <v>1223</v>
      </c>
      <c r="Q3260" s="141" t="s">
        <v>1251</v>
      </c>
    </row>
    <row r="3261" spans="1:19">
      <c r="A3261" s="139" t="s">
        <v>1223</v>
      </c>
      <c r="B3261" s="139" t="s">
        <v>1223</v>
      </c>
      <c r="C3261" s="139" t="s">
        <v>1223</v>
      </c>
      <c r="D3261" s="139" t="s">
        <v>1223</v>
      </c>
      <c r="E3261" s="139" t="s">
        <v>1223</v>
      </c>
      <c r="F3261" s="139" t="s">
        <v>1223</v>
      </c>
      <c r="G3261" s="139" t="s">
        <v>1223</v>
      </c>
      <c r="H3261" s="139" t="s">
        <v>1223</v>
      </c>
      <c r="I3261" s="139" t="s">
        <v>1223</v>
      </c>
      <c r="J3261" s="139" t="s">
        <v>1223</v>
      </c>
      <c r="K3261" s="139" t="s">
        <v>1223</v>
      </c>
      <c r="L3261" s="139" t="s">
        <v>1223</v>
      </c>
      <c r="M3261" s="139" t="s">
        <v>1223</v>
      </c>
      <c r="N3261" s="139" t="s">
        <v>1223</v>
      </c>
      <c r="O3261" s="139" t="s">
        <v>1223</v>
      </c>
      <c r="P3261" s="139" t="s">
        <v>1223</v>
      </c>
      <c r="Q3261" s="141" t="s">
        <v>1252</v>
      </c>
    </row>
    <row r="3262" spans="1:19">
      <c r="A3262" s="139" t="s">
        <v>1223</v>
      </c>
      <c r="B3262" s="139" t="s">
        <v>1223</v>
      </c>
      <c r="C3262" s="139" t="s">
        <v>1223</v>
      </c>
      <c r="D3262" s="139" t="s">
        <v>1223</v>
      </c>
      <c r="E3262" s="139" t="s">
        <v>1223</v>
      </c>
      <c r="F3262" s="139" t="s">
        <v>1223</v>
      </c>
      <c r="G3262" s="139" t="s">
        <v>1223</v>
      </c>
      <c r="H3262" s="139" t="s">
        <v>1223</v>
      </c>
      <c r="I3262" s="139" t="s">
        <v>1223</v>
      </c>
      <c r="J3262" s="139" t="s">
        <v>1223</v>
      </c>
      <c r="K3262" s="139" t="s">
        <v>1223</v>
      </c>
      <c r="L3262" s="139" t="s">
        <v>1223</v>
      </c>
      <c r="M3262" s="139" t="s">
        <v>1223</v>
      </c>
      <c r="N3262" s="139" t="s">
        <v>1223</v>
      </c>
      <c r="O3262" s="139" t="s">
        <v>1223</v>
      </c>
      <c r="P3262" s="139" t="s">
        <v>1223</v>
      </c>
      <c r="Q3262" s="141" t="s">
        <v>1253</v>
      </c>
    </row>
    <row r="3263" spans="1:19">
      <c r="A3263" s="139" t="s">
        <v>1223</v>
      </c>
      <c r="B3263" s="139" t="s">
        <v>1223</v>
      </c>
      <c r="C3263" s="139" t="s">
        <v>1223</v>
      </c>
      <c r="D3263" s="139" t="s">
        <v>1223</v>
      </c>
      <c r="E3263" s="139" t="s">
        <v>1223</v>
      </c>
      <c r="F3263" s="139" t="s">
        <v>1223</v>
      </c>
      <c r="G3263" s="139" t="s">
        <v>1223</v>
      </c>
      <c r="H3263" s="139" t="s">
        <v>1223</v>
      </c>
      <c r="I3263" s="139" t="s">
        <v>1223</v>
      </c>
      <c r="J3263" s="139" t="s">
        <v>1223</v>
      </c>
      <c r="K3263" s="139" t="s">
        <v>1223</v>
      </c>
      <c r="L3263" s="139" t="s">
        <v>1223</v>
      </c>
      <c r="M3263" s="139" t="s">
        <v>1223</v>
      </c>
      <c r="N3263" s="139" t="s">
        <v>1223</v>
      </c>
      <c r="O3263" s="139" t="s">
        <v>1223</v>
      </c>
      <c r="P3263" s="139" t="s">
        <v>1223</v>
      </c>
      <c r="Q3263" s="141" t="s">
        <v>1254</v>
      </c>
    </row>
    <row r="3264" spans="1:19">
      <c r="A3264" s="139" t="s">
        <v>1223</v>
      </c>
      <c r="B3264" s="139" t="s">
        <v>1223</v>
      </c>
      <c r="C3264" s="139" t="s">
        <v>1223</v>
      </c>
      <c r="D3264" s="139" t="s">
        <v>1223</v>
      </c>
      <c r="E3264" s="139" t="s">
        <v>1223</v>
      </c>
      <c r="F3264" s="139" t="s">
        <v>1223</v>
      </c>
      <c r="G3264" s="139" t="s">
        <v>1223</v>
      </c>
      <c r="H3264" s="139" t="s">
        <v>1223</v>
      </c>
      <c r="I3264" s="139" t="s">
        <v>1223</v>
      </c>
      <c r="J3264" s="139" t="s">
        <v>1223</v>
      </c>
      <c r="K3264" s="139" t="s">
        <v>1223</v>
      </c>
      <c r="L3264" s="139" t="s">
        <v>1223</v>
      </c>
      <c r="M3264" s="139" t="s">
        <v>1223</v>
      </c>
      <c r="N3264" s="139" t="s">
        <v>1223</v>
      </c>
      <c r="O3264" s="139" t="s">
        <v>1223</v>
      </c>
      <c r="P3264" s="139" t="s">
        <v>1223</v>
      </c>
      <c r="Q3264" s="141" t="s">
        <v>1255</v>
      </c>
    </row>
    <row r="3265" spans="1:17">
      <c r="A3265" s="139" t="s">
        <v>1223</v>
      </c>
      <c r="B3265" s="139" t="s">
        <v>1223</v>
      </c>
      <c r="C3265" s="139" t="s">
        <v>1223</v>
      </c>
      <c r="D3265" s="139" t="s">
        <v>1223</v>
      </c>
      <c r="E3265" s="139" t="s">
        <v>1223</v>
      </c>
      <c r="F3265" s="139" t="s">
        <v>1223</v>
      </c>
      <c r="G3265" s="139" t="s">
        <v>1223</v>
      </c>
      <c r="H3265" s="139" t="s">
        <v>1223</v>
      </c>
      <c r="I3265" s="139" t="s">
        <v>1223</v>
      </c>
      <c r="J3265" s="139" t="s">
        <v>1223</v>
      </c>
      <c r="K3265" s="139" t="s">
        <v>1223</v>
      </c>
      <c r="L3265" s="139" t="s">
        <v>1223</v>
      </c>
      <c r="M3265" s="139" t="s">
        <v>1223</v>
      </c>
      <c r="N3265" s="139" t="s">
        <v>1223</v>
      </c>
      <c r="O3265" s="139" t="s">
        <v>1223</v>
      </c>
      <c r="P3265" s="139" t="s">
        <v>1223</v>
      </c>
      <c r="Q3265" s="141" t="s">
        <v>1256</v>
      </c>
    </row>
    <row r="3266" spans="1:17">
      <c r="A3266" s="139" t="s">
        <v>1223</v>
      </c>
      <c r="B3266" s="139" t="s">
        <v>1223</v>
      </c>
      <c r="C3266" s="139" t="s">
        <v>1223</v>
      </c>
      <c r="D3266" s="139" t="s">
        <v>1223</v>
      </c>
      <c r="E3266" s="139" t="s">
        <v>1223</v>
      </c>
      <c r="F3266" s="139" t="s">
        <v>1223</v>
      </c>
      <c r="G3266" s="139" t="s">
        <v>1223</v>
      </c>
      <c r="H3266" s="139" t="s">
        <v>1223</v>
      </c>
      <c r="I3266" s="139" t="s">
        <v>1223</v>
      </c>
      <c r="J3266" s="139" t="s">
        <v>1223</v>
      </c>
      <c r="K3266" s="139" t="s">
        <v>1223</v>
      </c>
      <c r="L3266" s="139" t="s">
        <v>1223</v>
      </c>
      <c r="M3266" s="139" t="s">
        <v>1223</v>
      </c>
      <c r="N3266" s="139" t="s">
        <v>1223</v>
      </c>
      <c r="O3266" s="139" t="s">
        <v>1223</v>
      </c>
      <c r="P3266" s="139" t="s">
        <v>1223</v>
      </c>
      <c r="Q3266" s="141" t="s">
        <v>1257</v>
      </c>
    </row>
    <row r="3267" spans="1:17">
      <c r="A3267" s="139" t="s">
        <v>1223</v>
      </c>
      <c r="B3267" s="139" t="s">
        <v>1223</v>
      </c>
      <c r="C3267" s="139" t="s">
        <v>1223</v>
      </c>
      <c r="D3267" s="139" t="s">
        <v>1223</v>
      </c>
      <c r="E3267" s="139" t="s">
        <v>1223</v>
      </c>
      <c r="F3267" s="139" t="s">
        <v>1223</v>
      </c>
      <c r="G3267" s="139" t="s">
        <v>1223</v>
      </c>
      <c r="H3267" s="139" t="s">
        <v>1223</v>
      </c>
      <c r="I3267" s="139" t="s">
        <v>1223</v>
      </c>
      <c r="J3267" s="139" t="s">
        <v>1223</v>
      </c>
      <c r="K3267" s="139" t="s">
        <v>1223</v>
      </c>
      <c r="L3267" s="139" t="s">
        <v>1223</v>
      </c>
      <c r="M3267" s="139" t="s">
        <v>1223</v>
      </c>
      <c r="N3267" s="139" t="s">
        <v>1223</v>
      </c>
      <c r="O3267" s="139" t="s">
        <v>1223</v>
      </c>
      <c r="P3267" s="139" t="s">
        <v>1223</v>
      </c>
      <c r="Q3267" s="141" t="s">
        <v>1258</v>
      </c>
    </row>
    <row r="3268" spans="1:17">
      <c r="A3268" s="139" t="s">
        <v>1223</v>
      </c>
      <c r="B3268" s="139" t="s">
        <v>1223</v>
      </c>
      <c r="C3268" s="139" t="s">
        <v>1223</v>
      </c>
      <c r="D3268" s="139" t="s">
        <v>1223</v>
      </c>
      <c r="E3268" s="139" t="s">
        <v>1223</v>
      </c>
      <c r="F3268" s="139" t="s">
        <v>1223</v>
      </c>
      <c r="G3268" s="139" t="s">
        <v>1223</v>
      </c>
      <c r="H3268" s="139" t="s">
        <v>1223</v>
      </c>
      <c r="I3268" s="139" t="s">
        <v>1223</v>
      </c>
      <c r="J3268" s="139" t="s">
        <v>1223</v>
      </c>
      <c r="K3268" s="139" t="s">
        <v>1223</v>
      </c>
      <c r="L3268" s="139" t="s">
        <v>1223</v>
      </c>
      <c r="M3268" s="139" t="s">
        <v>1223</v>
      </c>
      <c r="N3268" s="139" t="s">
        <v>1223</v>
      </c>
      <c r="O3268" s="139" t="s">
        <v>1223</v>
      </c>
      <c r="P3268" s="139" t="s">
        <v>1223</v>
      </c>
      <c r="Q3268" s="141" t="s">
        <v>1259</v>
      </c>
    </row>
    <row r="3269" spans="1:17">
      <c r="A3269" s="139" t="s">
        <v>1223</v>
      </c>
      <c r="B3269" s="139" t="s">
        <v>1223</v>
      </c>
      <c r="C3269" s="139" t="s">
        <v>1223</v>
      </c>
      <c r="D3269" s="139" t="s">
        <v>1223</v>
      </c>
      <c r="E3269" s="139" t="s">
        <v>1223</v>
      </c>
      <c r="F3269" s="139" t="s">
        <v>1223</v>
      </c>
      <c r="G3269" s="139" t="s">
        <v>1223</v>
      </c>
      <c r="H3269" s="139" t="s">
        <v>1223</v>
      </c>
      <c r="I3269" s="139" t="s">
        <v>1223</v>
      </c>
      <c r="J3269" s="139" t="s">
        <v>1223</v>
      </c>
      <c r="K3269" s="139" t="s">
        <v>1223</v>
      </c>
      <c r="L3269" s="139" t="s">
        <v>1223</v>
      </c>
      <c r="M3269" s="139" t="s">
        <v>1223</v>
      </c>
      <c r="N3269" s="139" t="s">
        <v>1223</v>
      </c>
      <c r="O3269" s="139" t="s">
        <v>1223</v>
      </c>
      <c r="P3269" s="139" t="s">
        <v>1223</v>
      </c>
      <c r="Q3269" s="141" t="s">
        <v>1260</v>
      </c>
    </row>
    <row r="3270" spans="1:17">
      <c r="A3270" s="139" t="s">
        <v>1223</v>
      </c>
      <c r="B3270" s="139" t="s">
        <v>1223</v>
      </c>
      <c r="C3270" s="139" t="s">
        <v>1223</v>
      </c>
      <c r="D3270" s="139" t="s">
        <v>1223</v>
      </c>
      <c r="E3270" s="139" t="s">
        <v>1223</v>
      </c>
      <c r="F3270" s="139" t="s">
        <v>1223</v>
      </c>
      <c r="G3270" s="139" t="s">
        <v>1223</v>
      </c>
      <c r="H3270" s="139" t="s">
        <v>1223</v>
      </c>
      <c r="I3270" s="139" t="s">
        <v>1223</v>
      </c>
      <c r="J3270" s="139" t="s">
        <v>1223</v>
      </c>
      <c r="K3270" s="139" t="s">
        <v>1223</v>
      </c>
      <c r="L3270" s="139" t="s">
        <v>1223</v>
      </c>
      <c r="M3270" s="139" t="s">
        <v>1223</v>
      </c>
      <c r="N3270" s="139" t="s">
        <v>1223</v>
      </c>
      <c r="O3270" s="139" t="s">
        <v>1223</v>
      </c>
      <c r="P3270" s="139" t="s">
        <v>1223</v>
      </c>
      <c r="Q3270" s="141" t="s">
        <v>1261</v>
      </c>
    </row>
    <row r="3271" spans="1:17">
      <c r="A3271" s="139" t="s">
        <v>1223</v>
      </c>
      <c r="B3271" s="139" t="s">
        <v>1223</v>
      </c>
      <c r="C3271" s="139" t="s">
        <v>1223</v>
      </c>
      <c r="D3271" s="139" t="s">
        <v>1223</v>
      </c>
      <c r="E3271" s="139" t="s">
        <v>1223</v>
      </c>
      <c r="F3271" s="139" t="s">
        <v>1223</v>
      </c>
      <c r="G3271" s="139" t="s">
        <v>1223</v>
      </c>
      <c r="H3271" s="139" t="s">
        <v>1223</v>
      </c>
      <c r="I3271" s="139" t="s">
        <v>1223</v>
      </c>
      <c r="J3271" s="139" t="s">
        <v>1223</v>
      </c>
      <c r="K3271" s="139" t="s">
        <v>1223</v>
      </c>
      <c r="L3271" s="139" t="s">
        <v>1223</v>
      </c>
      <c r="M3271" s="139" t="s">
        <v>1223</v>
      </c>
      <c r="N3271" s="139" t="s">
        <v>1223</v>
      </c>
      <c r="O3271" s="139" t="s">
        <v>1223</v>
      </c>
      <c r="P3271" s="139" t="s">
        <v>1223</v>
      </c>
      <c r="Q3271" s="141" t="s">
        <v>1262</v>
      </c>
    </row>
    <row r="3272" spans="1:17">
      <c r="A3272" s="139" t="s">
        <v>1223</v>
      </c>
      <c r="B3272" s="139" t="s">
        <v>1223</v>
      </c>
      <c r="C3272" s="139" t="s">
        <v>1223</v>
      </c>
      <c r="D3272" s="139" t="s">
        <v>1223</v>
      </c>
      <c r="E3272" s="139" t="s">
        <v>1223</v>
      </c>
      <c r="F3272" s="139" t="s">
        <v>1223</v>
      </c>
      <c r="G3272" s="139" t="s">
        <v>1223</v>
      </c>
      <c r="H3272" s="139" t="s">
        <v>1223</v>
      </c>
      <c r="I3272" s="139" t="s">
        <v>1223</v>
      </c>
      <c r="J3272" s="139" t="s">
        <v>1223</v>
      </c>
      <c r="K3272" s="139" t="s">
        <v>1223</v>
      </c>
      <c r="L3272" s="139" t="s">
        <v>1223</v>
      </c>
      <c r="M3272" s="139" t="s">
        <v>1223</v>
      </c>
      <c r="N3272" s="139" t="s">
        <v>1223</v>
      </c>
      <c r="O3272" s="139" t="s">
        <v>1223</v>
      </c>
      <c r="P3272" s="139" t="s">
        <v>1223</v>
      </c>
      <c r="Q3272" s="141" t="s">
        <v>1263</v>
      </c>
    </row>
    <row r="3273" spans="1:17">
      <c r="A3273" s="139" t="s">
        <v>1223</v>
      </c>
      <c r="B3273" s="139" t="s">
        <v>1223</v>
      </c>
      <c r="C3273" s="139" t="s">
        <v>1223</v>
      </c>
      <c r="D3273" s="139" t="s">
        <v>1223</v>
      </c>
      <c r="E3273" s="139" t="s">
        <v>1223</v>
      </c>
      <c r="F3273" s="139" t="s">
        <v>1223</v>
      </c>
      <c r="G3273" s="139" t="s">
        <v>1223</v>
      </c>
      <c r="H3273" s="139" t="s">
        <v>1223</v>
      </c>
      <c r="I3273" s="139" t="s">
        <v>1223</v>
      </c>
      <c r="J3273" s="139" t="s">
        <v>1223</v>
      </c>
      <c r="K3273" s="139" t="s">
        <v>1223</v>
      </c>
      <c r="L3273" s="139" t="s">
        <v>1223</v>
      </c>
      <c r="M3273" s="139" t="s">
        <v>1223</v>
      </c>
      <c r="N3273" s="139" t="s">
        <v>1223</v>
      </c>
      <c r="O3273" s="139" t="s">
        <v>1223</v>
      </c>
      <c r="P3273" s="139" t="s">
        <v>1223</v>
      </c>
      <c r="Q3273" s="141" t="s">
        <v>1264</v>
      </c>
    </row>
    <row r="3274" spans="1:17">
      <c r="A3274" s="139" t="s">
        <v>1223</v>
      </c>
      <c r="B3274" s="139" t="s">
        <v>1223</v>
      </c>
      <c r="C3274" s="139" t="s">
        <v>1223</v>
      </c>
      <c r="D3274" s="139" t="s">
        <v>1223</v>
      </c>
      <c r="E3274" s="139" t="s">
        <v>1223</v>
      </c>
      <c r="F3274" s="139" t="s">
        <v>1223</v>
      </c>
      <c r="G3274" s="139" t="s">
        <v>1223</v>
      </c>
      <c r="H3274" s="139" t="s">
        <v>1223</v>
      </c>
      <c r="I3274" s="139" t="s">
        <v>1223</v>
      </c>
      <c r="J3274" s="139" t="s">
        <v>1223</v>
      </c>
      <c r="K3274" s="139" t="s">
        <v>1223</v>
      </c>
      <c r="L3274" s="139" t="s">
        <v>1223</v>
      </c>
      <c r="M3274" s="139" t="s">
        <v>1223</v>
      </c>
      <c r="N3274" s="139" t="s">
        <v>1223</v>
      </c>
      <c r="O3274" s="139" t="s">
        <v>1223</v>
      </c>
      <c r="P3274" s="139" t="s">
        <v>1223</v>
      </c>
      <c r="Q3274" s="141" t="s">
        <v>1265</v>
      </c>
    </row>
    <row r="3275" spans="1:17">
      <c r="A3275" s="139" t="s">
        <v>1223</v>
      </c>
      <c r="B3275" s="139" t="s">
        <v>1223</v>
      </c>
      <c r="C3275" s="139" t="s">
        <v>1223</v>
      </c>
      <c r="D3275" s="139" t="s">
        <v>1223</v>
      </c>
      <c r="E3275" s="139" t="s">
        <v>1223</v>
      </c>
      <c r="F3275" s="139" t="s">
        <v>1223</v>
      </c>
      <c r="G3275" s="139" t="s">
        <v>1223</v>
      </c>
      <c r="H3275" s="139" t="s">
        <v>1223</v>
      </c>
      <c r="I3275" s="139" t="s">
        <v>1223</v>
      </c>
      <c r="J3275" s="139" t="s">
        <v>1223</v>
      </c>
      <c r="K3275" s="139" t="s">
        <v>1223</v>
      </c>
      <c r="L3275" s="139" t="s">
        <v>1223</v>
      </c>
      <c r="M3275" s="139" t="s">
        <v>1223</v>
      </c>
      <c r="N3275" s="139" t="s">
        <v>1223</v>
      </c>
      <c r="O3275" s="139" t="s">
        <v>1223</v>
      </c>
      <c r="P3275" s="139" t="s">
        <v>1223</v>
      </c>
      <c r="Q3275" s="141" t="s">
        <v>1266</v>
      </c>
    </row>
    <row r="3276" spans="1:17">
      <c r="A3276" s="139" t="s">
        <v>1223</v>
      </c>
      <c r="B3276" s="139" t="s">
        <v>1223</v>
      </c>
      <c r="C3276" s="139" t="s">
        <v>1223</v>
      </c>
      <c r="D3276" s="139" t="s">
        <v>1223</v>
      </c>
      <c r="E3276" s="139" t="s">
        <v>1223</v>
      </c>
      <c r="F3276" s="139" t="s">
        <v>1223</v>
      </c>
      <c r="G3276" s="139" t="s">
        <v>1223</v>
      </c>
      <c r="H3276" s="139" t="s">
        <v>1223</v>
      </c>
      <c r="I3276" s="139" t="s">
        <v>1223</v>
      </c>
      <c r="J3276" s="139" t="s">
        <v>1223</v>
      </c>
      <c r="K3276" s="139" t="s">
        <v>1223</v>
      </c>
      <c r="L3276" s="139" t="s">
        <v>1223</v>
      </c>
      <c r="M3276" s="139" t="s">
        <v>1223</v>
      </c>
      <c r="N3276" s="139" t="s">
        <v>1223</v>
      </c>
      <c r="O3276" s="139" t="s">
        <v>1223</v>
      </c>
      <c r="P3276" s="139" t="s">
        <v>1223</v>
      </c>
      <c r="Q3276" s="141" t="s">
        <v>1267</v>
      </c>
    </row>
    <row r="3277" spans="1:17">
      <c r="A3277" s="139" t="s">
        <v>1223</v>
      </c>
      <c r="B3277" s="139" t="s">
        <v>1223</v>
      </c>
      <c r="C3277" s="139" t="s">
        <v>1223</v>
      </c>
      <c r="D3277" s="139" t="s">
        <v>1223</v>
      </c>
      <c r="E3277" s="139" t="s">
        <v>1223</v>
      </c>
      <c r="F3277" s="139" t="s">
        <v>1223</v>
      </c>
      <c r="G3277" s="139" t="s">
        <v>1223</v>
      </c>
      <c r="H3277" s="139" t="s">
        <v>1223</v>
      </c>
      <c r="I3277" s="139" t="s">
        <v>1223</v>
      </c>
      <c r="J3277" s="139" t="s">
        <v>1223</v>
      </c>
      <c r="K3277" s="139" t="s">
        <v>1223</v>
      </c>
      <c r="L3277" s="139" t="s">
        <v>1223</v>
      </c>
      <c r="M3277" s="139" t="s">
        <v>1223</v>
      </c>
      <c r="N3277" s="139" t="s">
        <v>1223</v>
      </c>
      <c r="O3277" s="139" t="s">
        <v>1223</v>
      </c>
      <c r="P3277" s="139" t="s">
        <v>1223</v>
      </c>
      <c r="Q3277" s="141" t="s">
        <v>1268</v>
      </c>
    </row>
    <row r="3278" spans="1:17">
      <c r="A3278" s="139" t="s">
        <v>1223</v>
      </c>
      <c r="B3278" s="139" t="s">
        <v>1223</v>
      </c>
      <c r="C3278" s="139" t="s">
        <v>1223</v>
      </c>
      <c r="D3278" s="139" t="s">
        <v>1223</v>
      </c>
      <c r="E3278" s="139" t="s">
        <v>1223</v>
      </c>
      <c r="F3278" s="139" t="s">
        <v>1223</v>
      </c>
      <c r="G3278" s="139" t="s">
        <v>1223</v>
      </c>
      <c r="H3278" s="139" t="s">
        <v>1223</v>
      </c>
      <c r="I3278" s="139" t="s">
        <v>1223</v>
      </c>
      <c r="J3278" s="139" t="s">
        <v>1223</v>
      </c>
      <c r="K3278" s="139" t="s">
        <v>1223</v>
      </c>
      <c r="L3278" s="139" t="s">
        <v>1223</v>
      </c>
      <c r="M3278" s="139" t="s">
        <v>1223</v>
      </c>
      <c r="N3278" s="139" t="s">
        <v>1223</v>
      </c>
      <c r="O3278" s="139" t="s">
        <v>1223</v>
      </c>
      <c r="P3278" s="139" t="s">
        <v>1223</v>
      </c>
      <c r="Q3278" s="141" t="s">
        <v>1269</v>
      </c>
    </row>
    <row r="3279" spans="1:17">
      <c r="A3279" s="139" t="s">
        <v>1223</v>
      </c>
      <c r="B3279" s="139" t="s">
        <v>1223</v>
      </c>
      <c r="C3279" s="139" t="s">
        <v>1223</v>
      </c>
      <c r="D3279" s="139" t="s">
        <v>1223</v>
      </c>
      <c r="E3279" s="139" t="s">
        <v>1223</v>
      </c>
      <c r="F3279" s="139" t="s">
        <v>1223</v>
      </c>
      <c r="G3279" s="139" t="s">
        <v>1223</v>
      </c>
      <c r="H3279" s="139" t="s">
        <v>1223</v>
      </c>
      <c r="I3279" s="139" t="s">
        <v>1223</v>
      </c>
      <c r="J3279" s="139" t="s">
        <v>1223</v>
      </c>
      <c r="K3279" s="139" t="s">
        <v>1223</v>
      </c>
      <c r="L3279" s="139" t="s">
        <v>1223</v>
      </c>
      <c r="M3279" s="139" t="s">
        <v>1223</v>
      </c>
      <c r="N3279" s="139" t="s">
        <v>1223</v>
      </c>
      <c r="O3279" s="139" t="s">
        <v>1223</v>
      </c>
      <c r="P3279" s="139" t="s">
        <v>1223</v>
      </c>
      <c r="Q3279" s="141" t="s">
        <v>1270</v>
      </c>
    </row>
    <row r="3280" spans="1:17">
      <c r="A3280" s="139" t="s">
        <v>1223</v>
      </c>
      <c r="B3280" s="139" t="s">
        <v>1223</v>
      </c>
      <c r="C3280" s="139" t="s">
        <v>1223</v>
      </c>
      <c r="D3280" s="139" t="s">
        <v>1223</v>
      </c>
      <c r="E3280" s="139" t="s">
        <v>1223</v>
      </c>
      <c r="F3280" s="139" t="s">
        <v>1223</v>
      </c>
      <c r="G3280" s="139" t="s">
        <v>1223</v>
      </c>
      <c r="H3280" s="139" t="s">
        <v>1223</v>
      </c>
      <c r="I3280" s="139" t="s">
        <v>1223</v>
      </c>
      <c r="J3280" s="139" t="s">
        <v>1223</v>
      </c>
      <c r="K3280" s="139" t="s">
        <v>1223</v>
      </c>
      <c r="L3280" s="139" t="s">
        <v>1223</v>
      </c>
      <c r="M3280" s="139" t="s">
        <v>1223</v>
      </c>
      <c r="N3280" s="139" t="s">
        <v>1223</v>
      </c>
      <c r="O3280" s="139" t="s">
        <v>1223</v>
      </c>
      <c r="P3280" s="139" t="s">
        <v>1223</v>
      </c>
      <c r="Q3280" s="141" t="s">
        <v>1271</v>
      </c>
    </row>
    <row r="3281" spans="1:17">
      <c r="A3281" s="139" t="s">
        <v>1223</v>
      </c>
      <c r="B3281" s="139" t="s">
        <v>1223</v>
      </c>
      <c r="C3281" s="139" t="s">
        <v>1223</v>
      </c>
      <c r="D3281" s="139" t="s">
        <v>1223</v>
      </c>
      <c r="E3281" s="139" t="s">
        <v>1223</v>
      </c>
      <c r="F3281" s="139" t="s">
        <v>1223</v>
      </c>
      <c r="G3281" s="139" t="s">
        <v>1223</v>
      </c>
      <c r="H3281" s="139" t="s">
        <v>1223</v>
      </c>
      <c r="I3281" s="139" t="s">
        <v>1223</v>
      </c>
      <c r="J3281" s="139" t="s">
        <v>1223</v>
      </c>
      <c r="K3281" s="139" t="s">
        <v>1223</v>
      </c>
      <c r="L3281" s="139" t="s">
        <v>1223</v>
      </c>
      <c r="M3281" s="139" t="s">
        <v>1223</v>
      </c>
      <c r="N3281" s="139" t="s">
        <v>1223</v>
      </c>
      <c r="O3281" s="139" t="s">
        <v>1223</v>
      </c>
      <c r="P3281" s="139" t="s">
        <v>1223</v>
      </c>
      <c r="Q3281" s="141" t="s">
        <v>1272</v>
      </c>
    </row>
    <row r="3282" spans="1:17">
      <c r="A3282" s="139" t="s">
        <v>1223</v>
      </c>
      <c r="B3282" s="139" t="s">
        <v>1223</v>
      </c>
      <c r="C3282" s="139" t="s">
        <v>1223</v>
      </c>
      <c r="D3282" s="139" t="s">
        <v>1223</v>
      </c>
      <c r="E3282" s="139" t="s">
        <v>1223</v>
      </c>
      <c r="F3282" s="139" t="s">
        <v>1223</v>
      </c>
      <c r="G3282" s="139" t="s">
        <v>1223</v>
      </c>
      <c r="H3282" s="139" t="s">
        <v>1223</v>
      </c>
      <c r="I3282" s="139" t="s">
        <v>1223</v>
      </c>
      <c r="J3282" s="139" t="s">
        <v>1223</v>
      </c>
      <c r="K3282" s="139" t="s">
        <v>1223</v>
      </c>
      <c r="L3282" s="139" t="s">
        <v>1223</v>
      </c>
      <c r="M3282" s="139" t="s">
        <v>1223</v>
      </c>
      <c r="N3282" s="139" t="s">
        <v>1223</v>
      </c>
      <c r="O3282" s="139" t="s">
        <v>1223</v>
      </c>
      <c r="P3282" s="139" t="s">
        <v>1223</v>
      </c>
      <c r="Q3282" s="141" t="s">
        <v>1273</v>
      </c>
    </row>
    <row r="3283" spans="1:17">
      <c r="A3283" s="139" t="s">
        <v>1223</v>
      </c>
      <c r="B3283" s="139" t="s">
        <v>1223</v>
      </c>
      <c r="C3283" s="139" t="s">
        <v>1223</v>
      </c>
      <c r="D3283" s="139" t="s">
        <v>1223</v>
      </c>
      <c r="E3283" s="139" t="s">
        <v>1223</v>
      </c>
      <c r="F3283" s="139" t="s">
        <v>1223</v>
      </c>
      <c r="G3283" s="139" t="s">
        <v>1223</v>
      </c>
      <c r="H3283" s="139" t="s">
        <v>1223</v>
      </c>
      <c r="I3283" s="139" t="s">
        <v>1223</v>
      </c>
      <c r="J3283" s="139" t="s">
        <v>1223</v>
      </c>
      <c r="K3283" s="139" t="s">
        <v>1223</v>
      </c>
      <c r="L3283" s="139" t="s">
        <v>1223</v>
      </c>
      <c r="M3283" s="139" t="s">
        <v>1223</v>
      </c>
      <c r="N3283" s="139" t="s">
        <v>1223</v>
      </c>
      <c r="O3283" s="139" t="s">
        <v>1223</v>
      </c>
      <c r="P3283" s="139" t="s">
        <v>1223</v>
      </c>
      <c r="Q3283" s="141" t="s">
        <v>1274</v>
      </c>
    </row>
    <row r="3284" spans="1:17">
      <c r="A3284" s="139" t="s">
        <v>1223</v>
      </c>
      <c r="B3284" s="139" t="s">
        <v>1223</v>
      </c>
      <c r="C3284" s="139" t="s">
        <v>1223</v>
      </c>
      <c r="D3284" s="139" t="s">
        <v>1223</v>
      </c>
      <c r="E3284" s="139" t="s">
        <v>1223</v>
      </c>
      <c r="F3284" s="139" t="s">
        <v>1223</v>
      </c>
      <c r="G3284" s="139" t="s">
        <v>1223</v>
      </c>
      <c r="H3284" s="139" t="s">
        <v>1223</v>
      </c>
      <c r="I3284" s="139" t="s">
        <v>1223</v>
      </c>
      <c r="J3284" s="139" t="s">
        <v>1223</v>
      </c>
      <c r="K3284" s="139" t="s">
        <v>1223</v>
      </c>
      <c r="L3284" s="139" t="s">
        <v>1223</v>
      </c>
      <c r="M3284" s="139" t="s">
        <v>1223</v>
      </c>
      <c r="N3284" s="139" t="s">
        <v>1223</v>
      </c>
      <c r="O3284" s="139" t="s">
        <v>1223</v>
      </c>
      <c r="P3284" s="139" t="s">
        <v>1223</v>
      </c>
      <c r="Q3284" s="141" t="s">
        <v>1275</v>
      </c>
    </row>
    <row r="3285" spans="1:17">
      <c r="A3285" s="139" t="s">
        <v>1223</v>
      </c>
      <c r="B3285" s="139" t="s">
        <v>1223</v>
      </c>
      <c r="C3285" s="139" t="s">
        <v>1223</v>
      </c>
      <c r="D3285" s="139" t="s">
        <v>1223</v>
      </c>
      <c r="E3285" s="139" t="s">
        <v>1223</v>
      </c>
      <c r="F3285" s="139" t="s">
        <v>1223</v>
      </c>
      <c r="G3285" s="139" t="s">
        <v>1223</v>
      </c>
      <c r="H3285" s="139" t="s">
        <v>1223</v>
      </c>
      <c r="I3285" s="139" t="s">
        <v>1223</v>
      </c>
      <c r="J3285" s="139" t="s">
        <v>1223</v>
      </c>
      <c r="K3285" s="139" t="s">
        <v>1223</v>
      </c>
      <c r="L3285" s="139" t="s">
        <v>1223</v>
      </c>
      <c r="M3285" s="139" t="s">
        <v>1223</v>
      </c>
      <c r="N3285" s="139" t="s">
        <v>1223</v>
      </c>
      <c r="O3285" s="139" t="s">
        <v>1223</v>
      </c>
      <c r="P3285" s="139" t="s">
        <v>1223</v>
      </c>
      <c r="Q3285" s="141" t="s">
        <v>1276</v>
      </c>
    </row>
    <row r="3286" spans="1:17">
      <c r="A3286" s="139" t="s">
        <v>1223</v>
      </c>
      <c r="B3286" s="139" t="s">
        <v>1223</v>
      </c>
      <c r="C3286" s="139" t="s">
        <v>1223</v>
      </c>
      <c r="D3286" s="139" t="s">
        <v>1223</v>
      </c>
      <c r="E3286" s="139" t="s">
        <v>1223</v>
      </c>
      <c r="F3286" s="139" t="s">
        <v>1223</v>
      </c>
      <c r="G3286" s="139" t="s">
        <v>1223</v>
      </c>
      <c r="H3286" s="139" t="s">
        <v>1223</v>
      </c>
      <c r="I3286" s="139" t="s">
        <v>1223</v>
      </c>
      <c r="J3286" s="139" t="s">
        <v>1223</v>
      </c>
      <c r="K3286" s="139" t="s">
        <v>1223</v>
      </c>
      <c r="L3286" s="139" t="s">
        <v>1223</v>
      </c>
      <c r="M3286" s="139" t="s">
        <v>1223</v>
      </c>
      <c r="N3286" s="139" t="s">
        <v>1223</v>
      </c>
      <c r="O3286" s="139" t="s">
        <v>1223</v>
      </c>
      <c r="P3286" s="139" t="s">
        <v>1223</v>
      </c>
      <c r="Q3286" s="141" t="s">
        <v>1277</v>
      </c>
    </row>
    <row r="3287" spans="1:17">
      <c r="A3287" s="139" t="s">
        <v>1223</v>
      </c>
      <c r="B3287" s="139" t="s">
        <v>1223</v>
      </c>
      <c r="C3287" s="139" t="s">
        <v>1223</v>
      </c>
      <c r="D3287" s="139" t="s">
        <v>1223</v>
      </c>
      <c r="E3287" s="139" t="s">
        <v>1223</v>
      </c>
      <c r="F3287" s="139" t="s">
        <v>1223</v>
      </c>
      <c r="G3287" s="139" t="s">
        <v>1223</v>
      </c>
      <c r="H3287" s="139" t="s">
        <v>1223</v>
      </c>
      <c r="I3287" s="139" t="s">
        <v>1223</v>
      </c>
      <c r="J3287" s="139" t="s">
        <v>1223</v>
      </c>
      <c r="K3287" s="139" t="s">
        <v>1223</v>
      </c>
      <c r="L3287" s="139" t="s">
        <v>1223</v>
      </c>
      <c r="M3287" s="139" t="s">
        <v>1223</v>
      </c>
      <c r="N3287" s="139" t="s">
        <v>1223</v>
      </c>
      <c r="O3287" s="139" t="s">
        <v>1223</v>
      </c>
      <c r="P3287" s="139" t="s">
        <v>1223</v>
      </c>
      <c r="Q3287" s="141" t="s">
        <v>1278</v>
      </c>
    </row>
    <row r="3288" spans="1:17">
      <c r="A3288" s="139" t="s">
        <v>1223</v>
      </c>
      <c r="B3288" s="139" t="s">
        <v>1223</v>
      </c>
      <c r="C3288" s="139" t="s">
        <v>1223</v>
      </c>
      <c r="D3288" s="139" t="s">
        <v>1223</v>
      </c>
      <c r="E3288" s="139" t="s">
        <v>1223</v>
      </c>
      <c r="F3288" s="139" t="s">
        <v>1223</v>
      </c>
      <c r="G3288" s="139" t="s">
        <v>1223</v>
      </c>
      <c r="H3288" s="139" t="s">
        <v>1223</v>
      </c>
      <c r="I3288" s="139" t="s">
        <v>1223</v>
      </c>
      <c r="J3288" s="139" t="s">
        <v>1223</v>
      </c>
      <c r="K3288" s="139" t="s">
        <v>1223</v>
      </c>
      <c r="L3288" s="139" t="s">
        <v>1223</v>
      </c>
      <c r="M3288" s="139" t="s">
        <v>1223</v>
      </c>
      <c r="N3288" s="139" t="s">
        <v>1223</v>
      </c>
      <c r="O3288" s="139" t="s">
        <v>1223</v>
      </c>
      <c r="P3288" s="139" t="s">
        <v>1223</v>
      </c>
      <c r="Q3288" s="141" t="s">
        <v>1279</v>
      </c>
    </row>
    <row r="3289" spans="1:17">
      <c r="A3289" s="139" t="s">
        <v>1223</v>
      </c>
      <c r="B3289" s="139" t="s">
        <v>1223</v>
      </c>
      <c r="C3289" s="139" t="s">
        <v>1223</v>
      </c>
      <c r="D3289" s="139" t="s">
        <v>1223</v>
      </c>
      <c r="E3289" s="139" t="s">
        <v>1223</v>
      </c>
      <c r="F3289" s="139" t="s">
        <v>1223</v>
      </c>
      <c r="G3289" s="139" t="s">
        <v>1223</v>
      </c>
      <c r="H3289" s="139" t="s">
        <v>1223</v>
      </c>
      <c r="I3289" s="139" t="s">
        <v>1223</v>
      </c>
      <c r="J3289" s="139" t="s">
        <v>1223</v>
      </c>
      <c r="K3289" s="139" t="s">
        <v>1223</v>
      </c>
      <c r="L3289" s="139" t="s">
        <v>1223</v>
      </c>
      <c r="M3289" s="139" t="s">
        <v>1223</v>
      </c>
      <c r="N3289" s="139" t="s">
        <v>1223</v>
      </c>
      <c r="O3289" s="139" t="s">
        <v>1223</v>
      </c>
      <c r="P3289" s="139" t="s">
        <v>1223</v>
      </c>
      <c r="Q3289" s="141" t="s">
        <v>1280</v>
      </c>
    </row>
    <row r="3290" spans="1:17">
      <c r="A3290" s="139" t="s">
        <v>1223</v>
      </c>
      <c r="B3290" s="139" t="s">
        <v>1223</v>
      </c>
      <c r="C3290" s="139" t="s">
        <v>1223</v>
      </c>
      <c r="D3290" s="139" t="s">
        <v>1223</v>
      </c>
      <c r="E3290" s="139" t="s">
        <v>1223</v>
      </c>
      <c r="F3290" s="139" t="s">
        <v>1223</v>
      </c>
      <c r="G3290" s="139" t="s">
        <v>1223</v>
      </c>
      <c r="H3290" s="139" t="s">
        <v>1223</v>
      </c>
      <c r="I3290" s="139" t="s">
        <v>1223</v>
      </c>
      <c r="J3290" s="139" t="s">
        <v>1223</v>
      </c>
      <c r="K3290" s="139" t="s">
        <v>1223</v>
      </c>
      <c r="L3290" s="139" t="s">
        <v>1223</v>
      </c>
      <c r="M3290" s="139" t="s">
        <v>1223</v>
      </c>
      <c r="N3290" s="139" t="s">
        <v>1223</v>
      </c>
      <c r="O3290" s="139" t="s">
        <v>1223</v>
      </c>
      <c r="P3290" s="139" t="s">
        <v>1223</v>
      </c>
      <c r="Q3290" s="141" t="s">
        <v>1281</v>
      </c>
    </row>
    <row r="3291" spans="1:17">
      <c r="A3291" s="139" t="s">
        <v>1223</v>
      </c>
      <c r="B3291" s="139" t="s">
        <v>1223</v>
      </c>
      <c r="C3291" s="139" t="s">
        <v>1223</v>
      </c>
      <c r="D3291" s="139" t="s">
        <v>1223</v>
      </c>
      <c r="E3291" s="139" t="s">
        <v>1223</v>
      </c>
      <c r="F3291" s="139" t="s">
        <v>1223</v>
      </c>
      <c r="G3291" s="139" t="s">
        <v>1223</v>
      </c>
      <c r="H3291" s="139" t="s">
        <v>1223</v>
      </c>
      <c r="I3291" s="139" t="s">
        <v>1223</v>
      </c>
      <c r="J3291" s="139" t="s">
        <v>1223</v>
      </c>
      <c r="K3291" s="139" t="s">
        <v>1223</v>
      </c>
      <c r="L3291" s="139" t="s">
        <v>1223</v>
      </c>
      <c r="M3291" s="139" t="s">
        <v>1223</v>
      </c>
      <c r="N3291" s="139" t="s">
        <v>1223</v>
      </c>
      <c r="O3291" s="139" t="s">
        <v>1223</v>
      </c>
      <c r="P3291" s="139" t="s">
        <v>1223</v>
      </c>
      <c r="Q3291" s="141" t="s">
        <v>1282</v>
      </c>
    </row>
    <row r="3292" spans="1:17">
      <c r="A3292" s="139" t="s">
        <v>1223</v>
      </c>
      <c r="B3292" s="139" t="s">
        <v>1223</v>
      </c>
      <c r="C3292" s="139" t="s">
        <v>1223</v>
      </c>
      <c r="D3292" s="139" t="s">
        <v>1223</v>
      </c>
      <c r="E3292" s="139" t="s">
        <v>1223</v>
      </c>
      <c r="F3292" s="139" t="s">
        <v>1223</v>
      </c>
      <c r="G3292" s="139" t="s">
        <v>1223</v>
      </c>
      <c r="H3292" s="139" t="s">
        <v>1223</v>
      </c>
      <c r="I3292" s="139" t="s">
        <v>1223</v>
      </c>
      <c r="J3292" s="139" t="s">
        <v>1223</v>
      </c>
      <c r="K3292" s="139" t="s">
        <v>1223</v>
      </c>
      <c r="L3292" s="139" t="s">
        <v>1223</v>
      </c>
      <c r="M3292" s="139" t="s">
        <v>1223</v>
      </c>
      <c r="N3292" s="139" t="s">
        <v>1223</v>
      </c>
      <c r="O3292" s="139" t="s">
        <v>1223</v>
      </c>
      <c r="P3292" s="139" t="s">
        <v>1223</v>
      </c>
      <c r="Q3292" s="141" t="s">
        <v>1283</v>
      </c>
    </row>
    <row r="3293" spans="1:17">
      <c r="A3293" s="139" t="s">
        <v>1223</v>
      </c>
      <c r="B3293" s="139" t="s">
        <v>1223</v>
      </c>
      <c r="C3293" s="139" t="s">
        <v>1223</v>
      </c>
      <c r="D3293" s="139" t="s">
        <v>1223</v>
      </c>
      <c r="E3293" s="139" t="s">
        <v>1223</v>
      </c>
      <c r="F3293" s="139" t="s">
        <v>1223</v>
      </c>
      <c r="G3293" s="139" t="s">
        <v>1223</v>
      </c>
      <c r="H3293" s="139" t="s">
        <v>1223</v>
      </c>
      <c r="I3293" s="139" t="s">
        <v>1223</v>
      </c>
      <c r="J3293" s="139" t="s">
        <v>1223</v>
      </c>
      <c r="K3293" s="139" t="s">
        <v>1223</v>
      </c>
      <c r="L3293" s="139" t="s">
        <v>1223</v>
      </c>
      <c r="M3293" s="139" t="s">
        <v>1223</v>
      </c>
      <c r="N3293" s="139" t="s">
        <v>1223</v>
      </c>
      <c r="O3293" s="139" t="s">
        <v>1223</v>
      </c>
      <c r="P3293" s="139" t="s">
        <v>1223</v>
      </c>
      <c r="Q3293" s="141" t="s">
        <v>1284</v>
      </c>
    </row>
    <row r="3294" spans="1:17">
      <c r="A3294" s="139" t="s">
        <v>1223</v>
      </c>
      <c r="B3294" s="139" t="s">
        <v>1223</v>
      </c>
      <c r="C3294" s="139" t="s">
        <v>1223</v>
      </c>
      <c r="D3294" s="139" t="s">
        <v>1223</v>
      </c>
      <c r="E3294" s="139" t="s">
        <v>1223</v>
      </c>
      <c r="F3294" s="139" t="s">
        <v>1223</v>
      </c>
      <c r="G3294" s="139" t="s">
        <v>1223</v>
      </c>
      <c r="H3294" s="139" t="s">
        <v>1223</v>
      </c>
      <c r="I3294" s="139" t="s">
        <v>1223</v>
      </c>
      <c r="J3294" s="139" t="s">
        <v>1223</v>
      </c>
      <c r="K3294" s="139" t="s">
        <v>1223</v>
      </c>
      <c r="L3294" s="139" t="s">
        <v>1223</v>
      </c>
      <c r="M3294" s="139" t="s">
        <v>1223</v>
      </c>
      <c r="N3294" s="139" t="s">
        <v>1223</v>
      </c>
      <c r="O3294" s="139" t="s">
        <v>1223</v>
      </c>
      <c r="P3294" s="139" t="s">
        <v>1223</v>
      </c>
      <c r="Q3294" s="141" t="s">
        <v>1285</v>
      </c>
    </row>
    <row r="3295" spans="1:17">
      <c r="A3295" s="139" t="s">
        <v>1223</v>
      </c>
      <c r="B3295" s="139" t="s">
        <v>1223</v>
      </c>
      <c r="C3295" s="139" t="s">
        <v>1223</v>
      </c>
      <c r="D3295" s="139" t="s">
        <v>1223</v>
      </c>
      <c r="E3295" s="139" t="s">
        <v>1223</v>
      </c>
      <c r="F3295" s="139" t="s">
        <v>1223</v>
      </c>
      <c r="G3295" s="139" t="s">
        <v>1223</v>
      </c>
      <c r="H3295" s="139" t="s">
        <v>1223</v>
      </c>
      <c r="I3295" s="139"/>
      <c r="J3295" s="139"/>
      <c r="K3295" s="139"/>
      <c r="L3295" s="139"/>
      <c r="M3295" s="139"/>
      <c r="N3295" s="139"/>
      <c r="O3295" s="139"/>
      <c r="P3295" s="139"/>
      <c r="Q3295" s="141" t="s">
        <v>1286</v>
      </c>
    </row>
    <row r="3296" spans="1:17" ht="15">
      <c r="A3296" s="137" t="s">
        <v>1290</v>
      </c>
      <c r="B3296" s="137"/>
      <c r="C3296" s="137"/>
      <c r="D3296" s="137"/>
      <c r="E3296" s="137"/>
      <c r="F3296" s="137"/>
      <c r="G3296" s="137"/>
      <c r="H3296" s="137"/>
      <c r="I3296" s="137"/>
      <c r="J3296" s="137"/>
      <c r="K3296" s="137"/>
      <c r="L3296" s="137"/>
      <c r="M3296" s="137"/>
      <c r="N3296" s="137"/>
      <c r="O3296" s="137"/>
      <c r="P3296" s="137"/>
      <c r="Q3296" s="137"/>
    </row>
    <row r="3297" spans="1:17">
      <c r="A3297" s="138">
        <v>21</v>
      </c>
      <c r="B3297" s="138">
        <v>21</v>
      </c>
      <c r="C3297" s="138">
        <v>21</v>
      </c>
      <c r="D3297" s="138">
        <v>21</v>
      </c>
      <c r="E3297" s="139" t="s">
        <v>1223</v>
      </c>
      <c r="F3297" s="139" t="s">
        <v>1223</v>
      </c>
      <c r="G3297" s="140">
        <v>32</v>
      </c>
      <c r="H3297" s="140">
        <v>32</v>
      </c>
      <c r="I3297" s="140">
        <v>32</v>
      </c>
      <c r="J3297" s="140">
        <v>32</v>
      </c>
      <c r="K3297" s="140">
        <v>32</v>
      </c>
      <c r="L3297" s="140">
        <v>32</v>
      </c>
      <c r="M3297" s="139" t="s">
        <v>1223</v>
      </c>
      <c r="N3297" s="139" t="s">
        <v>1223</v>
      </c>
      <c r="O3297" s="139" t="s">
        <v>1223</v>
      </c>
      <c r="P3297" s="139" t="s">
        <v>1223</v>
      </c>
      <c r="Q3297" s="141" t="s">
        <v>1224</v>
      </c>
    </row>
    <row r="3298" spans="1:17">
      <c r="A3298" s="139" t="s">
        <v>1223</v>
      </c>
      <c r="B3298" s="139" t="s">
        <v>1223</v>
      </c>
      <c r="C3298" s="139" t="s">
        <v>1223</v>
      </c>
      <c r="D3298" s="139" t="s">
        <v>1223</v>
      </c>
      <c r="E3298" s="139" t="s">
        <v>1223</v>
      </c>
      <c r="F3298" s="139" t="s">
        <v>1223</v>
      </c>
      <c r="G3298" s="139" t="s">
        <v>1223</v>
      </c>
      <c r="H3298" s="139" t="s">
        <v>1223</v>
      </c>
      <c r="I3298" s="139" t="s">
        <v>1223</v>
      </c>
      <c r="J3298" s="139" t="s">
        <v>1223</v>
      </c>
      <c r="K3298" s="139" t="s">
        <v>1223</v>
      </c>
      <c r="L3298" s="139" t="s">
        <v>1223</v>
      </c>
      <c r="M3298" s="139" t="s">
        <v>1223</v>
      </c>
      <c r="N3298" s="139" t="s">
        <v>1223</v>
      </c>
      <c r="O3298" s="139" t="s">
        <v>1223</v>
      </c>
      <c r="P3298" s="139" t="s">
        <v>1223</v>
      </c>
      <c r="Q3298" s="141" t="s">
        <v>1225</v>
      </c>
    </row>
    <row r="3299" spans="1:17">
      <c r="A3299" s="139" t="s">
        <v>1223</v>
      </c>
      <c r="B3299" s="139" t="s">
        <v>1223</v>
      </c>
      <c r="C3299" s="139" t="s">
        <v>1223</v>
      </c>
      <c r="D3299" s="139" t="s">
        <v>1223</v>
      </c>
      <c r="E3299" s="139" t="s">
        <v>1223</v>
      </c>
      <c r="F3299" s="139" t="s">
        <v>1223</v>
      </c>
      <c r="G3299" s="139" t="s">
        <v>1223</v>
      </c>
      <c r="H3299" s="139" t="s">
        <v>1223</v>
      </c>
      <c r="I3299" s="139" t="s">
        <v>1223</v>
      </c>
      <c r="J3299" s="139" t="s">
        <v>1223</v>
      </c>
      <c r="K3299" s="139" t="s">
        <v>1223</v>
      </c>
      <c r="L3299" s="139" t="s">
        <v>1223</v>
      </c>
      <c r="M3299" s="139" t="s">
        <v>1223</v>
      </c>
      <c r="N3299" s="139" t="s">
        <v>1223</v>
      </c>
      <c r="O3299" s="139" t="s">
        <v>1223</v>
      </c>
      <c r="P3299" s="139" t="s">
        <v>1223</v>
      </c>
      <c r="Q3299" s="141" t="s">
        <v>1226</v>
      </c>
    </row>
    <row r="3300" spans="1:17">
      <c r="A3300" s="139" t="s">
        <v>1223</v>
      </c>
      <c r="B3300" s="139" t="s">
        <v>1223</v>
      </c>
      <c r="C3300" s="139" t="s">
        <v>1223</v>
      </c>
      <c r="D3300" s="139" t="s">
        <v>1223</v>
      </c>
      <c r="E3300" s="139" t="s">
        <v>1223</v>
      </c>
      <c r="F3300" s="139" t="s">
        <v>1223</v>
      </c>
      <c r="G3300" s="139" t="s">
        <v>1223</v>
      </c>
      <c r="H3300" s="139" t="s">
        <v>1223</v>
      </c>
      <c r="I3300" s="139" t="s">
        <v>1223</v>
      </c>
      <c r="J3300" s="139" t="s">
        <v>1223</v>
      </c>
      <c r="K3300" s="139" t="s">
        <v>1223</v>
      </c>
      <c r="L3300" s="139" t="s">
        <v>1223</v>
      </c>
      <c r="M3300" s="139" t="s">
        <v>1223</v>
      </c>
      <c r="N3300" s="139" t="s">
        <v>1223</v>
      </c>
      <c r="O3300" s="139" t="s">
        <v>1223</v>
      </c>
      <c r="P3300" s="139" t="s">
        <v>1223</v>
      </c>
      <c r="Q3300" s="141" t="s">
        <v>1227</v>
      </c>
    </row>
    <row r="3301" spans="1:17">
      <c r="A3301" s="139" t="s">
        <v>1223</v>
      </c>
      <c r="B3301" s="139" t="s">
        <v>1223</v>
      </c>
      <c r="C3301" s="139" t="s">
        <v>1223</v>
      </c>
      <c r="D3301" s="139" t="s">
        <v>1223</v>
      </c>
      <c r="E3301" s="139" t="s">
        <v>1223</v>
      </c>
      <c r="F3301" s="139" t="s">
        <v>1223</v>
      </c>
      <c r="G3301" s="139" t="s">
        <v>1223</v>
      </c>
      <c r="H3301" s="139" t="s">
        <v>1223</v>
      </c>
      <c r="I3301" s="139" t="s">
        <v>1223</v>
      </c>
      <c r="J3301" s="139" t="s">
        <v>1223</v>
      </c>
      <c r="K3301" s="139" t="s">
        <v>1223</v>
      </c>
      <c r="L3301" s="139" t="s">
        <v>1223</v>
      </c>
      <c r="M3301" s="139" t="s">
        <v>1223</v>
      </c>
      <c r="N3301" s="139" t="s">
        <v>1223</v>
      </c>
      <c r="O3301" s="139" t="s">
        <v>1223</v>
      </c>
      <c r="P3301" s="139" t="s">
        <v>1223</v>
      </c>
      <c r="Q3301" s="141" t="s">
        <v>1228</v>
      </c>
    </row>
    <row r="3302" spans="1:17">
      <c r="A3302" s="139" t="s">
        <v>1223</v>
      </c>
      <c r="B3302" s="139" t="s">
        <v>1223</v>
      </c>
      <c r="C3302" s="139" t="s">
        <v>1223</v>
      </c>
      <c r="D3302" s="139" t="s">
        <v>1223</v>
      </c>
      <c r="E3302" s="139" t="s">
        <v>1223</v>
      </c>
      <c r="F3302" s="139" t="s">
        <v>1223</v>
      </c>
      <c r="G3302" s="139" t="s">
        <v>1223</v>
      </c>
      <c r="H3302" s="139" t="s">
        <v>1223</v>
      </c>
      <c r="I3302" s="139" t="s">
        <v>1223</v>
      </c>
      <c r="J3302" s="139" t="s">
        <v>1223</v>
      </c>
      <c r="K3302" s="139" t="s">
        <v>1223</v>
      </c>
      <c r="L3302" s="139" t="s">
        <v>1223</v>
      </c>
      <c r="M3302" s="139" t="s">
        <v>1223</v>
      </c>
      <c r="N3302" s="139" t="s">
        <v>1223</v>
      </c>
      <c r="O3302" s="139" t="s">
        <v>1223</v>
      </c>
      <c r="P3302" s="139" t="s">
        <v>1223</v>
      </c>
      <c r="Q3302" s="141" t="s">
        <v>1229</v>
      </c>
    </row>
    <row r="3303" spans="1:17">
      <c r="A3303" s="139" t="s">
        <v>1223</v>
      </c>
      <c r="B3303" s="139" t="s">
        <v>1223</v>
      </c>
      <c r="C3303" s="139" t="s">
        <v>1223</v>
      </c>
      <c r="D3303" s="139" t="s">
        <v>1223</v>
      </c>
      <c r="E3303" s="139" t="s">
        <v>1223</v>
      </c>
      <c r="F3303" s="139" t="s">
        <v>1223</v>
      </c>
      <c r="G3303" s="139" t="s">
        <v>1223</v>
      </c>
      <c r="H3303" s="139" t="s">
        <v>1223</v>
      </c>
      <c r="I3303" s="139" t="s">
        <v>1223</v>
      </c>
      <c r="J3303" s="139" t="s">
        <v>1223</v>
      </c>
      <c r="K3303" s="139" t="s">
        <v>1223</v>
      </c>
      <c r="L3303" s="139" t="s">
        <v>1223</v>
      </c>
      <c r="M3303" s="139" t="s">
        <v>1223</v>
      </c>
      <c r="N3303" s="139" t="s">
        <v>1223</v>
      </c>
      <c r="O3303" s="139" t="s">
        <v>1223</v>
      </c>
      <c r="P3303" s="139" t="s">
        <v>1223</v>
      </c>
      <c r="Q3303" s="141" t="s">
        <v>1230</v>
      </c>
    </row>
    <row r="3304" spans="1:17">
      <c r="A3304" s="139" t="s">
        <v>1223</v>
      </c>
      <c r="B3304" s="139" t="s">
        <v>1223</v>
      </c>
      <c r="C3304" s="139" t="s">
        <v>1223</v>
      </c>
      <c r="D3304" s="139" t="s">
        <v>1223</v>
      </c>
      <c r="E3304" s="139" t="s">
        <v>1223</v>
      </c>
      <c r="F3304" s="139" t="s">
        <v>1223</v>
      </c>
      <c r="G3304" s="139" t="s">
        <v>1223</v>
      </c>
      <c r="H3304" s="139" t="s">
        <v>1223</v>
      </c>
      <c r="I3304" s="139" t="s">
        <v>1223</v>
      </c>
      <c r="J3304" s="139" t="s">
        <v>1223</v>
      </c>
      <c r="K3304" s="139" t="s">
        <v>1223</v>
      </c>
      <c r="L3304" s="139" t="s">
        <v>1223</v>
      </c>
      <c r="M3304" s="139" t="s">
        <v>1223</v>
      </c>
      <c r="N3304" s="139" t="s">
        <v>1223</v>
      </c>
      <c r="O3304" s="139" t="s">
        <v>1223</v>
      </c>
      <c r="P3304" s="139" t="s">
        <v>1223</v>
      </c>
      <c r="Q3304" s="141" t="s">
        <v>1231</v>
      </c>
    </row>
    <row r="3305" spans="1:17">
      <c r="A3305" s="139" t="s">
        <v>1223</v>
      </c>
      <c r="B3305" s="139" t="s">
        <v>1223</v>
      </c>
      <c r="C3305" s="139" t="s">
        <v>1223</v>
      </c>
      <c r="D3305" s="139" t="s">
        <v>1223</v>
      </c>
      <c r="E3305" s="139" t="s">
        <v>1223</v>
      </c>
      <c r="F3305" s="139" t="s">
        <v>1223</v>
      </c>
      <c r="G3305" s="139" t="s">
        <v>1223</v>
      </c>
      <c r="H3305" s="139" t="s">
        <v>1223</v>
      </c>
      <c r="I3305" s="139" t="s">
        <v>1223</v>
      </c>
      <c r="J3305" s="139" t="s">
        <v>1223</v>
      </c>
      <c r="K3305" s="139" t="s">
        <v>1223</v>
      </c>
      <c r="L3305" s="139" t="s">
        <v>1223</v>
      </c>
      <c r="M3305" s="139" t="s">
        <v>1223</v>
      </c>
      <c r="N3305" s="139" t="s">
        <v>1223</v>
      </c>
      <c r="O3305" s="139" t="s">
        <v>1223</v>
      </c>
      <c r="P3305" s="139" t="s">
        <v>1223</v>
      </c>
      <c r="Q3305" s="141" t="s">
        <v>1232</v>
      </c>
    </row>
    <row r="3306" spans="1:17">
      <c r="A3306" s="139" t="s">
        <v>1223</v>
      </c>
      <c r="B3306" s="139" t="s">
        <v>1223</v>
      </c>
      <c r="C3306" s="139" t="s">
        <v>1223</v>
      </c>
      <c r="D3306" s="139" t="s">
        <v>1223</v>
      </c>
      <c r="E3306" s="139" t="s">
        <v>1223</v>
      </c>
      <c r="F3306" s="139" t="s">
        <v>1223</v>
      </c>
      <c r="G3306" s="139" t="s">
        <v>1223</v>
      </c>
      <c r="H3306" s="139" t="s">
        <v>1223</v>
      </c>
      <c r="I3306" s="139" t="s">
        <v>1223</v>
      </c>
      <c r="J3306" s="139" t="s">
        <v>1223</v>
      </c>
      <c r="K3306" s="139" t="s">
        <v>1223</v>
      </c>
      <c r="L3306" s="139" t="s">
        <v>1223</v>
      </c>
      <c r="M3306" s="139" t="s">
        <v>1223</v>
      </c>
      <c r="N3306" s="139" t="s">
        <v>1223</v>
      </c>
      <c r="O3306" s="139" t="s">
        <v>1223</v>
      </c>
      <c r="P3306" s="139" t="s">
        <v>1223</v>
      </c>
      <c r="Q3306" s="141" t="s">
        <v>1233</v>
      </c>
    </row>
    <row r="3307" spans="1:17">
      <c r="A3307" s="139" t="s">
        <v>1223</v>
      </c>
      <c r="B3307" s="139" t="s">
        <v>1223</v>
      </c>
      <c r="C3307" s="139" t="s">
        <v>1223</v>
      </c>
      <c r="D3307" s="139" t="s">
        <v>1223</v>
      </c>
      <c r="E3307" s="139" t="s">
        <v>1223</v>
      </c>
      <c r="F3307" s="139" t="s">
        <v>1223</v>
      </c>
      <c r="G3307" s="139" t="s">
        <v>1223</v>
      </c>
      <c r="H3307" s="139" t="s">
        <v>1223</v>
      </c>
      <c r="I3307" s="139" t="s">
        <v>1223</v>
      </c>
      <c r="J3307" s="139" t="s">
        <v>1223</v>
      </c>
      <c r="K3307" s="139" t="s">
        <v>1223</v>
      </c>
      <c r="L3307" s="139" t="s">
        <v>1223</v>
      </c>
      <c r="M3307" s="139" t="s">
        <v>1223</v>
      </c>
      <c r="N3307" s="139" t="s">
        <v>1223</v>
      </c>
      <c r="O3307" s="139" t="s">
        <v>1223</v>
      </c>
      <c r="P3307" s="139" t="s">
        <v>1223</v>
      </c>
      <c r="Q3307" s="141" t="s">
        <v>1234</v>
      </c>
    </row>
    <row r="3308" spans="1:17">
      <c r="A3308" s="139" t="s">
        <v>1223</v>
      </c>
      <c r="B3308" s="139" t="s">
        <v>1223</v>
      </c>
      <c r="C3308" s="139" t="s">
        <v>1223</v>
      </c>
      <c r="D3308" s="139" t="s">
        <v>1223</v>
      </c>
      <c r="E3308" s="139" t="s">
        <v>1223</v>
      </c>
      <c r="F3308" s="139" t="s">
        <v>1223</v>
      </c>
      <c r="G3308" s="139" t="s">
        <v>1223</v>
      </c>
      <c r="H3308" s="139" t="s">
        <v>1223</v>
      </c>
      <c r="I3308" s="139" t="s">
        <v>1223</v>
      </c>
      <c r="J3308" s="139" t="s">
        <v>1223</v>
      </c>
      <c r="K3308" s="139" t="s">
        <v>1223</v>
      </c>
      <c r="L3308" s="139" t="s">
        <v>1223</v>
      </c>
      <c r="M3308" s="139" t="s">
        <v>1223</v>
      </c>
      <c r="N3308" s="139" t="s">
        <v>1223</v>
      </c>
      <c r="O3308" s="139" t="s">
        <v>1223</v>
      </c>
      <c r="P3308" s="139" t="s">
        <v>1223</v>
      </c>
      <c r="Q3308" s="141" t="s">
        <v>1235</v>
      </c>
    </row>
    <row r="3309" spans="1:17">
      <c r="A3309" s="139" t="s">
        <v>1223</v>
      </c>
      <c r="B3309" s="139" t="s">
        <v>1223</v>
      </c>
      <c r="C3309" s="139" t="s">
        <v>1223</v>
      </c>
      <c r="D3309" s="139" t="s">
        <v>1223</v>
      </c>
      <c r="E3309" s="139" t="s">
        <v>1223</v>
      </c>
      <c r="F3309" s="139" t="s">
        <v>1223</v>
      </c>
      <c r="G3309" s="139" t="s">
        <v>1223</v>
      </c>
      <c r="H3309" s="139" t="s">
        <v>1223</v>
      </c>
      <c r="I3309" s="140">
        <v>32</v>
      </c>
      <c r="J3309" s="140">
        <v>32</v>
      </c>
      <c r="K3309" s="140">
        <v>32</v>
      </c>
      <c r="L3309" s="140">
        <v>32</v>
      </c>
      <c r="M3309" s="140">
        <v>32</v>
      </c>
      <c r="N3309" s="140">
        <v>32</v>
      </c>
      <c r="O3309" s="140">
        <v>32</v>
      </c>
      <c r="P3309" s="140">
        <v>32</v>
      </c>
      <c r="Q3309" s="141" t="s">
        <v>1236</v>
      </c>
    </row>
    <row r="3310" spans="1:17">
      <c r="A3310" s="139" t="s">
        <v>1223</v>
      </c>
      <c r="B3310" s="139" t="s">
        <v>1223</v>
      </c>
      <c r="C3310" s="139" t="s">
        <v>1223</v>
      </c>
      <c r="D3310" s="139" t="s">
        <v>1223</v>
      </c>
      <c r="E3310" s="139" t="s">
        <v>1223</v>
      </c>
      <c r="F3310" s="139" t="s">
        <v>1223</v>
      </c>
      <c r="G3310" s="139" t="s">
        <v>1223</v>
      </c>
      <c r="H3310" s="139" t="s">
        <v>1223</v>
      </c>
      <c r="I3310" s="139" t="s">
        <v>1223</v>
      </c>
      <c r="J3310" s="139" t="s">
        <v>1223</v>
      </c>
      <c r="K3310" s="139" t="s">
        <v>1223</v>
      </c>
      <c r="L3310" s="139" t="s">
        <v>1223</v>
      </c>
      <c r="M3310" s="139" t="s">
        <v>1223</v>
      </c>
      <c r="N3310" s="139" t="s">
        <v>1223</v>
      </c>
      <c r="O3310" s="139" t="s">
        <v>1223</v>
      </c>
      <c r="P3310" s="139" t="s">
        <v>1223</v>
      </c>
      <c r="Q3310" s="141" t="s">
        <v>1237</v>
      </c>
    </row>
    <row r="3311" spans="1:17">
      <c r="A3311" s="139" t="s">
        <v>1223</v>
      </c>
      <c r="B3311" s="139" t="s">
        <v>1223</v>
      </c>
      <c r="C3311" s="139" t="s">
        <v>1223</v>
      </c>
      <c r="D3311" s="139" t="s">
        <v>1223</v>
      </c>
      <c r="E3311" s="139" t="s">
        <v>1223</v>
      </c>
      <c r="F3311" s="139" t="s">
        <v>1223</v>
      </c>
      <c r="G3311" s="139" t="s">
        <v>1223</v>
      </c>
      <c r="H3311" s="139" t="s">
        <v>1223</v>
      </c>
      <c r="I3311" s="139" t="s">
        <v>1223</v>
      </c>
      <c r="J3311" s="139" t="s">
        <v>1223</v>
      </c>
      <c r="K3311" s="139" t="s">
        <v>1223</v>
      </c>
      <c r="L3311" s="139" t="s">
        <v>1223</v>
      </c>
      <c r="M3311" s="139" t="s">
        <v>1223</v>
      </c>
      <c r="N3311" s="139" t="s">
        <v>1223</v>
      </c>
      <c r="O3311" s="139" t="s">
        <v>1223</v>
      </c>
      <c r="P3311" s="139" t="s">
        <v>1223</v>
      </c>
      <c r="Q3311" s="141" t="s">
        <v>1238</v>
      </c>
    </row>
    <row r="3312" spans="1:17">
      <c r="A3312" s="139" t="s">
        <v>1223</v>
      </c>
      <c r="B3312" s="139" t="s">
        <v>1223</v>
      </c>
      <c r="C3312" s="139" t="s">
        <v>1223</v>
      </c>
      <c r="D3312" s="139" t="s">
        <v>1223</v>
      </c>
      <c r="E3312" s="139" t="s">
        <v>1223</v>
      </c>
      <c r="F3312" s="139" t="s">
        <v>1223</v>
      </c>
      <c r="G3312" s="139" t="s">
        <v>1223</v>
      </c>
      <c r="H3312" s="139" t="s">
        <v>1223</v>
      </c>
      <c r="I3312" s="139" t="s">
        <v>1223</v>
      </c>
      <c r="J3312" s="139" t="s">
        <v>1223</v>
      </c>
      <c r="K3312" s="139" t="s">
        <v>1223</v>
      </c>
      <c r="L3312" s="139" t="s">
        <v>1223</v>
      </c>
      <c r="M3312" s="139" t="s">
        <v>1330</v>
      </c>
      <c r="N3312" s="139" t="s">
        <v>1223</v>
      </c>
      <c r="O3312" s="139" t="s">
        <v>1223</v>
      </c>
      <c r="P3312" s="139" t="s">
        <v>1223</v>
      </c>
      <c r="Q3312" s="141" t="s">
        <v>1239</v>
      </c>
    </row>
    <row r="3313" spans="1:17">
      <c r="A3313" s="139" t="s">
        <v>1223</v>
      </c>
      <c r="B3313" s="139" t="s">
        <v>1223</v>
      </c>
      <c r="C3313" s="139" t="s">
        <v>1223</v>
      </c>
      <c r="D3313" s="139" t="s">
        <v>1223</v>
      </c>
      <c r="E3313" s="139" t="s">
        <v>1223</v>
      </c>
      <c r="F3313" s="139" t="s">
        <v>1223</v>
      </c>
      <c r="G3313" s="139" t="s">
        <v>1223</v>
      </c>
      <c r="H3313" s="139" t="s">
        <v>1223</v>
      </c>
      <c r="I3313" s="139" t="s">
        <v>1223</v>
      </c>
      <c r="J3313" s="139" t="s">
        <v>1223</v>
      </c>
      <c r="K3313" s="139" t="s">
        <v>1223</v>
      </c>
      <c r="L3313" s="139" t="s">
        <v>1223</v>
      </c>
      <c r="M3313" s="139" t="s">
        <v>1223</v>
      </c>
      <c r="N3313" s="139" t="s">
        <v>1223</v>
      </c>
      <c r="O3313" s="139" t="s">
        <v>1223</v>
      </c>
      <c r="P3313" s="139" t="s">
        <v>1223</v>
      </c>
      <c r="Q3313" s="141" t="s">
        <v>1240</v>
      </c>
    </row>
    <row r="3314" spans="1:17">
      <c r="A3314" s="139" t="s">
        <v>1223</v>
      </c>
      <c r="B3314" s="139" t="s">
        <v>1223</v>
      </c>
      <c r="C3314" s="139" t="s">
        <v>1223</v>
      </c>
      <c r="D3314" s="139" t="s">
        <v>1223</v>
      </c>
      <c r="E3314" s="139" t="s">
        <v>1223</v>
      </c>
      <c r="F3314" s="139" t="s">
        <v>1223</v>
      </c>
      <c r="G3314" s="139" t="s">
        <v>1223</v>
      </c>
      <c r="H3314" s="139" t="s">
        <v>1223</v>
      </c>
      <c r="I3314" s="139" t="s">
        <v>1223</v>
      </c>
      <c r="J3314" s="139" t="s">
        <v>1223</v>
      </c>
      <c r="K3314" s="139" t="s">
        <v>1223</v>
      </c>
      <c r="L3314" s="139" t="s">
        <v>1223</v>
      </c>
      <c r="M3314" s="139" t="s">
        <v>1223</v>
      </c>
      <c r="N3314" s="139" t="s">
        <v>1223</v>
      </c>
      <c r="O3314" s="139" t="s">
        <v>1223</v>
      </c>
      <c r="P3314" s="139" t="s">
        <v>1223</v>
      </c>
      <c r="Q3314" s="141" t="s">
        <v>1241</v>
      </c>
    </row>
    <row r="3315" spans="1:17">
      <c r="A3315" s="139" t="s">
        <v>1223</v>
      </c>
      <c r="B3315" s="139" t="s">
        <v>1223</v>
      </c>
      <c r="C3315" s="139" t="s">
        <v>1223</v>
      </c>
      <c r="D3315" s="139" t="s">
        <v>1223</v>
      </c>
      <c r="E3315" s="139" t="s">
        <v>1223</v>
      </c>
      <c r="F3315" s="139" t="s">
        <v>1223</v>
      </c>
      <c r="G3315" s="139" t="s">
        <v>1223</v>
      </c>
      <c r="H3315" s="139" t="s">
        <v>1223</v>
      </c>
      <c r="I3315" s="139" t="s">
        <v>1223</v>
      </c>
      <c r="J3315" s="139" t="s">
        <v>1223</v>
      </c>
      <c r="K3315" s="139" t="s">
        <v>1223</v>
      </c>
      <c r="L3315" s="139" t="s">
        <v>1223</v>
      </c>
      <c r="M3315" s="139" t="s">
        <v>1223</v>
      </c>
      <c r="N3315" s="139" t="s">
        <v>1223</v>
      </c>
      <c r="O3315" s="139" t="s">
        <v>1223</v>
      </c>
      <c r="P3315" s="139" t="s">
        <v>1223</v>
      </c>
      <c r="Q3315" s="141" t="s">
        <v>1242</v>
      </c>
    </row>
    <row r="3316" spans="1:17">
      <c r="A3316" s="139" t="s">
        <v>1223</v>
      </c>
      <c r="B3316" s="139" t="s">
        <v>1223</v>
      </c>
      <c r="C3316" s="139" t="s">
        <v>1223</v>
      </c>
      <c r="D3316" s="139" t="s">
        <v>1223</v>
      </c>
      <c r="E3316" s="139" t="s">
        <v>1223</v>
      </c>
      <c r="F3316" s="139" t="s">
        <v>1223</v>
      </c>
      <c r="G3316" s="139" t="s">
        <v>1223</v>
      </c>
      <c r="H3316" s="139" t="s">
        <v>1223</v>
      </c>
      <c r="I3316" s="139" t="s">
        <v>1223</v>
      </c>
      <c r="J3316" s="139" t="s">
        <v>1223</v>
      </c>
      <c r="K3316" s="139" t="s">
        <v>1223</v>
      </c>
      <c r="L3316" s="139" t="s">
        <v>1223</v>
      </c>
      <c r="M3316" s="139" t="s">
        <v>1223</v>
      </c>
      <c r="N3316" s="139" t="s">
        <v>1223</v>
      </c>
      <c r="O3316" s="139" t="s">
        <v>1223</v>
      </c>
      <c r="P3316" s="139" t="s">
        <v>1223</v>
      </c>
      <c r="Q3316" s="141" t="s">
        <v>1243</v>
      </c>
    </row>
    <row r="3317" spans="1:17">
      <c r="A3317" s="139" t="s">
        <v>1223</v>
      </c>
      <c r="B3317" s="139" t="s">
        <v>1223</v>
      </c>
      <c r="C3317" s="139" t="s">
        <v>1223</v>
      </c>
      <c r="D3317" s="139" t="s">
        <v>1223</v>
      </c>
      <c r="E3317" s="139" t="s">
        <v>1223</v>
      </c>
      <c r="F3317" s="139" t="s">
        <v>1223</v>
      </c>
      <c r="G3317" s="139" t="s">
        <v>1223</v>
      </c>
      <c r="H3317" s="139" t="s">
        <v>1223</v>
      </c>
      <c r="I3317" s="139" t="s">
        <v>1223</v>
      </c>
      <c r="J3317" s="139" t="s">
        <v>1223</v>
      </c>
      <c r="K3317" s="139" t="s">
        <v>1223</v>
      </c>
      <c r="L3317" s="139" t="s">
        <v>1223</v>
      </c>
      <c r="M3317" s="139" t="s">
        <v>1223</v>
      </c>
      <c r="N3317" s="139" t="s">
        <v>1223</v>
      </c>
      <c r="O3317" s="139" t="s">
        <v>1223</v>
      </c>
      <c r="P3317" s="139" t="s">
        <v>1223</v>
      </c>
      <c r="Q3317" s="141" t="s">
        <v>1244</v>
      </c>
    </row>
    <row r="3318" spans="1:17">
      <c r="A3318" s="139" t="s">
        <v>1223</v>
      </c>
      <c r="B3318" s="139" t="s">
        <v>1223</v>
      </c>
      <c r="C3318" s="139" t="s">
        <v>1223</v>
      </c>
      <c r="D3318" s="139" t="s">
        <v>1223</v>
      </c>
      <c r="E3318" s="139" t="s">
        <v>1223</v>
      </c>
      <c r="F3318" s="139" t="s">
        <v>1223</v>
      </c>
      <c r="G3318" s="139" t="s">
        <v>1223</v>
      </c>
      <c r="H3318" s="139" t="s">
        <v>1223</v>
      </c>
      <c r="I3318" s="139" t="s">
        <v>1223</v>
      </c>
      <c r="J3318" s="139" t="s">
        <v>1223</v>
      </c>
      <c r="K3318" s="139" t="s">
        <v>1223</v>
      </c>
      <c r="L3318" s="139" t="s">
        <v>1223</v>
      </c>
      <c r="M3318" s="139" t="s">
        <v>1223</v>
      </c>
      <c r="N3318" s="139" t="s">
        <v>1223</v>
      </c>
      <c r="O3318" s="139" t="s">
        <v>1223</v>
      </c>
      <c r="P3318" s="139" t="s">
        <v>1223</v>
      </c>
      <c r="Q3318" s="141" t="s">
        <v>1245</v>
      </c>
    </row>
    <row r="3319" spans="1:17">
      <c r="A3319" s="139" t="s">
        <v>1223</v>
      </c>
      <c r="B3319" s="139" t="s">
        <v>1223</v>
      </c>
      <c r="C3319" s="139" t="s">
        <v>1223</v>
      </c>
      <c r="D3319" s="139" t="s">
        <v>1223</v>
      </c>
      <c r="E3319" s="139" t="s">
        <v>1223</v>
      </c>
      <c r="F3319" s="139" t="s">
        <v>1223</v>
      </c>
      <c r="G3319" s="139" t="s">
        <v>1223</v>
      </c>
      <c r="H3319" s="139" t="s">
        <v>1223</v>
      </c>
      <c r="I3319" s="139" t="s">
        <v>1223</v>
      </c>
      <c r="J3319" s="139" t="s">
        <v>1223</v>
      </c>
      <c r="K3319" s="139" t="s">
        <v>1223</v>
      </c>
      <c r="L3319" s="139" t="s">
        <v>1223</v>
      </c>
      <c r="M3319" s="139" t="s">
        <v>1223</v>
      </c>
      <c r="N3319" s="139" t="s">
        <v>1223</v>
      </c>
      <c r="O3319" s="139" t="s">
        <v>1223</v>
      </c>
      <c r="P3319" s="139" t="s">
        <v>1223</v>
      </c>
      <c r="Q3319" s="141" t="s">
        <v>1246</v>
      </c>
    </row>
    <row r="3320" spans="1:17">
      <c r="A3320" s="139" t="s">
        <v>1223</v>
      </c>
      <c r="B3320" s="139" t="s">
        <v>1223</v>
      </c>
      <c r="C3320" s="139" t="s">
        <v>1223</v>
      </c>
      <c r="D3320" s="139" t="s">
        <v>1223</v>
      </c>
      <c r="E3320" s="139" t="s">
        <v>1223</v>
      </c>
      <c r="F3320" s="139" t="s">
        <v>1223</v>
      </c>
      <c r="G3320" s="139" t="s">
        <v>1223</v>
      </c>
      <c r="H3320" s="139" t="s">
        <v>1223</v>
      </c>
      <c r="I3320" s="139" t="s">
        <v>1223</v>
      </c>
      <c r="J3320" s="139" t="s">
        <v>1223</v>
      </c>
      <c r="K3320" s="139" t="s">
        <v>1223</v>
      </c>
      <c r="L3320" s="139" t="s">
        <v>1223</v>
      </c>
      <c r="M3320" s="139" t="s">
        <v>1223</v>
      </c>
      <c r="N3320" s="139" t="s">
        <v>1223</v>
      </c>
      <c r="O3320" s="139" t="s">
        <v>1223</v>
      </c>
      <c r="P3320" s="139" t="s">
        <v>1223</v>
      </c>
      <c r="Q3320" s="141" t="s">
        <v>1247</v>
      </c>
    </row>
    <row r="3321" spans="1:17">
      <c r="A3321" s="139" t="s">
        <v>1223</v>
      </c>
      <c r="B3321" s="139" t="s">
        <v>1223</v>
      </c>
      <c r="C3321" s="139" t="s">
        <v>1223</v>
      </c>
      <c r="D3321" s="139" t="s">
        <v>1223</v>
      </c>
      <c r="E3321" s="139" t="s">
        <v>1223</v>
      </c>
      <c r="F3321" s="139" t="s">
        <v>1223</v>
      </c>
      <c r="G3321" s="139" t="s">
        <v>1223</v>
      </c>
      <c r="H3321" s="139" t="s">
        <v>1223</v>
      </c>
      <c r="I3321" s="139" t="s">
        <v>1223</v>
      </c>
      <c r="J3321" s="139" t="s">
        <v>1223</v>
      </c>
      <c r="K3321" s="139" t="s">
        <v>1223</v>
      </c>
      <c r="L3321" s="139" t="s">
        <v>1223</v>
      </c>
      <c r="M3321" s="139" t="s">
        <v>1223</v>
      </c>
      <c r="N3321" s="139" t="s">
        <v>1223</v>
      </c>
      <c r="O3321" s="139" t="s">
        <v>1223</v>
      </c>
      <c r="P3321" s="139" t="s">
        <v>1223</v>
      </c>
      <c r="Q3321" s="141" t="s">
        <v>1248</v>
      </c>
    </row>
    <row r="3322" spans="1:17">
      <c r="A3322" s="139" t="s">
        <v>1223</v>
      </c>
      <c r="B3322" s="139" t="s">
        <v>1223</v>
      </c>
      <c r="C3322" s="139" t="s">
        <v>1223</v>
      </c>
      <c r="D3322" s="139" t="s">
        <v>1223</v>
      </c>
      <c r="E3322" s="139" t="s">
        <v>1223</v>
      </c>
      <c r="F3322" s="139" t="s">
        <v>1223</v>
      </c>
      <c r="G3322" s="139" t="s">
        <v>1223</v>
      </c>
      <c r="H3322" s="139" t="s">
        <v>1223</v>
      </c>
      <c r="I3322" s="139" t="s">
        <v>1223</v>
      </c>
      <c r="J3322" s="139" t="s">
        <v>1223</v>
      </c>
      <c r="K3322" s="139" t="s">
        <v>1223</v>
      </c>
      <c r="L3322" s="139" t="s">
        <v>1223</v>
      </c>
      <c r="M3322" s="139" t="s">
        <v>1223</v>
      </c>
      <c r="N3322" s="139" t="s">
        <v>1223</v>
      </c>
      <c r="O3322" s="139" t="s">
        <v>1223</v>
      </c>
      <c r="P3322" s="139" t="s">
        <v>1223</v>
      </c>
      <c r="Q3322" s="141" t="s">
        <v>1249</v>
      </c>
    </row>
    <row r="3323" spans="1:17">
      <c r="A3323" s="139" t="s">
        <v>1223</v>
      </c>
      <c r="B3323" s="139" t="s">
        <v>1223</v>
      </c>
      <c r="C3323" s="139" t="s">
        <v>1223</v>
      </c>
      <c r="D3323" s="139" t="s">
        <v>1223</v>
      </c>
      <c r="E3323" s="139" t="s">
        <v>1223</v>
      </c>
      <c r="F3323" s="139" t="s">
        <v>1223</v>
      </c>
      <c r="G3323" s="139" t="s">
        <v>1223</v>
      </c>
      <c r="H3323" s="139" t="s">
        <v>1223</v>
      </c>
      <c r="I3323" s="139" t="s">
        <v>1223</v>
      </c>
      <c r="J3323" s="139" t="s">
        <v>1223</v>
      </c>
      <c r="K3323" s="139" t="s">
        <v>1223</v>
      </c>
      <c r="L3323" s="139" t="s">
        <v>1223</v>
      </c>
      <c r="M3323" s="139" t="s">
        <v>1223</v>
      </c>
      <c r="N3323" s="139" t="s">
        <v>1223</v>
      </c>
      <c r="O3323" s="139" t="s">
        <v>1223</v>
      </c>
      <c r="P3323" s="139" t="s">
        <v>1223</v>
      </c>
      <c r="Q3323" s="141" t="s">
        <v>1250</v>
      </c>
    </row>
    <row r="3324" spans="1:17">
      <c r="A3324" s="139" t="s">
        <v>1223</v>
      </c>
      <c r="B3324" s="139" t="s">
        <v>1223</v>
      </c>
      <c r="C3324" s="139" t="s">
        <v>1223</v>
      </c>
      <c r="D3324" s="139" t="s">
        <v>1223</v>
      </c>
      <c r="E3324" s="139" t="s">
        <v>1223</v>
      </c>
      <c r="F3324" s="139" t="s">
        <v>1223</v>
      </c>
      <c r="G3324" s="139" t="s">
        <v>1223</v>
      </c>
      <c r="H3324" s="139" t="s">
        <v>1223</v>
      </c>
      <c r="I3324" s="139" t="s">
        <v>1223</v>
      </c>
      <c r="J3324" s="139" t="s">
        <v>1223</v>
      </c>
      <c r="K3324" s="139" t="s">
        <v>1223</v>
      </c>
      <c r="L3324" s="139" t="s">
        <v>1223</v>
      </c>
      <c r="M3324" s="139" t="s">
        <v>1223</v>
      </c>
      <c r="N3324" s="139" t="s">
        <v>1223</v>
      </c>
      <c r="O3324" s="139" t="s">
        <v>1223</v>
      </c>
      <c r="P3324" s="139" t="s">
        <v>1223</v>
      </c>
      <c r="Q3324" s="141" t="s">
        <v>1251</v>
      </c>
    </row>
    <row r="3325" spans="1:17">
      <c r="A3325" s="139" t="s">
        <v>1223</v>
      </c>
      <c r="B3325" s="139" t="s">
        <v>1223</v>
      </c>
      <c r="C3325" s="139" t="s">
        <v>1223</v>
      </c>
      <c r="D3325" s="139" t="s">
        <v>1223</v>
      </c>
      <c r="E3325" s="139" t="s">
        <v>1223</v>
      </c>
      <c r="F3325" s="139" t="s">
        <v>1223</v>
      </c>
      <c r="G3325" s="139" t="s">
        <v>1223</v>
      </c>
      <c r="H3325" s="139" t="s">
        <v>1223</v>
      </c>
      <c r="I3325" s="139" t="s">
        <v>1223</v>
      </c>
      <c r="J3325" s="139" t="s">
        <v>1223</v>
      </c>
      <c r="K3325" s="139" t="s">
        <v>1223</v>
      </c>
      <c r="L3325" s="139" t="s">
        <v>1223</v>
      </c>
      <c r="M3325" s="139" t="s">
        <v>1223</v>
      </c>
      <c r="N3325" s="139" t="s">
        <v>1223</v>
      </c>
      <c r="O3325" s="139" t="s">
        <v>1223</v>
      </c>
      <c r="P3325" s="139" t="s">
        <v>1223</v>
      </c>
      <c r="Q3325" s="141" t="s">
        <v>1252</v>
      </c>
    </row>
    <row r="3326" spans="1:17">
      <c r="A3326" s="139" t="s">
        <v>1223</v>
      </c>
      <c r="B3326" s="139" t="s">
        <v>1223</v>
      </c>
      <c r="C3326" s="139" t="s">
        <v>1223</v>
      </c>
      <c r="D3326" s="139" t="s">
        <v>1223</v>
      </c>
      <c r="E3326" s="139" t="s">
        <v>1223</v>
      </c>
      <c r="F3326" s="139" t="s">
        <v>1223</v>
      </c>
      <c r="G3326" s="139" t="s">
        <v>1223</v>
      </c>
      <c r="H3326" s="139" t="s">
        <v>1223</v>
      </c>
      <c r="I3326" s="139" t="s">
        <v>1223</v>
      </c>
      <c r="J3326" s="139" t="s">
        <v>1223</v>
      </c>
      <c r="K3326" s="139" t="s">
        <v>1223</v>
      </c>
      <c r="L3326" s="139" t="s">
        <v>1223</v>
      </c>
      <c r="M3326" s="139" t="s">
        <v>1223</v>
      </c>
      <c r="N3326" s="139" t="s">
        <v>1223</v>
      </c>
      <c r="O3326" s="139" t="s">
        <v>1223</v>
      </c>
      <c r="P3326" s="139" t="s">
        <v>1223</v>
      </c>
      <c r="Q3326" s="141" t="s">
        <v>1253</v>
      </c>
    </row>
    <row r="3327" spans="1:17">
      <c r="A3327" s="139" t="s">
        <v>1223</v>
      </c>
      <c r="B3327" s="139" t="s">
        <v>1223</v>
      </c>
      <c r="C3327" s="139" t="s">
        <v>1223</v>
      </c>
      <c r="D3327" s="139" t="s">
        <v>1223</v>
      </c>
      <c r="E3327" s="139" t="s">
        <v>1223</v>
      </c>
      <c r="F3327" s="139" t="s">
        <v>1223</v>
      </c>
      <c r="G3327" s="139" t="s">
        <v>1223</v>
      </c>
      <c r="H3327" s="139" t="s">
        <v>1223</v>
      </c>
      <c r="I3327" s="139" t="s">
        <v>1223</v>
      </c>
      <c r="J3327" s="139" t="s">
        <v>1223</v>
      </c>
      <c r="K3327" s="139" t="s">
        <v>1223</v>
      </c>
      <c r="L3327" s="139" t="s">
        <v>1223</v>
      </c>
      <c r="M3327" s="139" t="s">
        <v>1223</v>
      </c>
      <c r="N3327" s="139" t="s">
        <v>1223</v>
      </c>
      <c r="O3327" s="139" t="s">
        <v>1223</v>
      </c>
      <c r="P3327" s="139" t="s">
        <v>1223</v>
      </c>
      <c r="Q3327" s="141" t="s">
        <v>1254</v>
      </c>
    </row>
    <row r="3328" spans="1:17">
      <c r="A3328" s="139" t="s">
        <v>1223</v>
      </c>
      <c r="B3328" s="139" t="s">
        <v>1223</v>
      </c>
      <c r="C3328" s="139" t="s">
        <v>1223</v>
      </c>
      <c r="D3328" s="139" t="s">
        <v>1223</v>
      </c>
      <c r="E3328" s="139" t="s">
        <v>1223</v>
      </c>
      <c r="F3328" s="139" t="s">
        <v>1223</v>
      </c>
      <c r="G3328" s="139" t="s">
        <v>1223</v>
      </c>
      <c r="H3328" s="139" t="s">
        <v>1223</v>
      </c>
      <c r="I3328" s="139" t="s">
        <v>1223</v>
      </c>
      <c r="J3328" s="139" t="s">
        <v>1223</v>
      </c>
      <c r="K3328" s="139" t="s">
        <v>1223</v>
      </c>
      <c r="L3328" s="139" t="s">
        <v>1223</v>
      </c>
      <c r="M3328" s="139" t="s">
        <v>1223</v>
      </c>
      <c r="N3328" s="139" t="s">
        <v>1223</v>
      </c>
      <c r="O3328" s="139" t="s">
        <v>1223</v>
      </c>
      <c r="P3328" s="139" t="s">
        <v>1223</v>
      </c>
      <c r="Q3328" s="141" t="s">
        <v>1255</v>
      </c>
    </row>
    <row r="3329" spans="1:17">
      <c r="A3329" s="139" t="s">
        <v>1223</v>
      </c>
      <c r="B3329" s="139" t="s">
        <v>1223</v>
      </c>
      <c r="C3329" s="139" t="s">
        <v>1223</v>
      </c>
      <c r="D3329" s="139" t="s">
        <v>1223</v>
      </c>
      <c r="E3329" s="139" t="s">
        <v>1223</v>
      </c>
      <c r="F3329" s="139" t="s">
        <v>1223</v>
      </c>
      <c r="G3329" s="139" t="s">
        <v>1223</v>
      </c>
      <c r="H3329" s="139" t="s">
        <v>1223</v>
      </c>
      <c r="I3329" s="139" t="s">
        <v>1223</v>
      </c>
      <c r="J3329" s="139" t="s">
        <v>1223</v>
      </c>
      <c r="K3329" s="139" t="s">
        <v>1223</v>
      </c>
      <c r="L3329" s="139" t="s">
        <v>1223</v>
      </c>
      <c r="M3329" s="139" t="s">
        <v>1223</v>
      </c>
      <c r="N3329" s="139" t="s">
        <v>1223</v>
      </c>
      <c r="O3329" s="139" t="s">
        <v>1223</v>
      </c>
      <c r="P3329" s="139" t="s">
        <v>1223</v>
      </c>
      <c r="Q3329" s="141" t="s">
        <v>1256</v>
      </c>
    </row>
    <row r="3330" spans="1:17">
      <c r="A3330" s="139" t="s">
        <v>1223</v>
      </c>
      <c r="B3330" s="139" t="s">
        <v>1223</v>
      </c>
      <c r="C3330" s="139" t="s">
        <v>1223</v>
      </c>
      <c r="D3330" s="139" t="s">
        <v>1223</v>
      </c>
      <c r="E3330" s="139" t="s">
        <v>1223</v>
      </c>
      <c r="F3330" s="139" t="s">
        <v>1223</v>
      </c>
      <c r="G3330" s="139" t="s">
        <v>1223</v>
      </c>
      <c r="H3330" s="139" t="s">
        <v>1223</v>
      </c>
      <c r="I3330" s="139" t="s">
        <v>1223</v>
      </c>
      <c r="J3330" s="139" t="s">
        <v>1223</v>
      </c>
      <c r="K3330" s="139" t="s">
        <v>1223</v>
      </c>
      <c r="L3330" s="139" t="s">
        <v>1223</v>
      </c>
      <c r="M3330" s="139" t="s">
        <v>1223</v>
      </c>
      <c r="N3330" s="139" t="s">
        <v>1223</v>
      </c>
      <c r="O3330" s="139" t="s">
        <v>1223</v>
      </c>
      <c r="P3330" s="139" t="s">
        <v>1223</v>
      </c>
      <c r="Q3330" s="141" t="s">
        <v>1257</v>
      </c>
    </row>
    <row r="3331" spans="1:17">
      <c r="A3331" s="139" t="s">
        <v>1223</v>
      </c>
      <c r="B3331" s="139" t="s">
        <v>1223</v>
      </c>
      <c r="C3331" s="139" t="s">
        <v>1223</v>
      </c>
      <c r="D3331" s="139" t="s">
        <v>1223</v>
      </c>
      <c r="E3331" s="139" t="s">
        <v>1223</v>
      </c>
      <c r="F3331" s="139" t="s">
        <v>1223</v>
      </c>
      <c r="G3331" s="139" t="s">
        <v>1223</v>
      </c>
      <c r="H3331" s="139" t="s">
        <v>1223</v>
      </c>
      <c r="I3331" s="139" t="s">
        <v>1223</v>
      </c>
      <c r="J3331" s="139" t="s">
        <v>1223</v>
      </c>
      <c r="K3331" s="139" t="s">
        <v>1223</v>
      </c>
      <c r="L3331" s="139" t="s">
        <v>1223</v>
      </c>
      <c r="M3331" s="139" t="s">
        <v>1223</v>
      </c>
      <c r="N3331" s="139" t="s">
        <v>1223</v>
      </c>
      <c r="O3331" s="139" t="s">
        <v>1223</v>
      </c>
      <c r="P3331" s="139" t="s">
        <v>1223</v>
      </c>
      <c r="Q3331" s="141" t="s">
        <v>1258</v>
      </c>
    </row>
    <row r="3332" spans="1:17">
      <c r="A3332" s="139" t="s">
        <v>1223</v>
      </c>
      <c r="B3332" s="139" t="s">
        <v>1223</v>
      </c>
      <c r="C3332" s="139" t="s">
        <v>1223</v>
      </c>
      <c r="D3332" s="139" t="s">
        <v>1223</v>
      </c>
      <c r="E3332" s="139" t="s">
        <v>1223</v>
      </c>
      <c r="F3332" s="139" t="s">
        <v>1223</v>
      </c>
      <c r="G3332" s="139" t="s">
        <v>1223</v>
      </c>
      <c r="H3332" s="139" t="s">
        <v>1223</v>
      </c>
      <c r="I3332" s="139" t="s">
        <v>1223</v>
      </c>
      <c r="J3332" s="139" t="s">
        <v>1223</v>
      </c>
      <c r="K3332" s="139" t="s">
        <v>1223</v>
      </c>
      <c r="L3332" s="139" t="s">
        <v>1223</v>
      </c>
      <c r="M3332" s="139" t="s">
        <v>1223</v>
      </c>
      <c r="N3332" s="139" t="s">
        <v>1223</v>
      </c>
      <c r="O3332" s="139" t="s">
        <v>1223</v>
      </c>
      <c r="P3332" s="139" t="s">
        <v>1223</v>
      </c>
      <c r="Q3332" s="141" t="s">
        <v>1259</v>
      </c>
    </row>
    <row r="3333" spans="1:17">
      <c r="A3333" s="139" t="s">
        <v>1223</v>
      </c>
      <c r="B3333" s="139" t="s">
        <v>1223</v>
      </c>
      <c r="C3333" s="139" t="s">
        <v>1223</v>
      </c>
      <c r="D3333" s="139" t="s">
        <v>1223</v>
      </c>
      <c r="E3333" s="139" t="s">
        <v>1223</v>
      </c>
      <c r="F3333" s="139" t="s">
        <v>1223</v>
      </c>
      <c r="G3333" s="139" t="s">
        <v>1223</v>
      </c>
      <c r="H3333" s="139" t="s">
        <v>1223</v>
      </c>
      <c r="I3333" s="139" t="s">
        <v>1223</v>
      </c>
      <c r="J3333" s="139" t="s">
        <v>1223</v>
      </c>
      <c r="K3333" s="139" t="s">
        <v>1223</v>
      </c>
      <c r="L3333" s="139" t="s">
        <v>1223</v>
      </c>
      <c r="M3333" s="139" t="s">
        <v>1223</v>
      </c>
      <c r="N3333" s="139" t="s">
        <v>1223</v>
      </c>
      <c r="O3333" s="139" t="s">
        <v>1223</v>
      </c>
      <c r="P3333" s="139" t="s">
        <v>1223</v>
      </c>
      <c r="Q3333" s="141" t="s">
        <v>1260</v>
      </c>
    </row>
    <row r="3334" spans="1:17">
      <c r="A3334" s="139" t="s">
        <v>1223</v>
      </c>
      <c r="B3334" s="139" t="s">
        <v>1223</v>
      </c>
      <c r="C3334" s="139" t="s">
        <v>1223</v>
      </c>
      <c r="D3334" s="139" t="s">
        <v>1223</v>
      </c>
      <c r="E3334" s="139" t="s">
        <v>1223</v>
      </c>
      <c r="F3334" s="139" t="s">
        <v>1223</v>
      </c>
      <c r="G3334" s="139" t="s">
        <v>1223</v>
      </c>
      <c r="H3334" s="139" t="s">
        <v>1223</v>
      </c>
      <c r="I3334" s="139" t="s">
        <v>1223</v>
      </c>
      <c r="J3334" s="139" t="s">
        <v>1223</v>
      </c>
      <c r="K3334" s="139" t="s">
        <v>1223</v>
      </c>
      <c r="L3334" s="139" t="s">
        <v>1223</v>
      </c>
      <c r="M3334" s="139" t="s">
        <v>1223</v>
      </c>
      <c r="N3334" s="139" t="s">
        <v>1223</v>
      </c>
      <c r="O3334" s="139" t="s">
        <v>1223</v>
      </c>
      <c r="P3334" s="139" t="s">
        <v>1223</v>
      </c>
      <c r="Q3334" s="141" t="s">
        <v>1261</v>
      </c>
    </row>
    <row r="3335" spans="1:17">
      <c r="A3335" s="139" t="s">
        <v>1223</v>
      </c>
      <c r="B3335" s="139" t="s">
        <v>1223</v>
      </c>
      <c r="C3335" s="139" t="s">
        <v>1223</v>
      </c>
      <c r="D3335" s="139" t="s">
        <v>1223</v>
      </c>
      <c r="E3335" s="139" t="s">
        <v>1223</v>
      </c>
      <c r="F3335" s="139" t="s">
        <v>1223</v>
      </c>
      <c r="G3335" s="139" t="s">
        <v>1223</v>
      </c>
      <c r="H3335" s="139" t="s">
        <v>1223</v>
      </c>
      <c r="I3335" s="139" t="s">
        <v>1223</v>
      </c>
      <c r="J3335" s="139" t="s">
        <v>1223</v>
      </c>
      <c r="K3335" s="139" t="s">
        <v>1223</v>
      </c>
      <c r="L3335" s="139" t="s">
        <v>1223</v>
      </c>
      <c r="M3335" s="139" t="s">
        <v>1223</v>
      </c>
      <c r="N3335" s="139" t="s">
        <v>1223</v>
      </c>
      <c r="O3335" s="139" t="s">
        <v>1223</v>
      </c>
      <c r="P3335" s="139" t="s">
        <v>1223</v>
      </c>
      <c r="Q3335" s="141" t="s">
        <v>1262</v>
      </c>
    </row>
    <row r="3336" spans="1:17">
      <c r="A3336" s="139" t="s">
        <v>1223</v>
      </c>
      <c r="B3336" s="139" t="s">
        <v>1223</v>
      </c>
      <c r="C3336" s="139" t="s">
        <v>1223</v>
      </c>
      <c r="D3336" s="139" t="s">
        <v>1223</v>
      </c>
      <c r="E3336" s="139" t="s">
        <v>1223</v>
      </c>
      <c r="F3336" s="139" t="s">
        <v>1223</v>
      </c>
      <c r="G3336" s="139" t="s">
        <v>1223</v>
      </c>
      <c r="H3336" s="139" t="s">
        <v>1223</v>
      </c>
      <c r="I3336" s="139" t="s">
        <v>1223</v>
      </c>
      <c r="J3336" s="139" t="s">
        <v>1223</v>
      </c>
      <c r="K3336" s="139" t="s">
        <v>1223</v>
      </c>
      <c r="L3336" s="139" t="s">
        <v>1223</v>
      </c>
      <c r="M3336" s="139" t="s">
        <v>1223</v>
      </c>
      <c r="N3336" s="139" t="s">
        <v>1223</v>
      </c>
      <c r="O3336" s="139" t="s">
        <v>1223</v>
      </c>
      <c r="P3336" s="139" t="s">
        <v>1223</v>
      </c>
      <c r="Q3336" s="141" t="s">
        <v>1263</v>
      </c>
    </row>
    <row r="3337" spans="1:17">
      <c r="A3337" s="139" t="s">
        <v>1223</v>
      </c>
      <c r="B3337" s="139" t="s">
        <v>1223</v>
      </c>
      <c r="C3337" s="139" t="s">
        <v>1223</v>
      </c>
      <c r="D3337" s="139" t="s">
        <v>1223</v>
      </c>
      <c r="E3337" s="139" t="s">
        <v>1223</v>
      </c>
      <c r="F3337" s="139" t="s">
        <v>1223</v>
      </c>
      <c r="G3337" s="139" t="s">
        <v>1223</v>
      </c>
      <c r="H3337" s="139" t="s">
        <v>1223</v>
      </c>
      <c r="I3337" s="139" t="s">
        <v>1223</v>
      </c>
      <c r="J3337" s="139" t="s">
        <v>1223</v>
      </c>
      <c r="K3337" s="139" t="s">
        <v>1223</v>
      </c>
      <c r="L3337" s="139" t="s">
        <v>1223</v>
      </c>
      <c r="M3337" s="139" t="s">
        <v>1223</v>
      </c>
      <c r="N3337" s="139" t="s">
        <v>1223</v>
      </c>
      <c r="O3337" s="139" t="s">
        <v>1223</v>
      </c>
      <c r="P3337" s="139" t="s">
        <v>1223</v>
      </c>
      <c r="Q3337" s="141" t="s">
        <v>1264</v>
      </c>
    </row>
    <row r="3338" spans="1:17">
      <c r="A3338" s="139" t="s">
        <v>1223</v>
      </c>
      <c r="B3338" s="139" t="s">
        <v>1223</v>
      </c>
      <c r="C3338" s="139" t="s">
        <v>1223</v>
      </c>
      <c r="D3338" s="139" t="s">
        <v>1223</v>
      </c>
      <c r="E3338" s="139" t="s">
        <v>1223</v>
      </c>
      <c r="F3338" s="139" t="s">
        <v>1223</v>
      </c>
      <c r="G3338" s="139" t="s">
        <v>1223</v>
      </c>
      <c r="H3338" s="139" t="s">
        <v>1223</v>
      </c>
      <c r="I3338" s="139" t="s">
        <v>1223</v>
      </c>
      <c r="J3338" s="139" t="s">
        <v>1223</v>
      </c>
      <c r="K3338" s="139" t="s">
        <v>1223</v>
      </c>
      <c r="L3338" s="139" t="s">
        <v>1223</v>
      </c>
      <c r="M3338" s="139" t="s">
        <v>1223</v>
      </c>
      <c r="N3338" s="139" t="s">
        <v>1223</v>
      </c>
      <c r="O3338" s="139" t="s">
        <v>1223</v>
      </c>
      <c r="P3338" s="139" t="s">
        <v>1223</v>
      </c>
      <c r="Q3338" s="141" t="s">
        <v>1265</v>
      </c>
    </row>
    <row r="3339" spans="1:17">
      <c r="A3339" s="139" t="s">
        <v>1223</v>
      </c>
      <c r="B3339" s="139" t="s">
        <v>1223</v>
      </c>
      <c r="C3339" s="139" t="s">
        <v>1223</v>
      </c>
      <c r="D3339" s="139" t="s">
        <v>1223</v>
      </c>
      <c r="E3339" s="139" t="s">
        <v>1223</v>
      </c>
      <c r="F3339" s="139" t="s">
        <v>1223</v>
      </c>
      <c r="G3339" s="139" t="s">
        <v>1223</v>
      </c>
      <c r="H3339" s="139" t="s">
        <v>1223</v>
      </c>
      <c r="I3339" s="139" t="s">
        <v>1223</v>
      </c>
      <c r="J3339" s="139" t="s">
        <v>1223</v>
      </c>
      <c r="K3339" s="139" t="s">
        <v>1223</v>
      </c>
      <c r="L3339" s="139" t="s">
        <v>1223</v>
      </c>
      <c r="M3339" s="139" t="s">
        <v>1223</v>
      </c>
      <c r="N3339" s="139" t="s">
        <v>1223</v>
      </c>
      <c r="O3339" s="139" t="s">
        <v>1223</v>
      </c>
      <c r="P3339" s="139" t="s">
        <v>1223</v>
      </c>
      <c r="Q3339" s="141" t="s">
        <v>1266</v>
      </c>
    </row>
    <row r="3340" spans="1:17">
      <c r="A3340" s="139" t="s">
        <v>1223</v>
      </c>
      <c r="B3340" s="139" t="s">
        <v>1223</v>
      </c>
      <c r="C3340" s="139" t="s">
        <v>1223</v>
      </c>
      <c r="D3340" s="139" t="s">
        <v>1223</v>
      </c>
      <c r="E3340" s="139" t="s">
        <v>1223</v>
      </c>
      <c r="F3340" s="139" t="s">
        <v>1223</v>
      </c>
      <c r="G3340" s="139" t="s">
        <v>1223</v>
      </c>
      <c r="H3340" s="139" t="s">
        <v>1223</v>
      </c>
      <c r="I3340" s="139" t="s">
        <v>1223</v>
      </c>
      <c r="J3340" s="139" t="s">
        <v>1223</v>
      </c>
      <c r="K3340" s="139" t="s">
        <v>1223</v>
      </c>
      <c r="L3340" s="139" t="s">
        <v>1223</v>
      </c>
      <c r="M3340" s="139" t="s">
        <v>1223</v>
      </c>
      <c r="N3340" s="139" t="s">
        <v>1223</v>
      </c>
      <c r="O3340" s="139" t="s">
        <v>1223</v>
      </c>
      <c r="P3340" s="139" t="s">
        <v>1223</v>
      </c>
      <c r="Q3340" s="141" t="s">
        <v>1267</v>
      </c>
    </row>
    <row r="3341" spans="1:17">
      <c r="A3341" s="139" t="s">
        <v>1223</v>
      </c>
      <c r="B3341" s="139" t="s">
        <v>1223</v>
      </c>
      <c r="C3341" s="139" t="s">
        <v>1223</v>
      </c>
      <c r="D3341" s="139" t="s">
        <v>1223</v>
      </c>
      <c r="E3341" s="139" t="s">
        <v>1223</v>
      </c>
      <c r="F3341" s="139" t="s">
        <v>1223</v>
      </c>
      <c r="G3341" s="139" t="s">
        <v>1223</v>
      </c>
      <c r="H3341" s="139" t="s">
        <v>1223</v>
      </c>
      <c r="I3341" s="139" t="s">
        <v>1223</v>
      </c>
      <c r="J3341" s="139" t="s">
        <v>1223</v>
      </c>
      <c r="K3341" s="139" t="s">
        <v>1223</v>
      </c>
      <c r="L3341" s="139" t="s">
        <v>1223</v>
      </c>
      <c r="M3341" s="139" t="s">
        <v>1223</v>
      </c>
      <c r="N3341" s="139" t="s">
        <v>1223</v>
      </c>
      <c r="O3341" s="139" t="s">
        <v>1223</v>
      </c>
      <c r="P3341" s="139" t="s">
        <v>1223</v>
      </c>
      <c r="Q3341" s="141" t="s">
        <v>1268</v>
      </c>
    </row>
    <row r="3342" spans="1:17">
      <c r="A3342" s="139" t="s">
        <v>1223</v>
      </c>
      <c r="B3342" s="139" t="s">
        <v>1223</v>
      </c>
      <c r="C3342" s="139" t="s">
        <v>1223</v>
      </c>
      <c r="D3342" s="139" t="s">
        <v>1223</v>
      </c>
      <c r="E3342" s="139" t="s">
        <v>1223</v>
      </c>
      <c r="F3342" s="139" t="s">
        <v>1223</v>
      </c>
      <c r="G3342" s="139" t="s">
        <v>1223</v>
      </c>
      <c r="H3342" s="139" t="s">
        <v>1223</v>
      </c>
      <c r="I3342" s="139" t="s">
        <v>1223</v>
      </c>
      <c r="J3342" s="139" t="s">
        <v>1223</v>
      </c>
      <c r="K3342" s="139" t="s">
        <v>1223</v>
      </c>
      <c r="L3342" s="139" t="s">
        <v>1223</v>
      </c>
      <c r="M3342" s="139" t="s">
        <v>1223</v>
      </c>
      <c r="N3342" s="139" t="s">
        <v>1223</v>
      </c>
      <c r="O3342" s="139" t="s">
        <v>1223</v>
      </c>
      <c r="P3342" s="139" t="s">
        <v>1223</v>
      </c>
      <c r="Q3342" s="141" t="s">
        <v>1269</v>
      </c>
    </row>
    <row r="3343" spans="1:17">
      <c r="A3343" s="139" t="s">
        <v>1223</v>
      </c>
      <c r="B3343" s="139" t="s">
        <v>1223</v>
      </c>
      <c r="C3343" s="139" t="s">
        <v>1223</v>
      </c>
      <c r="D3343" s="139" t="s">
        <v>1223</v>
      </c>
      <c r="E3343" s="139" t="s">
        <v>1223</v>
      </c>
      <c r="F3343" s="139" t="s">
        <v>1223</v>
      </c>
      <c r="G3343" s="139" t="s">
        <v>1223</v>
      </c>
      <c r="H3343" s="139" t="s">
        <v>1223</v>
      </c>
      <c r="I3343" s="139" t="s">
        <v>1223</v>
      </c>
      <c r="J3343" s="139" t="s">
        <v>1223</v>
      </c>
      <c r="K3343" s="139" t="s">
        <v>1223</v>
      </c>
      <c r="L3343" s="139" t="s">
        <v>1223</v>
      </c>
      <c r="M3343" s="139" t="s">
        <v>1223</v>
      </c>
      <c r="N3343" s="139" t="s">
        <v>1223</v>
      </c>
      <c r="O3343" s="139" t="s">
        <v>1223</v>
      </c>
      <c r="P3343" s="139" t="s">
        <v>1223</v>
      </c>
      <c r="Q3343" s="141" t="s">
        <v>1270</v>
      </c>
    </row>
    <row r="3344" spans="1:17">
      <c r="A3344" s="139" t="s">
        <v>1223</v>
      </c>
      <c r="B3344" s="139" t="s">
        <v>1223</v>
      </c>
      <c r="C3344" s="139" t="s">
        <v>1223</v>
      </c>
      <c r="D3344" s="139" t="s">
        <v>1223</v>
      </c>
      <c r="E3344" s="139" t="s">
        <v>1223</v>
      </c>
      <c r="F3344" s="139" t="s">
        <v>1223</v>
      </c>
      <c r="G3344" s="139" t="s">
        <v>1223</v>
      </c>
      <c r="H3344" s="139" t="s">
        <v>1223</v>
      </c>
      <c r="I3344" s="139" t="s">
        <v>1223</v>
      </c>
      <c r="J3344" s="139" t="s">
        <v>1223</v>
      </c>
      <c r="K3344" s="139" t="s">
        <v>1223</v>
      </c>
      <c r="L3344" s="139" t="s">
        <v>1223</v>
      </c>
      <c r="M3344" s="139" t="s">
        <v>1223</v>
      </c>
      <c r="N3344" s="139" t="s">
        <v>1223</v>
      </c>
      <c r="O3344" s="139" t="s">
        <v>1223</v>
      </c>
      <c r="P3344" s="139" t="s">
        <v>1223</v>
      </c>
      <c r="Q3344" s="141" t="s">
        <v>1271</v>
      </c>
    </row>
    <row r="3345" spans="1:17">
      <c r="A3345" s="139" t="s">
        <v>1223</v>
      </c>
      <c r="B3345" s="139" t="s">
        <v>1223</v>
      </c>
      <c r="C3345" s="139" t="s">
        <v>1223</v>
      </c>
      <c r="D3345" s="139" t="s">
        <v>1223</v>
      </c>
      <c r="E3345" s="139" t="s">
        <v>1223</v>
      </c>
      <c r="F3345" s="139" t="s">
        <v>1223</v>
      </c>
      <c r="G3345" s="139" t="s">
        <v>1223</v>
      </c>
      <c r="H3345" s="139" t="s">
        <v>1223</v>
      </c>
      <c r="I3345" s="139" t="s">
        <v>1223</v>
      </c>
      <c r="J3345" s="139" t="s">
        <v>1223</v>
      </c>
      <c r="K3345" s="139" t="s">
        <v>1223</v>
      </c>
      <c r="L3345" s="139" t="s">
        <v>1223</v>
      </c>
      <c r="M3345" s="139" t="s">
        <v>1223</v>
      </c>
      <c r="N3345" s="139" t="s">
        <v>1223</v>
      </c>
      <c r="O3345" s="139" t="s">
        <v>1223</v>
      </c>
      <c r="P3345" s="139" t="s">
        <v>1223</v>
      </c>
      <c r="Q3345" s="141" t="s">
        <v>1272</v>
      </c>
    </row>
    <row r="3346" spans="1:17">
      <c r="A3346" s="139" t="s">
        <v>1223</v>
      </c>
      <c r="B3346" s="139" t="s">
        <v>1223</v>
      </c>
      <c r="C3346" s="139" t="s">
        <v>1223</v>
      </c>
      <c r="D3346" s="139" t="s">
        <v>1223</v>
      </c>
      <c r="E3346" s="139" t="s">
        <v>1223</v>
      </c>
      <c r="F3346" s="139" t="s">
        <v>1223</v>
      </c>
      <c r="G3346" s="139" t="s">
        <v>1223</v>
      </c>
      <c r="H3346" s="139" t="s">
        <v>1223</v>
      </c>
      <c r="I3346" s="139" t="s">
        <v>1223</v>
      </c>
      <c r="J3346" s="139" t="s">
        <v>1223</v>
      </c>
      <c r="K3346" s="139" t="s">
        <v>1223</v>
      </c>
      <c r="L3346" s="139" t="s">
        <v>1223</v>
      </c>
      <c r="M3346" s="139" t="s">
        <v>1223</v>
      </c>
      <c r="N3346" s="139" t="s">
        <v>1223</v>
      </c>
      <c r="O3346" s="139" t="s">
        <v>1223</v>
      </c>
      <c r="P3346" s="139" t="s">
        <v>1223</v>
      </c>
      <c r="Q3346" s="141" t="s">
        <v>1273</v>
      </c>
    </row>
    <row r="3347" spans="1:17">
      <c r="A3347" s="139" t="s">
        <v>1223</v>
      </c>
      <c r="B3347" s="139" t="s">
        <v>1223</v>
      </c>
      <c r="C3347" s="139" t="s">
        <v>1223</v>
      </c>
      <c r="D3347" s="139" t="s">
        <v>1223</v>
      </c>
      <c r="E3347" s="139" t="s">
        <v>1223</v>
      </c>
      <c r="F3347" s="139" t="s">
        <v>1223</v>
      </c>
      <c r="G3347" s="139" t="s">
        <v>1223</v>
      </c>
      <c r="H3347" s="139" t="s">
        <v>1223</v>
      </c>
      <c r="I3347" s="139" t="s">
        <v>1223</v>
      </c>
      <c r="J3347" s="139" t="s">
        <v>1223</v>
      </c>
      <c r="K3347" s="139" t="s">
        <v>1223</v>
      </c>
      <c r="L3347" s="139" t="s">
        <v>1223</v>
      </c>
      <c r="M3347" s="139" t="s">
        <v>1223</v>
      </c>
      <c r="N3347" s="139" t="s">
        <v>1223</v>
      </c>
      <c r="O3347" s="139" t="s">
        <v>1223</v>
      </c>
      <c r="P3347" s="139" t="s">
        <v>1223</v>
      </c>
      <c r="Q3347" s="141" t="s">
        <v>1274</v>
      </c>
    </row>
    <row r="3348" spans="1:17">
      <c r="A3348" s="139" t="s">
        <v>1223</v>
      </c>
      <c r="B3348" s="139" t="s">
        <v>1223</v>
      </c>
      <c r="C3348" s="139" t="s">
        <v>1223</v>
      </c>
      <c r="D3348" s="139" t="s">
        <v>1223</v>
      </c>
      <c r="E3348" s="139" t="s">
        <v>1223</v>
      </c>
      <c r="F3348" s="139" t="s">
        <v>1223</v>
      </c>
      <c r="G3348" s="139" t="s">
        <v>1223</v>
      </c>
      <c r="H3348" s="139" t="s">
        <v>1223</v>
      </c>
      <c r="I3348" s="139" t="s">
        <v>1223</v>
      </c>
      <c r="J3348" s="139" t="s">
        <v>1223</v>
      </c>
      <c r="K3348" s="139" t="s">
        <v>1223</v>
      </c>
      <c r="L3348" s="139" t="s">
        <v>1223</v>
      </c>
      <c r="M3348" s="139" t="s">
        <v>1223</v>
      </c>
      <c r="N3348" s="139" t="s">
        <v>1223</v>
      </c>
      <c r="O3348" s="139" t="s">
        <v>1223</v>
      </c>
      <c r="P3348" s="139" t="s">
        <v>1223</v>
      </c>
      <c r="Q3348" s="141" t="s">
        <v>1275</v>
      </c>
    </row>
    <row r="3349" spans="1:17">
      <c r="A3349" s="139" t="s">
        <v>1223</v>
      </c>
      <c r="B3349" s="139" t="s">
        <v>1223</v>
      </c>
      <c r="C3349" s="139" t="s">
        <v>1223</v>
      </c>
      <c r="D3349" s="139" t="s">
        <v>1223</v>
      </c>
      <c r="E3349" s="139" t="s">
        <v>1223</v>
      </c>
      <c r="F3349" s="139" t="s">
        <v>1223</v>
      </c>
      <c r="G3349" s="139" t="s">
        <v>1223</v>
      </c>
      <c r="H3349" s="139" t="s">
        <v>1223</v>
      </c>
      <c r="I3349" s="139" t="s">
        <v>1223</v>
      </c>
      <c r="J3349" s="139" t="s">
        <v>1223</v>
      </c>
      <c r="K3349" s="139" t="s">
        <v>1223</v>
      </c>
      <c r="L3349" s="139" t="s">
        <v>1223</v>
      </c>
      <c r="M3349" s="139" t="s">
        <v>1223</v>
      </c>
      <c r="N3349" s="139" t="s">
        <v>1223</v>
      </c>
      <c r="O3349" s="139" t="s">
        <v>1223</v>
      </c>
      <c r="P3349" s="139" t="s">
        <v>1223</v>
      </c>
      <c r="Q3349" s="141" t="s">
        <v>1276</v>
      </c>
    </row>
    <row r="3350" spans="1:17">
      <c r="A3350" s="139" t="s">
        <v>1223</v>
      </c>
      <c r="B3350" s="139" t="s">
        <v>1223</v>
      </c>
      <c r="C3350" s="139" t="s">
        <v>1223</v>
      </c>
      <c r="D3350" s="139" t="s">
        <v>1223</v>
      </c>
      <c r="E3350" s="139" t="s">
        <v>1223</v>
      </c>
      <c r="F3350" s="139" t="s">
        <v>1223</v>
      </c>
      <c r="G3350" s="139" t="s">
        <v>1223</v>
      </c>
      <c r="H3350" s="139" t="s">
        <v>1223</v>
      </c>
      <c r="I3350" s="139" t="s">
        <v>1223</v>
      </c>
      <c r="J3350" s="139" t="s">
        <v>1223</v>
      </c>
      <c r="K3350" s="139" t="s">
        <v>1223</v>
      </c>
      <c r="L3350" s="139" t="s">
        <v>1223</v>
      </c>
      <c r="M3350" s="139" t="s">
        <v>1223</v>
      </c>
      <c r="N3350" s="139" t="s">
        <v>1223</v>
      </c>
      <c r="O3350" s="139" t="s">
        <v>1223</v>
      </c>
      <c r="P3350" s="139" t="s">
        <v>1223</v>
      </c>
      <c r="Q3350" s="141" t="s">
        <v>1277</v>
      </c>
    </row>
    <row r="3351" spans="1:17">
      <c r="A3351" s="139" t="s">
        <v>1223</v>
      </c>
      <c r="B3351" s="139" t="s">
        <v>1223</v>
      </c>
      <c r="C3351" s="139" t="s">
        <v>1223</v>
      </c>
      <c r="D3351" s="139" t="s">
        <v>1223</v>
      </c>
      <c r="E3351" s="139" t="s">
        <v>1223</v>
      </c>
      <c r="F3351" s="139" t="s">
        <v>1223</v>
      </c>
      <c r="G3351" s="139" t="s">
        <v>1223</v>
      </c>
      <c r="H3351" s="139" t="s">
        <v>1223</v>
      </c>
      <c r="I3351" s="139" t="s">
        <v>1223</v>
      </c>
      <c r="J3351" s="139" t="s">
        <v>1223</v>
      </c>
      <c r="K3351" s="139" t="s">
        <v>1223</v>
      </c>
      <c r="L3351" s="139" t="s">
        <v>1223</v>
      </c>
      <c r="M3351" s="139" t="s">
        <v>1223</v>
      </c>
      <c r="N3351" s="139" t="s">
        <v>1223</v>
      </c>
      <c r="O3351" s="139" t="s">
        <v>1223</v>
      </c>
      <c r="P3351" s="139" t="s">
        <v>1223</v>
      </c>
      <c r="Q3351" s="141" t="s">
        <v>1278</v>
      </c>
    </row>
    <row r="3352" spans="1:17">
      <c r="A3352" s="139" t="s">
        <v>1223</v>
      </c>
      <c r="B3352" s="139" t="s">
        <v>1223</v>
      </c>
      <c r="C3352" s="139" t="s">
        <v>1223</v>
      </c>
      <c r="D3352" s="139" t="s">
        <v>1223</v>
      </c>
      <c r="E3352" s="139" t="s">
        <v>1223</v>
      </c>
      <c r="F3352" s="139" t="s">
        <v>1223</v>
      </c>
      <c r="G3352" s="139" t="s">
        <v>1223</v>
      </c>
      <c r="H3352" s="139" t="s">
        <v>1223</v>
      </c>
      <c r="I3352" s="139" t="s">
        <v>1223</v>
      </c>
      <c r="J3352" s="139" t="s">
        <v>1223</v>
      </c>
      <c r="K3352" s="139" t="s">
        <v>1223</v>
      </c>
      <c r="L3352" s="139" t="s">
        <v>1223</v>
      </c>
      <c r="M3352" s="139" t="s">
        <v>1223</v>
      </c>
      <c r="N3352" s="139" t="s">
        <v>1223</v>
      </c>
      <c r="O3352" s="139" t="s">
        <v>1223</v>
      </c>
      <c r="P3352" s="139" t="s">
        <v>1223</v>
      </c>
      <c r="Q3352" s="141" t="s">
        <v>1279</v>
      </c>
    </row>
    <row r="3353" spans="1:17">
      <c r="A3353" s="139" t="s">
        <v>1223</v>
      </c>
      <c r="B3353" s="139" t="s">
        <v>1223</v>
      </c>
      <c r="C3353" s="139" t="s">
        <v>1223</v>
      </c>
      <c r="D3353" s="139" t="s">
        <v>1223</v>
      </c>
      <c r="E3353" s="139" t="s">
        <v>1223</v>
      </c>
      <c r="F3353" s="139" t="s">
        <v>1223</v>
      </c>
      <c r="G3353" s="139" t="s">
        <v>1223</v>
      </c>
      <c r="H3353" s="139" t="s">
        <v>1223</v>
      </c>
      <c r="I3353" s="139" t="s">
        <v>1223</v>
      </c>
      <c r="J3353" s="139" t="s">
        <v>1223</v>
      </c>
      <c r="K3353" s="139" t="s">
        <v>1223</v>
      </c>
      <c r="L3353" s="139" t="s">
        <v>1223</v>
      </c>
      <c r="M3353" s="139" t="s">
        <v>1223</v>
      </c>
      <c r="N3353" s="139" t="s">
        <v>1223</v>
      </c>
      <c r="O3353" s="139" t="s">
        <v>1223</v>
      </c>
      <c r="P3353" s="139" t="s">
        <v>1223</v>
      </c>
      <c r="Q3353" s="141" t="s">
        <v>1280</v>
      </c>
    </row>
    <row r="3354" spans="1:17">
      <c r="A3354" s="139" t="s">
        <v>1223</v>
      </c>
      <c r="B3354" s="139" t="s">
        <v>1223</v>
      </c>
      <c r="C3354" s="139" t="s">
        <v>1223</v>
      </c>
      <c r="D3354" s="139" t="s">
        <v>1223</v>
      </c>
      <c r="E3354" s="139" t="s">
        <v>1223</v>
      </c>
      <c r="F3354" s="139" t="s">
        <v>1223</v>
      </c>
      <c r="G3354" s="139" t="s">
        <v>1223</v>
      </c>
      <c r="H3354" s="139" t="s">
        <v>1223</v>
      </c>
      <c r="I3354" s="139" t="s">
        <v>1223</v>
      </c>
      <c r="J3354" s="139" t="s">
        <v>1223</v>
      </c>
      <c r="K3354" s="139" t="s">
        <v>1223</v>
      </c>
      <c r="L3354" s="139" t="s">
        <v>1223</v>
      </c>
      <c r="M3354" s="139" t="s">
        <v>1223</v>
      </c>
      <c r="N3354" s="139" t="s">
        <v>1223</v>
      </c>
      <c r="O3354" s="139" t="s">
        <v>1223</v>
      </c>
      <c r="P3354" s="139" t="s">
        <v>1223</v>
      </c>
      <c r="Q3354" s="141" t="s">
        <v>1281</v>
      </c>
    </row>
    <row r="3355" spans="1:17">
      <c r="A3355" s="139" t="s">
        <v>1223</v>
      </c>
      <c r="B3355" s="139" t="s">
        <v>1223</v>
      </c>
      <c r="C3355" s="139" t="s">
        <v>1223</v>
      </c>
      <c r="D3355" s="139" t="s">
        <v>1223</v>
      </c>
      <c r="E3355" s="139" t="s">
        <v>1223</v>
      </c>
      <c r="F3355" s="139" t="s">
        <v>1223</v>
      </c>
      <c r="G3355" s="139" t="s">
        <v>1223</v>
      </c>
      <c r="H3355" s="139" t="s">
        <v>1223</v>
      </c>
      <c r="I3355" s="139" t="s">
        <v>1223</v>
      </c>
      <c r="J3355" s="139" t="s">
        <v>1223</v>
      </c>
      <c r="K3355" s="139" t="s">
        <v>1223</v>
      </c>
      <c r="L3355" s="139" t="s">
        <v>1223</v>
      </c>
      <c r="M3355" s="139" t="s">
        <v>1223</v>
      </c>
      <c r="N3355" s="139" t="s">
        <v>1223</v>
      </c>
      <c r="O3355" s="139" t="s">
        <v>1223</v>
      </c>
      <c r="P3355" s="139" t="s">
        <v>1223</v>
      </c>
      <c r="Q3355" s="141" t="s">
        <v>1282</v>
      </c>
    </row>
    <row r="3356" spans="1:17">
      <c r="A3356" s="139" t="s">
        <v>1223</v>
      </c>
      <c r="B3356" s="139" t="s">
        <v>1223</v>
      </c>
      <c r="C3356" s="139" t="s">
        <v>1223</v>
      </c>
      <c r="D3356" s="139" t="s">
        <v>1223</v>
      </c>
      <c r="E3356" s="139" t="s">
        <v>1223</v>
      </c>
      <c r="F3356" s="139" t="s">
        <v>1223</v>
      </c>
      <c r="G3356" s="139" t="s">
        <v>1223</v>
      </c>
      <c r="H3356" s="139" t="s">
        <v>1223</v>
      </c>
      <c r="I3356" s="139" t="s">
        <v>1223</v>
      </c>
      <c r="J3356" s="139" t="s">
        <v>1223</v>
      </c>
      <c r="K3356" s="139" t="s">
        <v>1223</v>
      </c>
      <c r="L3356" s="139" t="s">
        <v>1223</v>
      </c>
      <c r="M3356" s="139" t="s">
        <v>1223</v>
      </c>
      <c r="N3356" s="139" t="s">
        <v>1223</v>
      </c>
      <c r="O3356" s="139" t="s">
        <v>1223</v>
      </c>
      <c r="P3356" s="139" t="s">
        <v>1223</v>
      </c>
      <c r="Q3356" s="141" t="s">
        <v>1283</v>
      </c>
    </row>
    <row r="3357" spans="1:17">
      <c r="A3357" s="139" t="s">
        <v>1223</v>
      </c>
      <c r="B3357" s="139" t="s">
        <v>1223</v>
      </c>
      <c r="C3357" s="139" t="s">
        <v>1223</v>
      </c>
      <c r="D3357" s="139" t="s">
        <v>1223</v>
      </c>
      <c r="E3357" s="139" t="s">
        <v>1223</v>
      </c>
      <c r="F3357" s="139" t="s">
        <v>1223</v>
      </c>
      <c r="G3357" s="139" t="s">
        <v>1223</v>
      </c>
      <c r="H3357" s="139" t="s">
        <v>1223</v>
      </c>
      <c r="I3357" s="139" t="s">
        <v>1223</v>
      </c>
      <c r="J3357" s="139" t="s">
        <v>1223</v>
      </c>
      <c r="K3357" s="139" t="s">
        <v>1223</v>
      </c>
      <c r="L3357" s="139" t="s">
        <v>1223</v>
      </c>
      <c r="M3357" s="139" t="s">
        <v>1223</v>
      </c>
      <c r="N3357" s="139" t="s">
        <v>1223</v>
      </c>
      <c r="O3357" s="139" t="s">
        <v>1223</v>
      </c>
      <c r="P3357" s="139" t="s">
        <v>1223</v>
      </c>
      <c r="Q3357" s="141" t="s">
        <v>1284</v>
      </c>
    </row>
    <row r="3358" spans="1:17">
      <c r="A3358" s="139" t="s">
        <v>1223</v>
      </c>
      <c r="B3358" s="139" t="s">
        <v>1223</v>
      </c>
      <c r="C3358" s="139" t="s">
        <v>1223</v>
      </c>
      <c r="D3358" s="139" t="s">
        <v>1223</v>
      </c>
      <c r="E3358" s="139" t="s">
        <v>1223</v>
      </c>
      <c r="F3358" s="139" t="s">
        <v>1223</v>
      </c>
      <c r="G3358" s="139" t="s">
        <v>1223</v>
      </c>
      <c r="H3358" s="139" t="s">
        <v>1223</v>
      </c>
      <c r="I3358" s="139" t="s">
        <v>1223</v>
      </c>
      <c r="J3358" s="139" t="s">
        <v>1223</v>
      </c>
      <c r="K3358" s="139" t="s">
        <v>1223</v>
      </c>
      <c r="L3358" s="139" t="s">
        <v>1223</v>
      </c>
      <c r="M3358" s="139" t="s">
        <v>1223</v>
      </c>
      <c r="N3358" s="139" t="s">
        <v>1223</v>
      </c>
      <c r="O3358" s="139" t="s">
        <v>1223</v>
      </c>
      <c r="P3358" s="139" t="s">
        <v>1223</v>
      </c>
      <c r="Q3358" s="141" t="s">
        <v>1285</v>
      </c>
    </row>
    <row r="3359" spans="1:17">
      <c r="A3359" s="139" t="s">
        <v>1223</v>
      </c>
      <c r="B3359" s="139" t="s">
        <v>1223</v>
      </c>
      <c r="C3359" s="139" t="s">
        <v>1223</v>
      </c>
      <c r="D3359" s="139" t="s">
        <v>1223</v>
      </c>
      <c r="E3359" s="139" t="s">
        <v>1223</v>
      </c>
      <c r="F3359" s="139" t="s">
        <v>1223</v>
      </c>
      <c r="G3359" s="139" t="s">
        <v>1223</v>
      </c>
      <c r="H3359" s="139" t="s">
        <v>1223</v>
      </c>
      <c r="I3359" s="139"/>
      <c r="J3359" s="139"/>
      <c r="K3359" s="139"/>
      <c r="L3359" s="139"/>
      <c r="M3359" s="139"/>
      <c r="N3359" s="139"/>
      <c r="O3359" s="139"/>
      <c r="P3359" s="139"/>
      <c r="Q3359" s="141" t="s">
        <v>1286</v>
      </c>
    </row>
    <row r="3360" spans="1:17" ht="15">
      <c r="A3360" s="137" t="s">
        <v>1291</v>
      </c>
      <c r="B3360" s="137"/>
      <c r="C3360" s="137"/>
      <c r="D3360" s="137"/>
      <c r="E3360" s="137"/>
      <c r="F3360" s="137"/>
      <c r="G3360" s="137"/>
      <c r="H3360" s="137"/>
      <c r="I3360" s="137"/>
      <c r="J3360" s="137"/>
      <c r="K3360" s="137"/>
      <c r="L3360" s="137"/>
      <c r="M3360" s="137"/>
      <c r="N3360" s="137"/>
      <c r="O3360" s="137"/>
      <c r="P3360" s="137"/>
      <c r="Q3360" s="137"/>
    </row>
    <row r="3361" spans="1:17">
      <c r="A3361" s="199">
        <v>21</v>
      </c>
      <c r="B3361" s="199" t="s">
        <v>1624</v>
      </c>
      <c r="C3361" s="199" t="s">
        <v>1625</v>
      </c>
      <c r="D3361" s="199" t="s">
        <v>1625</v>
      </c>
      <c r="E3361" s="139" t="s">
        <v>1223</v>
      </c>
      <c r="F3361" s="139" t="s">
        <v>1223</v>
      </c>
      <c r="G3361" s="139" t="s">
        <v>1223</v>
      </c>
      <c r="H3361" s="140">
        <v>32</v>
      </c>
      <c r="I3361" s="140">
        <v>32</v>
      </c>
      <c r="J3361" s="140">
        <v>32</v>
      </c>
      <c r="K3361" s="140">
        <v>32</v>
      </c>
      <c r="L3361" s="140">
        <v>32</v>
      </c>
      <c r="M3361" s="139" t="s">
        <v>1223</v>
      </c>
      <c r="N3361" s="139" t="s">
        <v>1223</v>
      </c>
      <c r="O3361" s="139" t="s">
        <v>1223</v>
      </c>
      <c r="P3361" s="139" t="s">
        <v>1223</v>
      </c>
      <c r="Q3361" s="141" t="s">
        <v>1224</v>
      </c>
    </row>
    <row r="3362" spans="1:17">
      <c r="A3362" s="139" t="s">
        <v>1223</v>
      </c>
      <c r="B3362" s="139" t="s">
        <v>1223</v>
      </c>
      <c r="C3362" s="139" t="s">
        <v>1223</v>
      </c>
      <c r="D3362" s="139" t="s">
        <v>1223</v>
      </c>
      <c r="E3362" s="139" t="s">
        <v>1223</v>
      </c>
      <c r="F3362" s="139" t="s">
        <v>1223</v>
      </c>
      <c r="G3362" s="139" t="s">
        <v>1223</v>
      </c>
      <c r="H3362" s="139" t="s">
        <v>1223</v>
      </c>
      <c r="I3362" s="139" t="s">
        <v>1223</v>
      </c>
      <c r="J3362" s="139" t="s">
        <v>1223</v>
      </c>
      <c r="K3362" s="139" t="s">
        <v>1223</v>
      </c>
      <c r="L3362" s="139" t="s">
        <v>1223</v>
      </c>
      <c r="M3362" s="139" t="s">
        <v>1223</v>
      </c>
      <c r="N3362" s="139" t="s">
        <v>1223</v>
      </c>
      <c r="O3362" s="139" t="s">
        <v>1223</v>
      </c>
      <c r="P3362" s="139" t="s">
        <v>1223</v>
      </c>
      <c r="Q3362" s="141" t="s">
        <v>1225</v>
      </c>
    </row>
    <row r="3363" spans="1:17">
      <c r="A3363" s="139" t="s">
        <v>1223</v>
      </c>
      <c r="B3363" s="139" t="s">
        <v>1223</v>
      </c>
      <c r="C3363" s="139" t="s">
        <v>1223</v>
      </c>
      <c r="D3363" s="139" t="s">
        <v>1223</v>
      </c>
      <c r="E3363" s="139" t="s">
        <v>1223</v>
      </c>
      <c r="F3363" s="139" t="s">
        <v>1223</v>
      </c>
      <c r="G3363" s="139" t="s">
        <v>1223</v>
      </c>
      <c r="H3363" s="139" t="s">
        <v>1223</v>
      </c>
      <c r="I3363" s="139" t="s">
        <v>1223</v>
      </c>
      <c r="J3363" s="139" t="s">
        <v>1223</v>
      </c>
      <c r="K3363" s="139" t="s">
        <v>1223</v>
      </c>
      <c r="L3363" s="139" t="s">
        <v>1223</v>
      </c>
      <c r="M3363" s="139" t="s">
        <v>1223</v>
      </c>
      <c r="N3363" s="139" t="s">
        <v>1223</v>
      </c>
      <c r="O3363" s="139" t="s">
        <v>1223</v>
      </c>
      <c r="P3363" s="139" t="s">
        <v>1223</v>
      </c>
      <c r="Q3363" s="141" t="s">
        <v>1226</v>
      </c>
    </row>
    <row r="3364" spans="1:17">
      <c r="A3364" s="139" t="s">
        <v>1223</v>
      </c>
      <c r="B3364" s="139" t="s">
        <v>1223</v>
      </c>
      <c r="C3364" s="139" t="s">
        <v>1223</v>
      </c>
      <c r="D3364" s="139" t="s">
        <v>1223</v>
      </c>
      <c r="E3364" s="139" t="s">
        <v>1223</v>
      </c>
      <c r="F3364" s="139" t="s">
        <v>1223</v>
      </c>
      <c r="G3364" s="139" t="s">
        <v>1223</v>
      </c>
      <c r="H3364" s="139" t="s">
        <v>1223</v>
      </c>
      <c r="I3364" s="139" t="s">
        <v>1223</v>
      </c>
      <c r="J3364" s="139" t="s">
        <v>1223</v>
      </c>
      <c r="K3364" s="139" t="s">
        <v>1223</v>
      </c>
      <c r="L3364" s="139" t="s">
        <v>1223</v>
      </c>
      <c r="M3364" s="139" t="s">
        <v>1223</v>
      </c>
      <c r="N3364" s="139" t="s">
        <v>1223</v>
      </c>
      <c r="O3364" s="139" t="s">
        <v>1223</v>
      </c>
      <c r="P3364" s="139" t="s">
        <v>1223</v>
      </c>
      <c r="Q3364" s="141" t="s">
        <v>1227</v>
      </c>
    </row>
    <row r="3365" spans="1:17">
      <c r="A3365" s="139" t="s">
        <v>1223</v>
      </c>
      <c r="B3365" s="139" t="s">
        <v>1223</v>
      </c>
      <c r="C3365" s="139" t="s">
        <v>1223</v>
      </c>
      <c r="D3365" s="139" t="s">
        <v>1223</v>
      </c>
      <c r="E3365" s="139" t="s">
        <v>1223</v>
      </c>
      <c r="F3365" s="139" t="s">
        <v>1223</v>
      </c>
      <c r="G3365" s="139" t="s">
        <v>1223</v>
      </c>
      <c r="H3365" s="139" t="s">
        <v>1223</v>
      </c>
      <c r="I3365" s="139" t="s">
        <v>1223</v>
      </c>
      <c r="J3365" s="139" t="s">
        <v>1223</v>
      </c>
      <c r="K3365" s="139" t="s">
        <v>1223</v>
      </c>
      <c r="L3365" s="139" t="s">
        <v>1223</v>
      </c>
      <c r="M3365" s="139" t="s">
        <v>1223</v>
      </c>
      <c r="N3365" s="139" t="s">
        <v>1223</v>
      </c>
      <c r="O3365" s="139" t="s">
        <v>1223</v>
      </c>
      <c r="P3365" s="139" t="s">
        <v>1223</v>
      </c>
      <c r="Q3365" s="141" t="s">
        <v>1228</v>
      </c>
    </row>
    <row r="3366" spans="1:17">
      <c r="A3366" s="139" t="s">
        <v>1223</v>
      </c>
      <c r="B3366" s="139" t="s">
        <v>1223</v>
      </c>
      <c r="C3366" s="139" t="s">
        <v>1223</v>
      </c>
      <c r="D3366" s="139" t="s">
        <v>1223</v>
      </c>
      <c r="E3366" s="139" t="s">
        <v>1223</v>
      </c>
      <c r="F3366" s="139" t="s">
        <v>1223</v>
      </c>
      <c r="G3366" s="139" t="s">
        <v>1223</v>
      </c>
      <c r="H3366" s="139" t="s">
        <v>1223</v>
      </c>
      <c r="I3366" s="139" t="s">
        <v>1223</v>
      </c>
      <c r="J3366" s="139" t="s">
        <v>1223</v>
      </c>
      <c r="K3366" s="139" t="s">
        <v>1223</v>
      </c>
      <c r="L3366" s="139" t="s">
        <v>1223</v>
      </c>
      <c r="M3366" s="139" t="s">
        <v>1223</v>
      </c>
      <c r="N3366" s="139" t="s">
        <v>1223</v>
      </c>
      <c r="O3366" s="139" t="s">
        <v>1223</v>
      </c>
      <c r="P3366" s="139" t="s">
        <v>1223</v>
      </c>
      <c r="Q3366" s="141" t="s">
        <v>1229</v>
      </c>
    </row>
    <row r="3367" spans="1:17">
      <c r="A3367" s="139" t="s">
        <v>1223</v>
      </c>
      <c r="B3367" s="139" t="s">
        <v>1223</v>
      </c>
      <c r="C3367" s="139" t="s">
        <v>1223</v>
      </c>
      <c r="D3367" s="139" t="s">
        <v>1223</v>
      </c>
      <c r="E3367" s="139" t="s">
        <v>1223</v>
      </c>
      <c r="F3367" s="139" t="s">
        <v>1223</v>
      </c>
      <c r="G3367" s="139" t="s">
        <v>1223</v>
      </c>
      <c r="H3367" s="139" t="s">
        <v>1223</v>
      </c>
      <c r="I3367" s="139" t="s">
        <v>1223</v>
      </c>
      <c r="J3367" s="139" t="s">
        <v>1223</v>
      </c>
      <c r="K3367" s="139" t="s">
        <v>1223</v>
      </c>
      <c r="L3367" s="139" t="s">
        <v>1223</v>
      </c>
      <c r="M3367" s="139" t="s">
        <v>1223</v>
      </c>
      <c r="N3367" s="139" t="s">
        <v>1223</v>
      </c>
      <c r="O3367" s="139" t="s">
        <v>1223</v>
      </c>
      <c r="P3367" s="139" t="s">
        <v>1223</v>
      </c>
      <c r="Q3367" s="141" t="s">
        <v>1230</v>
      </c>
    </row>
    <row r="3368" spans="1:17">
      <c r="A3368" s="139" t="s">
        <v>1223</v>
      </c>
      <c r="B3368" s="139" t="s">
        <v>1223</v>
      </c>
      <c r="C3368" s="139" t="s">
        <v>1223</v>
      </c>
      <c r="D3368" s="139" t="s">
        <v>1223</v>
      </c>
      <c r="E3368" s="139" t="s">
        <v>1223</v>
      </c>
      <c r="F3368" s="139" t="s">
        <v>1223</v>
      </c>
      <c r="G3368" s="139" t="s">
        <v>1223</v>
      </c>
      <c r="H3368" s="139" t="s">
        <v>1223</v>
      </c>
      <c r="I3368" s="139" t="s">
        <v>1223</v>
      </c>
      <c r="J3368" s="139" t="s">
        <v>1223</v>
      </c>
      <c r="K3368" s="139" t="s">
        <v>1223</v>
      </c>
      <c r="L3368" s="139" t="s">
        <v>1223</v>
      </c>
      <c r="M3368" s="139" t="s">
        <v>1223</v>
      </c>
      <c r="N3368" s="139" t="s">
        <v>1223</v>
      </c>
      <c r="O3368" s="139" t="s">
        <v>1223</v>
      </c>
      <c r="P3368" s="139" t="s">
        <v>1223</v>
      </c>
      <c r="Q3368" s="141" t="s">
        <v>1231</v>
      </c>
    </row>
    <row r="3369" spans="1:17">
      <c r="A3369" s="139" t="s">
        <v>1223</v>
      </c>
      <c r="B3369" s="139" t="s">
        <v>1223</v>
      </c>
      <c r="C3369" s="139" t="s">
        <v>1223</v>
      </c>
      <c r="D3369" s="139" t="s">
        <v>1223</v>
      </c>
      <c r="E3369" s="139" t="s">
        <v>1223</v>
      </c>
      <c r="F3369" s="139" t="s">
        <v>1223</v>
      </c>
      <c r="G3369" s="139" t="s">
        <v>1223</v>
      </c>
      <c r="H3369" s="139" t="s">
        <v>1223</v>
      </c>
      <c r="I3369" s="139" t="s">
        <v>1223</v>
      </c>
      <c r="J3369" s="139" t="s">
        <v>1223</v>
      </c>
      <c r="K3369" s="139" t="s">
        <v>1223</v>
      </c>
      <c r="L3369" s="139" t="s">
        <v>1223</v>
      </c>
      <c r="M3369" s="139" t="s">
        <v>1223</v>
      </c>
      <c r="N3369" s="139" t="s">
        <v>1223</v>
      </c>
      <c r="O3369" s="139" t="s">
        <v>1223</v>
      </c>
      <c r="P3369" s="139" t="s">
        <v>1223</v>
      </c>
      <c r="Q3369" s="141" t="s">
        <v>1232</v>
      </c>
    </row>
    <row r="3370" spans="1:17">
      <c r="A3370" s="139" t="s">
        <v>1223</v>
      </c>
      <c r="B3370" s="139" t="s">
        <v>1223</v>
      </c>
      <c r="C3370" s="139" t="s">
        <v>1223</v>
      </c>
      <c r="D3370" s="139" t="s">
        <v>1223</v>
      </c>
      <c r="E3370" s="139" t="s">
        <v>1223</v>
      </c>
      <c r="F3370" s="139" t="s">
        <v>1223</v>
      </c>
      <c r="G3370" s="139" t="s">
        <v>1223</v>
      </c>
      <c r="H3370" s="139" t="s">
        <v>1223</v>
      </c>
      <c r="I3370" s="139" t="s">
        <v>1223</v>
      </c>
      <c r="J3370" s="139" t="s">
        <v>1223</v>
      </c>
      <c r="K3370" s="139" t="s">
        <v>1223</v>
      </c>
      <c r="L3370" s="139" t="s">
        <v>1223</v>
      </c>
      <c r="M3370" s="139" t="s">
        <v>1223</v>
      </c>
      <c r="N3370" s="139" t="s">
        <v>1223</v>
      </c>
      <c r="O3370" s="139" t="s">
        <v>1223</v>
      </c>
      <c r="P3370" s="139" t="s">
        <v>1223</v>
      </c>
      <c r="Q3370" s="141" t="s">
        <v>1233</v>
      </c>
    </row>
    <row r="3371" spans="1:17">
      <c r="A3371" s="139" t="s">
        <v>1223</v>
      </c>
      <c r="B3371" s="139" t="s">
        <v>1223</v>
      </c>
      <c r="C3371" s="139" t="s">
        <v>1223</v>
      </c>
      <c r="D3371" s="139" t="s">
        <v>1223</v>
      </c>
      <c r="E3371" s="139" t="s">
        <v>1223</v>
      </c>
      <c r="F3371" s="139" t="s">
        <v>1223</v>
      </c>
      <c r="G3371" s="139" t="s">
        <v>1223</v>
      </c>
      <c r="H3371" s="139" t="s">
        <v>1223</v>
      </c>
      <c r="I3371" s="139" t="s">
        <v>1223</v>
      </c>
      <c r="J3371" s="139" t="s">
        <v>1223</v>
      </c>
      <c r="K3371" s="139" t="s">
        <v>1223</v>
      </c>
      <c r="L3371" s="139" t="s">
        <v>1223</v>
      </c>
      <c r="M3371" s="139" t="s">
        <v>1223</v>
      </c>
      <c r="N3371" s="139" t="s">
        <v>1223</v>
      </c>
      <c r="O3371" s="139" t="s">
        <v>1223</v>
      </c>
      <c r="P3371" s="139" t="s">
        <v>1223</v>
      </c>
      <c r="Q3371" s="141" t="s">
        <v>1234</v>
      </c>
    </row>
    <row r="3372" spans="1:17">
      <c r="A3372" s="139" t="s">
        <v>1223</v>
      </c>
      <c r="B3372" s="139" t="s">
        <v>1223</v>
      </c>
      <c r="C3372" s="139" t="s">
        <v>1223</v>
      </c>
      <c r="D3372" s="139" t="s">
        <v>1223</v>
      </c>
      <c r="E3372" s="139" t="s">
        <v>1223</v>
      </c>
      <c r="F3372" s="139" t="s">
        <v>1223</v>
      </c>
      <c r="G3372" s="139" t="s">
        <v>1223</v>
      </c>
      <c r="H3372" s="139" t="s">
        <v>1223</v>
      </c>
      <c r="I3372" s="139" t="s">
        <v>1223</v>
      </c>
      <c r="J3372" s="139" t="s">
        <v>1223</v>
      </c>
      <c r="K3372" s="139" t="s">
        <v>1223</v>
      </c>
      <c r="L3372" s="139" t="s">
        <v>1223</v>
      </c>
      <c r="M3372" s="139" t="s">
        <v>1223</v>
      </c>
      <c r="N3372" s="139" t="s">
        <v>1223</v>
      </c>
      <c r="O3372" s="139" t="s">
        <v>1223</v>
      </c>
      <c r="P3372" s="139" t="s">
        <v>1223</v>
      </c>
      <c r="Q3372" s="141" t="s">
        <v>1235</v>
      </c>
    </row>
    <row r="3373" spans="1:17">
      <c r="A3373" s="139" t="s">
        <v>1223</v>
      </c>
      <c r="B3373" s="139" t="s">
        <v>1223</v>
      </c>
      <c r="C3373" s="139" t="s">
        <v>1223</v>
      </c>
      <c r="D3373" s="139" t="s">
        <v>1223</v>
      </c>
      <c r="E3373" s="139" t="s">
        <v>1223</v>
      </c>
      <c r="F3373" s="139" t="s">
        <v>1223</v>
      </c>
      <c r="G3373" s="139" t="s">
        <v>1223</v>
      </c>
      <c r="H3373" s="139" t="s">
        <v>1223</v>
      </c>
      <c r="I3373" s="140">
        <v>32</v>
      </c>
      <c r="J3373" s="140">
        <v>32</v>
      </c>
      <c r="K3373" s="140">
        <v>32</v>
      </c>
      <c r="L3373" s="140">
        <v>32</v>
      </c>
      <c r="M3373" s="140">
        <v>32</v>
      </c>
      <c r="N3373" s="140">
        <v>32</v>
      </c>
      <c r="O3373" s="140">
        <v>32</v>
      </c>
      <c r="P3373" s="140">
        <v>32</v>
      </c>
      <c r="Q3373" s="141" t="s">
        <v>1236</v>
      </c>
    </row>
    <row r="3374" spans="1:17">
      <c r="A3374" s="139" t="s">
        <v>1223</v>
      </c>
      <c r="B3374" s="139" t="s">
        <v>1223</v>
      </c>
      <c r="C3374" s="139" t="s">
        <v>1223</v>
      </c>
      <c r="D3374" s="139" t="s">
        <v>1223</v>
      </c>
      <c r="E3374" s="139" t="s">
        <v>1223</v>
      </c>
      <c r="F3374" s="139" t="s">
        <v>1223</v>
      </c>
      <c r="G3374" s="139" t="s">
        <v>1223</v>
      </c>
      <c r="H3374" s="139" t="s">
        <v>1223</v>
      </c>
      <c r="I3374" s="139" t="s">
        <v>1223</v>
      </c>
      <c r="J3374" s="139" t="s">
        <v>1223</v>
      </c>
      <c r="K3374" s="139" t="s">
        <v>1223</v>
      </c>
      <c r="L3374" s="139" t="s">
        <v>1223</v>
      </c>
      <c r="M3374" s="139" t="s">
        <v>1223</v>
      </c>
      <c r="N3374" s="139" t="s">
        <v>1223</v>
      </c>
      <c r="O3374" s="139" t="s">
        <v>1223</v>
      </c>
      <c r="P3374" s="139" t="s">
        <v>1223</v>
      </c>
      <c r="Q3374" s="141" t="s">
        <v>1237</v>
      </c>
    </row>
    <row r="3375" spans="1:17">
      <c r="A3375" s="139" t="s">
        <v>1223</v>
      </c>
      <c r="B3375" s="139" t="s">
        <v>1223</v>
      </c>
      <c r="C3375" s="139" t="s">
        <v>1223</v>
      </c>
      <c r="D3375" s="139" t="s">
        <v>1223</v>
      </c>
      <c r="E3375" s="139" t="s">
        <v>1223</v>
      </c>
      <c r="F3375" s="139" t="s">
        <v>1223</v>
      </c>
      <c r="G3375" s="139" t="s">
        <v>1223</v>
      </c>
      <c r="H3375" s="139" t="s">
        <v>1223</v>
      </c>
      <c r="I3375" s="139" t="s">
        <v>1223</v>
      </c>
      <c r="J3375" s="139" t="s">
        <v>1223</v>
      </c>
      <c r="K3375" s="139" t="s">
        <v>1223</v>
      </c>
      <c r="L3375" s="139" t="s">
        <v>1223</v>
      </c>
      <c r="M3375" s="139" t="s">
        <v>1223</v>
      </c>
      <c r="N3375" s="139" t="s">
        <v>1223</v>
      </c>
      <c r="O3375" s="139" t="s">
        <v>1223</v>
      </c>
      <c r="P3375" s="139" t="s">
        <v>1223</v>
      </c>
      <c r="Q3375" s="141" t="s">
        <v>1238</v>
      </c>
    </row>
    <row r="3376" spans="1:17">
      <c r="A3376" s="139" t="s">
        <v>1223</v>
      </c>
      <c r="B3376" s="139" t="s">
        <v>1223</v>
      </c>
      <c r="C3376" s="139" t="s">
        <v>1223</v>
      </c>
      <c r="D3376" s="139" t="s">
        <v>1223</v>
      </c>
      <c r="E3376" s="139" t="s">
        <v>1223</v>
      </c>
      <c r="F3376" s="139" t="s">
        <v>1223</v>
      </c>
      <c r="G3376" s="139" t="s">
        <v>1223</v>
      </c>
      <c r="H3376" s="139" t="s">
        <v>1223</v>
      </c>
      <c r="I3376" s="139" t="s">
        <v>1223</v>
      </c>
      <c r="J3376" s="139" t="s">
        <v>1223</v>
      </c>
      <c r="K3376" s="139" t="s">
        <v>1223</v>
      </c>
      <c r="L3376" s="139" t="s">
        <v>1223</v>
      </c>
      <c r="M3376" s="139" t="s">
        <v>1330</v>
      </c>
      <c r="N3376" s="139" t="s">
        <v>1223</v>
      </c>
      <c r="O3376" s="139" t="s">
        <v>1223</v>
      </c>
      <c r="P3376" s="139" t="s">
        <v>1223</v>
      </c>
      <c r="Q3376" s="141" t="s">
        <v>1239</v>
      </c>
    </row>
    <row r="3377" spans="1:17">
      <c r="A3377" s="139" t="s">
        <v>1223</v>
      </c>
      <c r="B3377" s="139" t="s">
        <v>1223</v>
      </c>
      <c r="C3377" s="139" t="s">
        <v>1223</v>
      </c>
      <c r="D3377" s="139" t="s">
        <v>1223</v>
      </c>
      <c r="E3377" s="139" t="s">
        <v>1223</v>
      </c>
      <c r="F3377" s="139" t="s">
        <v>1223</v>
      </c>
      <c r="G3377" s="139" t="s">
        <v>1223</v>
      </c>
      <c r="H3377" s="139" t="s">
        <v>1223</v>
      </c>
      <c r="I3377" s="139" t="s">
        <v>1223</v>
      </c>
      <c r="J3377" s="139" t="s">
        <v>1223</v>
      </c>
      <c r="K3377" s="139" t="s">
        <v>1223</v>
      </c>
      <c r="L3377" s="139" t="s">
        <v>1223</v>
      </c>
      <c r="M3377" s="139" t="s">
        <v>1223</v>
      </c>
      <c r="N3377" s="139" t="s">
        <v>1223</v>
      </c>
      <c r="O3377" s="139" t="s">
        <v>1223</v>
      </c>
      <c r="P3377" s="139" t="s">
        <v>1223</v>
      </c>
      <c r="Q3377" s="141" t="s">
        <v>1240</v>
      </c>
    </row>
    <row r="3378" spans="1:17">
      <c r="A3378" s="139" t="s">
        <v>1223</v>
      </c>
      <c r="B3378" s="139" t="s">
        <v>1223</v>
      </c>
      <c r="C3378" s="139" t="s">
        <v>1223</v>
      </c>
      <c r="D3378" s="139" t="s">
        <v>1223</v>
      </c>
      <c r="E3378" s="139" t="s">
        <v>1223</v>
      </c>
      <c r="F3378" s="139" t="s">
        <v>1223</v>
      </c>
      <c r="G3378" s="139" t="s">
        <v>1223</v>
      </c>
      <c r="H3378" s="139" t="s">
        <v>1223</v>
      </c>
      <c r="I3378" s="139" t="s">
        <v>1223</v>
      </c>
      <c r="J3378" s="139" t="s">
        <v>1223</v>
      </c>
      <c r="K3378" s="139" t="s">
        <v>1223</v>
      </c>
      <c r="L3378" s="139" t="s">
        <v>1223</v>
      </c>
      <c r="M3378" s="139" t="s">
        <v>1223</v>
      </c>
      <c r="N3378" s="139" t="s">
        <v>1223</v>
      </c>
      <c r="O3378" s="139" t="s">
        <v>1223</v>
      </c>
      <c r="P3378" s="139" t="s">
        <v>1223</v>
      </c>
      <c r="Q3378" s="141" t="s">
        <v>1241</v>
      </c>
    </row>
    <row r="3379" spans="1:17">
      <c r="A3379" s="139" t="s">
        <v>1223</v>
      </c>
      <c r="B3379" s="139" t="s">
        <v>1223</v>
      </c>
      <c r="C3379" s="139" t="s">
        <v>1223</v>
      </c>
      <c r="D3379" s="139" t="s">
        <v>1223</v>
      </c>
      <c r="E3379" s="139" t="s">
        <v>1223</v>
      </c>
      <c r="F3379" s="139" t="s">
        <v>1223</v>
      </c>
      <c r="G3379" s="139" t="s">
        <v>1223</v>
      </c>
      <c r="H3379" s="139" t="s">
        <v>1223</v>
      </c>
      <c r="I3379" s="139" t="s">
        <v>1223</v>
      </c>
      <c r="J3379" s="139" t="s">
        <v>1223</v>
      </c>
      <c r="K3379" s="139" t="s">
        <v>1223</v>
      </c>
      <c r="L3379" s="139" t="s">
        <v>1223</v>
      </c>
      <c r="M3379" s="139" t="s">
        <v>1223</v>
      </c>
      <c r="N3379" s="139" t="s">
        <v>1223</v>
      </c>
      <c r="O3379" s="139" t="s">
        <v>1223</v>
      </c>
      <c r="P3379" s="139" t="s">
        <v>1223</v>
      </c>
      <c r="Q3379" s="141" t="s">
        <v>1242</v>
      </c>
    </row>
    <row r="3380" spans="1:17">
      <c r="A3380" s="139" t="s">
        <v>1223</v>
      </c>
      <c r="B3380" s="139" t="s">
        <v>1223</v>
      </c>
      <c r="C3380" s="139" t="s">
        <v>1223</v>
      </c>
      <c r="D3380" s="139" t="s">
        <v>1223</v>
      </c>
      <c r="E3380" s="139" t="s">
        <v>1223</v>
      </c>
      <c r="F3380" s="139" t="s">
        <v>1223</v>
      </c>
      <c r="G3380" s="139" t="s">
        <v>1223</v>
      </c>
      <c r="H3380" s="139" t="s">
        <v>1223</v>
      </c>
      <c r="I3380" s="139" t="s">
        <v>1223</v>
      </c>
      <c r="J3380" s="139" t="s">
        <v>1223</v>
      </c>
      <c r="K3380" s="139" t="s">
        <v>1223</v>
      </c>
      <c r="L3380" s="139" t="s">
        <v>1223</v>
      </c>
      <c r="M3380" s="139" t="s">
        <v>1223</v>
      </c>
      <c r="N3380" s="139" t="s">
        <v>1223</v>
      </c>
      <c r="O3380" s="139" t="s">
        <v>1223</v>
      </c>
      <c r="P3380" s="139" t="s">
        <v>1223</v>
      </c>
      <c r="Q3380" s="141" t="s">
        <v>1243</v>
      </c>
    </row>
    <row r="3381" spans="1:17">
      <c r="A3381" s="139" t="s">
        <v>1223</v>
      </c>
      <c r="B3381" s="139" t="s">
        <v>1223</v>
      </c>
      <c r="C3381" s="139" t="s">
        <v>1223</v>
      </c>
      <c r="D3381" s="139" t="s">
        <v>1223</v>
      </c>
      <c r="E3381" s="139" t="s">
        <v>1223</v>
      </c>
      <c r="F3381" s="139" t="s">
        <v>1223</v>
      </c>
      <c r="G3381" s="139" t="s">
        <v>1223</v>
      </c>
      <c r="H3381" s="139" t="s">
        <v>1223</v>
      </c>
      <c r="I3381" s="139" t="s">
        <v>1223</v>
      </c>
      <c r="J3381" s="139" t="s">
        <v>1223</v>
      </c>
      <c r="K3381" s="139" t="s">
        <v>1223</v>
      </c>
      <c r="L3381" s="139" t="s">
        <v>1223</v>
      </c>
      <c r="M3381" s="139" t="s">
        <v>1223</v>
      </c>
      <c r="N3381" s="139" t="s">
        <v>1223</v>
      </c>
      <c r="O3381" s="139" t="s">
        <v>1223</v>
      </c>
      <c r="P3381" s="139" t="s">
        <v>1223</v>
      </c>
      <c r="Q3381" s="141" t="s">
        <v>1244</v>
      </c>
    </row>
    <row r="3382" spans="1:17">
      <c r="A3382" s="139" t="s">
        <v>1223</v>
      </c>
      <c r="B3382" s="139" t="s">
        <v>1223</v>
      </c>
      <c r="C3382" s="139" t="s">
        <v>1223</v>
      </c>
      <c r="D3382" s="139" t="s">
        <v>1223</v>
      </c>
      <c r="E3382" s="139" t="s">
        <v>1223</v>
      </c>
      <c r="F3382" s="139" t="s">
        <v>1223</v>
      </c>
      <c r="G3382" s="139" t="s">
        <v>1223</v>
      </c>
      <c r="H3382" s="139" t="s">
        <v>1223</v>
      </c>
      <c r="I3382" s="139" t="s">
        <v>1223</v>
      </c>
      <c r="J3382" s="139" t="s">
        <v>1223</v>
      </c>
      <c r="K3382" s="139" t="s">
        <v>1223</v>
      </c>
      <c r="L3382" s="139" t="s">
        <v>1223</v>
      </c>
      <c r="M3382" s="139" t="s">
        <v>1223</v>
      </c>
      <c r="N3382" s="139" t="s">
        <v>1223</v>
      </c>
      <c r="O3382" s="139" t="s">
        <v>1223</v>
      </c>
      <c r="P3382" s="139" t="s">
        <v>1223</v>
      </c>
      <c r="Q3382" s="141" t="s">
        <v>1245</v>
      </c>
    </row>
    <row r="3383" spans="1:17">
      <c r="A3383" s="139" t="s">
        <v>1223</v>
      </c>
      <c r="B3383" s="139" t="s">
        <v>1223</v>
      </c>
      <c r="C3383" s="139" t="s">
        <v>1223</v>
      </c>
      <c r="D3383" s="139" t="s">
        <v>1223</v>
      </c>
      <c r="E3383" s="139" t="s">
        <v>1223</v>
      </c>
      <c r="F3383" s="139" t="s">
        <v>1223</v>
      </c>
      <c r="G3383" s="139" t="s">
        <v>1223</v>
      </c>
      <c r="H3383" s="139" t="s">
        <v>1223</v>
      </c>
      <c r="I3383" s="139" t="s">
        <v>1223</v>
      </c>
      <c r="J3383" s="139" t="s">
        <v>1223</v>
      </c>
      <c r="K3383" s="139" t="s">
        <v>1223</v>
      </c>
      <c r="L3383" s="139" t="s">
        <v>1223</v>
      </c>
      <c r="M3383" s="139" t="s">
        <v>1223</v>
      </c>
      <c r="N3383" s="139" t="s">
        <v>1223</v>
      </c>
      <c r="O3383" s="139" t="s">
        <v>1223</v>
      </c>
      <c r="P3383" s="139" t="s">
        <v>1223</v>
      </c>
      <c r="Q3383" s="141" t="s">
        <v>1246</v>
      </c>
    </row>
    <row r="3384" spans="1:17">
      <c r="A3384" s="139" t="s">
        <v>1223</v>
      </c>
      <c r="B3384" s="139" t="s">
        <v>1223</v>
      </c>
      <c r="C3384" s="139" t="s">
        <v>1223</v>
      </c>
      <c r="D3384" s="139" t="s">
        <v>1223</v>
      </c>
      <c r="E3384" s="139" t="s">
        <v>1223</v>
      </c>
      <c r="F3384" s="139" t="s">
        <v>1223</v>
      </c>
      <c r="G3384" s="139" t="s">
        <v>1223</v>
      </c>
      <c r="H3384" s="139" t="s">
        <v>1223</v>
      </c>
      <c r="I3384" s="139" t="s">
        <v>1223</v>
      </c>
      <c r="J3384" s="139" t="s">
        <v>1223</v>
      </c>
      <c r="K3384" s="139" t="s">
        <v>1223</v>
      </c>
      <c r="L3384" s="139" t="s">
        <v>1223</v>
      </c>
      <c r="M3384" s="139" t="s">
        <v>1223</v>
      </c>
      <c r="N3384" s="139" t="s">
        <v>1223</v>
      </c>
      <c r="O3384" s="139" t="s">
        <v>1223</v>
      </c>
      <c r="P3384" s="139" t="s">
        <v>1223</v>
      </c>
      <c r="Q3384" s="141" t="s">
        <v>1247</v>
      </c>
    </row>
    <row r="3385" spans="1:17">
      <c r="A3385" s="139" t="s">
        <v>1223</v>
      </c>
      <c r="B3385" s="139" t="s">
        <v>1223</v>
      </c>
      <c r="C3385" s="139" t="s">
        <v>1223</v>
      </c>
      <c r="D3385" s="139" t="s">
        <v>1223</v>
      </c>
      <c r="E3385" s="139" t="s">
        <v>1223</v>
      </c>
      <c r="F3385" s="139" t="s">
        <v>1223</v>
      </c>
      <c r="G3385" s="139" t="s">
        <v>1223</v>
      </c>
      <c r="H3385" s="139" t="s">
        <v>1223</v>
      </c>
      <c r="I3385" s="139" t="s">
        <v>1223</v>
      </c>
      <c r="J3385" s="139" t="s">
        <v>1223</v>
      </c>
      <c r="K3385" s="139" t="s">
        <v>1223</v>
      </c>
      <c r="L3385" s="139" t="s">
        <v>1223</v>
      </c>
      <c r="M3385" s="139" t="s">
        <v>1223</v>
      </c>
      <c r="N3385" s="139" t="s">
        <v>1223</v>
      </c>
      <c r="O3385" s="139" t="s">
        <v>1223</v>
      </c>
      <c r="P3385" s="139" t="s">
        <v>1223</v>
      </c>
      <c r="Q3385" s="141" t="s">
        <v>1248</v>
      </c>
    </row>
    <row r="3386" spans="1:17">
      <c r="A3386" s="139" t="s">
        <v>1223</v>
      </c>
      <c r="B3386" s="139" t="s">
        <v>1223</v>
      </c>
      <c r="C3386" s="139" t="s">
        <v>1223</v>
      </c>
      <c r="D3386" s="139" t="s">
        <v>1223</v>
      </c>
      <c r="E3386" s="139" t="s">
        <v>1223</v>
      </c>
      <c r="F3386" s="139" t="s">
        <v>1223</v>
      </c>
      <c r="G3386" s="139" t="s">
        <v>1223</v>
      </c>
      <c r="H3386" s="139" t="s">
        <v>1223</v>
      </c>
      <c r="I3386" s="139" t="s">
        <v>1223</v>
      </c>
      <c r="J3386" s="139" t="s">
        <v>1223</v>
      </c>
      <c r="K3386" s="139" t="s">
        <v>1223</v>
      </c>
      <c r="L3386" s="139" t="s">
        <v>1223</v>
      </c>
      <c r="M3386" s="139" t="s">
        <v>1223</v>
      </c>
      <c r="N3386" s="139" t="s">
        <v>1223</v>
      </c>
      <c r="O3386" s="139" t="s">
        <v>1223</v>
      </c>
      <c r="P3386" s="139" t="s">
        <v>1223</v>
      </c>
      <c r="Q3386" s="141" t="s">
        <v>1249</v>
      </c>
    </row>
    <row r="3387" spans="1:17">
      <c r="A3387" s="139" t="s">
        <v>1223</v>
      </c>
      <c r="B3387" s="139" t="s">
        <v>1223</v>
      </c>
      <c r="C3387" s="139" t="s">
        <v>1223</v>
      </c>
      <c r="D3387" s="139" t="s">
        <v>1223</v>
      </c>
      <c r="E3387" s="139" t="s">
        <v>1223</v>
      </c>
      <c r="F3387" s="139" t="s">
        <v>1223</v>
      </c>
      <c r="G3387" s="139" t="s">
        <v>1223</v>
      </c>
      <c r="H3387" s="139" t="s">
        <v>1223</v>
      </c>
      <c r="I3387" s="139" t="s">
        <v>1223</v>
      </c>
      <c r="J3387" s="139" t="s">
        <v>1223</v>
      </c>
      <c r="K3387" s="139" t="s">
        <v>1223</v>
      </c>
      <c r="L3387" s="139" t="s">
        <v>1223</v>
      </c>
      <c r="M3387" s="139" t="s">
        <v>1223</v>
      </c>
      <c r="N3387" s="139" t="s">
        <v>1223</v>
      </c>
      <c r="O3387" s="139" t="s">
        <v>1223</v>
      </c>
      <c r="P3387" s="139" t="s">
        <v>1223</v>
      </c>
      <c r="Q3387" s="141" t="s">
        <v>1250</v>
      </c>
    </row>
    <row r="3388" spans="1:17">
      <c r="A3388" s="139" t="s">
        <v>1223</v>
      </c>
      <c r="B3388" s="139" t="s">
        <v>1223</v>
      </c>
      <c r="C3388" s="139" t="s">
        <v>1223</v>
      </c>
      <c r="D3388" s="139" t="s">
        <v>1223</v>
      </c>
      <c r="E3388" s="139" t="s">
        <v>1223</v>
      </c>
      <c r="F3388" s="139" t="s">
        <v>1223</v>
      </c>
      <c r="G3388" s="139" t="s">
        <v>1223</v>
      </c>
      <c r="H3388" s="139" t="s">
        <v>1223</v>
      </c>
      <c r="I3388" s="139" t="s">
        <v>1223</v>
      </c>
      <c r="J3388" s="139" t="s">
        <v>1223</v>
      </c>
      <c r="K3388" s="139" t="s">
        <v>1223</v>
      </c>
      <c r="L3388" s="139" t="s">
        <v>1223</v>
      </c>
      <c r="M3388" s="139" t="s">
        <v>1223</v>
      </c>
      <c r="N3388" s="139" t="s">
        <v>1223</v>
      </c>
      <c r="O3388" s="139" t="s">
        <v>1223</v>
      </c>
      <c r="P3388" s="139" t="s">
        <v>1223</v>
      </c>
      <c r="Q3388" s="141" t="s">
        <v>1251</v>
      </c>
    </row>
    <row r="3389" spans="1:17">
      <c r="A3389" s="139" t="s">
        <v>1223</v>
      </c>
      <c r="B3389" s="139" t="s">
        <v>1223</v>
      </c>
      <c r="C3389" s="139" t="s">
        <v>1223</v>
      </c>
      <c r="D3389" s="139" t="s">
        <v>1223</v>
      </c>
      <c r="E3389" s="139" t="s">
        <v>1223</v>
      </c>
      <c r="F3389" s="139" t="s">
        <v>1223</v>
      </c>
      <c r="G3389" s="139" t="s">
        <v>1223</v>
      </c>
      <c r="H3389" s="139" t="s">
        <v>1223</v>
      </c>
      <c r="I3389" s="139" t="s">
        <v>1223</v>
      </c>
      <c r="J3389" s="139" t="s">
        <v>1223</v>
      </c>
      <c r="K3389" s="139" t="s">
        <v>1223</v>
      </c>
      <c r="L3389" s="139" t="s">
        <v>1223</v>
      </c>
      <c r="M3389" s="139" t="s">
        <v>1223</v>
      </c>
      <c r="N3389" s="139" t="s">
        <v>1223</v>
      </c>
      <c r="O3389" s="139" t="s">
        <v>1223</v>
      </c>
      <c r="P3389" s="139" t="s">
        <v>1223</v>
      </c>
      <c r="Q3389" s="141" t="s">
        <v>1252</v>
      </c>
    </row>
    <row r="3390" spans="1:17">
      <c r="A3390" s="139" t="s">
        <v>1223</v>
      </c>
      <c r="B3390" s="139" t="s">
        <v>1223</v>
      </c>
      <c r="C3390" s="139" t="s">
        <v>1223</v>
      </c>
      <c r="D3390" s="139" t="s">
        <v>1223</v>
      </c>
      <c r="E3390" s="139" t="s">
        <v>1223</v>
      </c>
      <c r="F3390" s="139" t="s">
        <v>1223</v>
      </c>
      <c r="G3390" s="139" t="s">
        <v>1223</v>
      </c>
      <c r="H3390" s="139" t="s">
        <v>1223</v>
      </c>
      <c r="I3390" s="139" t="s">
        <v>1223</v>
      </c>
      <c r="J3390" s="139" t="s">
        <v>1223</v>
      </c>
      <c r="K3390" s="139" t="s">
        <v>1223</v>
      </c>
      <c r="L3390" s="139" t="s">
        <v>1223</v>
      </c>
      <c r="M3390" s="139" t="s">
        <v>1223</v>
      </c>
      <c r="N3390" s="139" t="s">
        <v>1223</v>
      </c>
      <c r="O3390" s="139" t="s">
        <v>1223</v>
      </c>
      <c r="P3390" s="139" t="s">
        <v>1223</v>
      </c>
      <c r="Q3390" s="141" t="s">
        <v>1253</v>
      </c>
    </row>
    <row r="3391" spans="1:17">
      <c r="A3391" s="139" t="s">
        <v>1223</v>
      </c>
      <c r="B3391" s="139" t="s">
        <v>1223</v>
      </c>
      <c r="C3391" s="139" t="s">
        <v>1223</v>
      </c>
      <c r="D3391" s="139" t="s">
        <v>1223</v>
      </c>
      <c r="E3391" s="139" t="s">
        <v>1223</v>
      </c>
      <c r="F3391" s="139" t="s">
        <v>1223</v>
      </c>
      <c r="G3391" s="139" t="s">
        <v>1223</v>
      </c>
      <c r="H3391" s="139" t="s">
        <v>1223</v>
      </c>
      <c r="I3391" s="139" t="s">
        <v>1223</v>
      </c>
      <c r="J3391" s="139" t="s">
        <v>1223</v>
      </c>
      <c r="K3391" s="139" t="s">
        <v>1223</v>
      </c>
      <c r="L3391" s="139" t="s">
        <v>1223</v>
      </c>
      <c r="M3391" s="139" t="s">
        <v>1223</v>
      </c>
      <c r="N3391" s="139" t="s">
        <v>1223</v>
      </c>
      <c r="O3391" s="139" t="s">
        <v>1223</v>
      </c>
      <c r="P3391" s="139" t="s">
        <v>1223</v>
      </c>
      <c r="Q3391" s="141" t="s">
        <v>1254</v>
      </c>
    </row>
    <row r="3392" spans="1:17">
      <c r="A3392" s="139" t="s">
        <v>1223</v>
      </c>
      <c r="B3392" s="139" t="s">
        <v>1223</v>
      </c>
      <c r="C3392" s="139" t="s">
        <v>1223</v>
      </c>
      <c r="D3392" s="139" t="s">
        <v>1223</v>
      </c>
      <c r="E3392" s="139" t="s">
        <v>1223</v>
      </c>
      <c r="F3392" s="139" t="s">
        <v>1223</v>
      </c>
      <c r="G3392" s="139" t="s">
        <v>1223</v>
      </c>
      <c r="H3392" s="139" t="s">
        <v>1223</v>
      </c>
      <c r="I3392" s="139" t="s">
        <v>1223</v>
      </c>
      <c r="J3392" s="139" t="s">
        <v>1223</v>
      </c>
      <c r="K3392" s="139" t="s">
        <v>1223</v>
      </c>
      <c r="L3392" s="139" t="s">
        <v>1223</v>
      </c>
      <c r="M3392" s="139" t="s">
        <v>1223</v>
      </c>
      <c r="N3392" s="139" t="s">
        <v>1223</v>
      </c>
      <c r="O3392" s="139" t="s">
        <v>1223</v>
      </c>
      <c r="P3392" s="139" t="s">
        <v>1223</v>
      </c>
      <c r="Q3392" s="141" t="s">
        <v>1255</v>
      </c>
    </row>
    <row r="3393" spans="1:17">
      <c r="A3393" s="139" t="s">
        <v>1223</v>
      </c>
      <c r="B3393" s="139" t="s">
        <v>1223</v>
      </c>
      <c r="C3393" s="139" t="s">
        <v>1223</v>
      </c>
      <c r="D3393" s="139" t="s">
        <v>1223</v>
      </c>
      <c r="E3393" s="139" t="s">
        <v>1223</v>
      </c>
      <c r="F3393" s="139" t="s">
        <v>1223</v>
      </c>
      <c r="G3393" s="139" t="s">
        <v>1223</v>
      </c>
      <c r="H3393" s="139" t="s">
        <v>1223</v>
      </c>
      <c r="I3393" s="139" t="s">
        <v>1223</v>
      </c>
      <c r="J3393" s="139" t="s">
        <v>1223</v>
      </c>
      <c r="K3393" s="139" t="s">
        <v>1223</v>
      </c>
      <c r="L3393" s="139" t="s">
        <v>1223</v>
      </c>
      <c r="M3393" s="139" t="s">
        <v>1223</v>
      </c>
      <c r="N3393" s="139" t="s">
        <v>1223</v>
      </c>
      <c r="O3393" s="139" t="s">
        <v>1223</v>
      </c>
      <c r="P3393" s="139" t="s">
        <v>1223</v>
      </c>
      <c r="Q3393" s="141" t="s">
        <v>1256</v>
      </c>
    </row>
    <row r="3394" spans="1:17">
      <c r="A3394" s="139" t="s">
        <v>1223</v>
      </c>
      <c r="B3394" s="139" t="s">
        <v>1223</v>
      </c>
      <c r="C3394" s="139" t="s">
        <v>1223</v>
      </c>
      <c r="D3394" s="139" t="s">
        <v>1223</v>
      </c>
      <c r="E3394" s="139" t="s">
        <v>1223</v>
      </c>
      <c r="F3394" s="139" t="s">
        <v>1223</v>
      </c>
      <c r="G3394" s="139" t="s">
        <v>1223</v>
      </c>
      <c r="H3394" s="139" t="s">
        <v>1223</v>
      </c>
      <c r="I3394" s="139" t="s">
        <v>1223</v>
      </c>
      <c r="J3394" s="139" t="s">
        <v>1223</v>
      </c>
      <c r="K3394" s="139" t="s">
        <v>1223</v>
      </c>
      <c r="L3394" s="139" t="s">
        <v>1223</v>
      </c>
      <c r="M3394" s="139" t="s">
        <v>1223</v>
      </c>
      <c r="N3394" s="139" t="s">
        <v>1223</v>
      </c>
      <c r="O3394" s="139" t="s">
        <v>1223</v>
      </c>
      <c r="P3394" s="139" t="s">
        <v>1223</v>
      </c>
      <c r="Q3394" s="141" t="s">
        <v>1257</v>
      </c>
    </row>
    <row r="3395" spans="1:17">
      <c r="A3395" s="139" t="s">
        <v>1223</v>
      </c>
      <c r="B3395" s="139" t="s">
        <v>1223</v>
      </c>
      <c r="C3395" s="139" t="s">
        <v>1223</v>
      </c>
      <c r="D3395" s="139" t="s">
        <v>1223</v>
      </c>
      <c r="E3395" s="139" t="s">
        <v>1223</v>
      </c>
      <c r="F3395" s="139" t="s">
        <v>1223</v>
      </c>
      <c r="G3395" s="139" t="s">
        <v>1223</v>
      </c>
      <c r="H3395" s="139" t="s">
        <v>1223</v>
      </c>
      <c r="I3395" s="139" t="s">
        <v>1223</v>
      </c>
      <c r="J3395" s="139" t="s">
        <v>1223</v>
      </c>
      <c r="K3395" s="139" t="s">
        <v>1223</v>
      </c>
      <c r="L3395" s="139" t="s">
        <v>1223</v>
      </c>
      <c r="M3395" s="139" t="s">
        <v>1223</v>
      </c>
      <c r="N3395" s="139" t="s">
        <v>1223</v>
      </c>
      <c r="O3395" s="139" t="s">
        <v>1223</v>
      </c>
      <c r="P3395" s="139" t="s">
        <v>1223</v>
      </c>
      <c r="Q3395" s="141" t="s">
        <v>1258</v>
      </c>
    </row>
    <row r="3396" spans="1:17">
      <c r="A3396" s="139" t="s">
        <v>1223</v>
      </c>
      <c r="B3396" s="139" t="s">
        <v>1223</v>
      </c>
      <c r="C3396" s="139" t="s">
        <v>1223</v>
      </c>
      <c r="D3396" s="139" t="s">
        <v>1223</v>
      </c>
      <c r="E3396" s="139" t="s">
        <v>1223</v>
      </c>
      <c r="F3396" s="139" t="s">
        <v>1223</v>
      </c>
      <c r="G3396" s="139" t="s">
        <v>1223</v>
      </c>
      <c r="H3396" s="139" t="s">
        <v>1223</v>
      </c>
      <c r="I3396" s="139" t="s">
        <v>1223</v>
      </c>
      <c r="J3396" s="139" t="s">
        <v>1223</v>
      </c>
      <c r="K3396" s="139" t="s">
        <v>1223</v>
      </c>
      <c r="L3396" s="139" t="s">
        <v>1223</v>
      </c>
      <c r="M3396" s="139" t="s">
        <v>1223</v>
      </c>
      <c r="N3396" s="139" t="s">
        <v>1223</v>
      </c>
      <c r="O3396" s="139" t="s">
        <v>1223</v>
      </c>
      <c r="P3396" s="139" t="s">
        <v>1223</v>
      </c>
      <c r="Q3396" s="141" t="s">
        <v>1259</v>
      </c>
    </row>
    <row r="3397" spans="1:17">
      <c r="A3397" s="139" t="s">
        <v>1223</v>
      </c>
      <c r="B3397" s="139" t="s">
        <v>1223</v>
      </c>
      <c r="C3397" s="139" t="s">
        <v>1223</v>
      </c>
      <c r="D3397" s="139" t="s">
        <v>1223</v>
      </c>
      <c r="E3397" s="139" t="s">
        <v>1223</v>
      </c>
      <c r="F3397" s="139" t="s">
        <v>1223</v>
      </c>
      <c r="G3397" s="139" t="s">
        <v>1223</v>
      </c>
      <c r="H3397" s="139" t="s">
        <v>1223</v>
      </c>
      <c r="I3397" s="139" t="s">
        <v>1223</v>
      </c>
      <c r="J3397" s="139" t="s">
        <v>1223</v>
      </c>
      <c r="K3397" s="139" t="s">
        <v>1223</v>
      </c>
      <c r="L3397" s="139" t="s">
        <v>1223</v>
      </c>
      <c r="M3397" s="139" t="s">
        <v>1223</v>
      </c>
      <c r="N3397" s="139" t="s">
        <v>1223</v>
      </c>
      <c r="O3397" s="139" t="s">
        <v>1223</v>
      </c>
      <c r="P3397" s="139" t="s">
        <v>1223</v>
      </c>
      <c r="Q3397" s="141" t="s">
        <v>1260</v>
      </c>
    </row>
    <row r="3398" spans="1:17">
      <c r="A3398" s="139" t="s">
        <v>1223</v>
      </c>
      <c r="B3398" s="139" t="s">
        <v>1223</v>
      </c>
      <c r="C3398" s="139" t="s">
        <v>1223</v>
      </c>
      <c r="D3398" s="139" t="s">
        <v>1223</v>
      </c>
      <c r="E3398" s="139" t="s">
        <v>1223</v>
      </c>
      <c r="F3398" s="139" t="s">
        <v>1223</v>
      </c>
      <c r="G3398" s="139" t="s">
        <v>1223</v>
      </c>
      <c r="H3398" s="139" t="s">
        <v>1223</v>
      </c>
      <c r="I3398" s="139" t="s">
        <v>1223</v>
      </c>
      <c r="J3398" s="139" t="s">
        <v>1223</v>
      </c>
      <c r="K3398" s="139" t="s">
        <v>1223</v>
      </c>
      <c r="L3398" s="139" t="s">
        <v>1223</v>
      </c>
      <c r="M3398" s="139" t="s">
        <v>1223</v>
      </c>
      <c r="N3398" s="139" t="s">
        <v>1223</v>
      </c>
      <c r="O3398" s="139" t="s">
        <v>1223</v>
      </c>
      <c r="P3398" s="139" t="s">
        <v>1223</v>
      </c>
      <c r="Q3398" s="141" t="s">
        <v>1261</v>
      </c>
    </row>
    <row r="3399" spans="1:17">
      <c r="A3399" s="139" t="s">
        <v>1223</v>
      </c>
      <c r="B3399" s="139" t="s">
        <v>1223</v>
      </c>
      <c r="C3399" s="139" t="s">
        <v>1223</v>
      </c>
      <c r="D3399" s="139" t="s">
        <v>1223</v>
      </c>
      <c r="E3399" s="139" t="s">
        <v>1223</v>
      </c>
      <c r="F3399" s="139" t="s">
        <v>1223</v>
      </c>
      <c r="G3399" s="139" t="s">
        <v>1223</v>
      </c>
      <c r="H3399" s="139" t="s">
        <v>1223</v>
      </c>
      <c r="I3399" s="139" t="s">
        <v>1223</v>
      </c>
      <c r="J3399" s="139" t="s">
        <v>1223</v>
      </c>
      <c r="K3399" s="139" t="s">
        <v>1223</v>
      </c>
      <c r="L3399" s="139" t="s">
        <v>1223</v>
      </c>
      <c r="M3399" s="139" t="s">
        <v>1223</v>
      </c>
      <c r="N3399" s="139" t="s">
        <v>1223</v>
      </c>
      <c r="O3399" s="139" t="s">
        <v>1223</v>
      </c>
      <c r="P3399" s="139" t="s">
        <v>1223</v>
      </c>
      <c r="Q3399" s="141" t="s">
        <v>1262</v>
      </c>
    </row>
    <row r="3400" spans="1:17">
      <c r="A3400" s="139" t="s">
        <v>1223</v>
      </c>
      <c r="B3400" s="139" t="s">
        <v>1223</v>
      </c>
      <c r="C3400" s="139" t="s">
        <v>1223</v>
      </c>
      <c r="D3400" s="139" t="s">
        <v>1223</v>
      </c>
      <c r="E3400" s="139" t="s">
        <v>1223</v>
      </c>
      <c r="F3400" s="139" t="s">
        <v>1223</v>
      </c>
      <c r="G3400" s="139" t="s">
        <v>1223</v>
      </c>
      <c r="H3400" s="139" t="s">
        <v>1223</v>
      </c>
      <c r="I3400" s="139" t="s">
        <v>1223</v>
      </c>
      <c r="J3400" s="139" t="s">
        <v>1223</v>
      </c>
      <c r="K3400" s="139" t="s">
        <v>1223</v>
      </c>
      <c r="L3400" s="139" t="s">
        <v>1223</v>
      </c>
      <c r="M3400" s="139" t="s">
        <v>1223</v>
      </c>
      <c r="N3400" s="139" t="s">
        <v>1223</v>
      </c>
      <c r="O3400" s="139" t="s">
        <v>1223</v>
      </c>
      <c r="P3400" s="139" t="s">
        <v>1223</v>
      </c>
      <c r="Q3400" s="141" t="s">
        <v>1263</v>
      </c>
    </row>
    <row r="3401" spans="1:17">
      <c r="A3401" s="139" t="s">
        <v>1223</v>
      </c>
      <c r="B3401" s="139" t="s">
        <v>1223</v>
      </c>
      <c r="C3401" s="139" t="s">
        <v>1223</v>
      </c>
      <c r="D3401" s="139" t="s">
        <v>1223</v>
      </c>
      <c r="E3401" s="139" t="s">
        <v>1223</v>
      </c>
      <c r="F3401" s="139" t="s">
        <v>1223</v>
      </c>
      <c r="G3401" s="139" t="s">
        <v>1223</v>
      </c>
      <c r="H3401" s="139" t="s">
        <v>1223</v>
      </c>
      <c r="I3401" s="139" t="s">
        <v>1223</v>
      </c>
      <c r="J3401" s="139" t="s">
        <v>1223</v>
      </c>
      <c r="K3401" s="139" t="s">
        <v>1223</v>
      </c>
      <c r="L3401" s="139" t="s">
        <v>1223</v>
      </c>
      <c r="M3401" s="139" t="s">
        <v>1223</v>
      </c>
      <c r="N3401" s="139" t="s">
        <v>1223</v>
      </c>
      <c r="O3401" s="139" t="s">
        <v>1223</v>
      </c>
      <c r="P3401" s="139" t="s">
        <v>1223</v>
      </c>
      <c r="Q3401" s="141" t="s">
        <v>1264</v>
      </c>
    </row>
    <row r="3402" spans="1:17">
      <c r="A3402" s="139" t="s">
        <v>1223</v>
      </c>
      <c r="B3402" s="139" t="s">
        <v>1223</v>
      </c>
      <c r="C3402" s="139" t="s">
        <v>1223</v>
      </c>
      <c r="D3402" s="139" t="s">
        <v>1223</v>
      </c>
      <c r="E3402" s="139" t="s">
        <v>1223</v>
      </c>
      <c r="F3402" s="139" t="s">
        <v>1223</v>
      </c>
      <c r="G3402" s="139" t="s">
        <v>1223</v>
      </c>
      <c r="H3402" s="139" t="s">
        <v>1223</v>
      </c>
      <c r="I3402" s="139" t="s">
        <v>1223</v>
      </c>
      <c r="J3402" s="139" t="s">
        <v>1223</v>
      </c>
      <c r="K3402" s="139" t="s">
        <v>1223</v>
      </c>
      <c r="L3402" s="139" t="s">
        <v>1223</v>
      </c>
      <c r="M3402" s="139" t="s">
        <v>1223</v>
      </c>
      <c r="N3402" s="139" t="s">
        <v>1223</v>
      </c>
      <c r="O3402" s="139" t="s">
        <v>1223</v>
      </c>
      <c r="P3402" s="139" t="s">
        <v>1223</v>
      </c>
      <c r="Q3402" s="141" t="s">
        <v>1265</v>
      </c>
    </row>
    <row r="3403" spans="1:17">
      <c r="A3403" s="139" t="s">
        <v>1223</v>
      </c>
      <c r="B3403" s="139" t="s">
        <v>1223</v>
      </c>
      <c r="C3403" s="139" t="s">
        <v>1223</v>
      </c>
      <c r="D3403" s="139" t="s">
        <v>1223</v>
      </c>
      <c r="E3403" s="139" t="s">
        <v>1223</v>
      </c>
      <c r="F3403" s="139" t="s">
        <v>1223</v>
      </c>
      <c r="G3403" s="139" t="s">
        <v>1223</v>
      </c>
      <c r="H3403" s="139" t="s">
        <v>1223</v>
      </c>
      <c r="I3403" s="139" t="s">
        <v>1223</v>
      </c>
      <c r="J3403" s="139" t="s">
        <v>1223</v>
      </c>
      <c r="K3403" s="139" t="s">
        <v>1223</v>
      </c>
      <c r="L3403" s="139" t="s">
        <v>1223</v>
      </c>
      <c r="M3403" s="139" t="s">
        <v>1223</v>
      </c>
      <c r="N3403" s="139" t="s">
        <v>1223</v>
      </c>
      <c r="O3403" s="139" t="s">
        <v>1223</v>
      </c>
      <c r="P3403" s="139" t="s">
        <v>1223</v>
      </c>
      <c r="Q3403" s="141" t="s">
        <v>1266</v>
      </c>
    </row>
    <row r="3404" spans="1:17">
      <c r="A3404" s="139" t="s">
        <v>1223</v>
      </c>
      <c r="B3404" s="139" t="s">
        <v>1223</v>
      </c>
      <c r="C3404" s="139" t="s">
        <v>1223</v>
      </c>
      <c r="D3404" s="139" t="s">
        <v>1223</v>
      </c>
      <c r="E3404" s="139" t="s">
        <v>1223</v>
      </c>
      <c r="F3404" s="139" t="s">
        <v>1223</v>
      </c>
      <c r="G3404" s="139" t="s">
        <v>1223</v>
      </c>
      <c r="H3404" s="139" t="s">
        <v>1223</v>
      </c>
      <c r="I3404" s="139" t="s">
        <v>1223</v>
      </c>
      <c r="J3404" s="139" t="s">
        <v>1223</v>
      </c>
      <c r="K3404" s="139" t="s">
        <v>1223</v>
      </c>
      <c r="L3404" s="139" t="s">
        <v>1223</v>
      </c>
      <c r="M3404" s="139" t="s">
        <v>1223</v>
      </c>
      <c r="N3404" s="139" t="s">
        <v>1223</v>
      </c>
      <c r="O3404" s="139" t="s">
        <v>1223</v>
      </c>
      <c r="P3404" s="139" t="s">
        <v>1223</v>
      </c>
      <c r="Q3404" s="141" t="s">
        <v>1267</v>
      </c>
    </row>
    <row r="3405" spans="1:17">
      <c r="A3405" s="139" t="s">
        <v>1223</v>
      </c>
      <c r="B3405" s="139" t="s">
        <v>1223</v>
      </c>
      <c r="C3405" s="139" t="s">
        <v>1223</v>
      </c>
      <c r="D3405" s="139" t="s">
        <v>1223</v>
      </c>
      <c r="E3405" s="139" t="s">
        <v>1223</v>
      </c>
      <c r="F3405" s="139" t="s">
        <v>1223</v>
      </c>
      <c r="G3405" s="139" t="s">
        <v>1223</v>
      </c>
      <c r="H3405" s="139" t="s">
        <v>1223</v>
      </c>
      <c r="I3405" s="139" t="s">
        <v>1223</v>
      </c>
      <c r="J3405" s="139" t="s">
        <v>1223</v>
      </c>
      <c r="K3405" s="139" t="s">
        <v>1223</v>
      </c>
      <c r="L3405" s="139" t="s">
        <v>1223</v>
      </c>
      <c r="M3405" s="139" t="s">
        <v>1223</v>
      </c>
      <c r="N3405" s="139" t="s">
        <v>1223</v>
      </c>
      <c r="O3405" s="139" t="s">
        <v>1223</v>
      </c>
      <c r="P3405" s="139" t="s">
        <v>1223</v>
      </c>
      <c r="Q3405" s="141" t="s">
        <v>1268</v>
      </c>
    </row>
    <row r="3406" spans="1:17">
      <c r="A3406" s="139" t="s">
        <v>1223</v>
      </c>
      <c r="B3406" s="139" t="s">
        <v>1223</v>
      </c>
      <c r="C3406" s="139" t="s">
        <v>1223</v>
      </c>
      <c r="D3406" s="139" t="s">
        <v>1223</v>
      </c>
      <c r="E3406" s="139" t="s">
        <v>1223</v>
      </c>
      <c r="F3406" s="139" t="s">
        <v>1223</v>
      </c>
      <c r="G3406" s="139" t="s">
        <v>1223</v>
      </c>
      <c r="H3406" s="139" t="s">
        <v>1223</v>
      </c>
      <c r="I3406" s="139" t="s">
        <v>1223</v>
      </c>
      <c r="J3406" s="139" t="s">
        <v>1223</v>
      </c>
      <c r="K3406" s="139" t="s">
        <v>1223</v>
      </c>
      <c r="L3406" s="139" t="s">
        <v>1223</v>
      </c>
      <c r="M3406" s="139" t="s">
        <v>1223</v>
      </c>
      <c r="N3406" s="139" t="s">
        <v>1223</v>
      </c>
      <c r="O3406" s="139" t="s">
        <v>1223</v>
      </c>
      <c r="P3406" s="139" t="s">
        <v>1223</v>
      </c>
      <c r="Q3406" s="141" t="s">
        <v>1269</v>
      </c>
    </row>
    <row r="3407" spans="1:17">
      <c r="A3407" s="139" t="s">
        <v>1223</v>
      </c>
      <c r="B3407" s="139" t="s">
        <v>1223</v>
      </c>
      <c r="C3407" s="139" t="s">
        <v>1223</v>
      </c>
      <c r="D3407" s="139" t="s">
        <v>1223</v>
      </c>
      <c r="E3407" s="139" t="s">
        <v>1223</v>
      </c>
      <c r="F3407" s="139" t="s">
        <v>1223</v>
      </c>
      <c r="G3407" s="139" t="s">
        <v>1223</v>
      </c>
      <c r="H3407" s="139" t="s">
        <v>1223</v>
      </c>
      <c r="I3407" s="139" t="s">
        <v>1223</v>
      </c>
      <c r="J3407" s="139" t="s">
        <v>1223</v>
      </c>
      <c r="K3407" s="139" t="s">
        <v>1223</v>
      </c>
      <c r="L3407" s="139" t="s">
        <v>1223</v>
      </c>
      <c r="M3407" s="139" t="s">
        <v>1223</v>
      </c>
      <c r="N3407" s="139" t="s">
        <v>1223</v>
      </c>
      <c r="O3407" s="139" t="s">
        <v>1223</v>
      </c>
      <c r="P3407" s="139" t="s">
        <v>1223</v>
      </c>
      <c r="Q3407" s="141" t="s">
        <v>1270</v>
      </c>
    </row>
    <row r="3408" spans="1:17">
      <c r="A3408" s="139" t="s">
        <v>1223</v>
      </c>
      <c r="B3408" s="139" t="s">
        <v>1223</v>
      </c>
      <c r="C3408" s="139" t="s">
        <v>1223</v>
      </c>
      <c r="D3408" s="139" t="s">
        <v>1223</v>
      </c>
      <c r="E3408" s="139" t="s">
        <v>1223</v>
      </c>
      <c r="F3408" s="139" t="s">
        <v>1223</v>
      </c>
      <c r="G3408" s="139" t="s">
        <v>1223</v>
      </c>
      <c r="H3408" s="139" t="s">
        <v>1223</v>
      </c>
      <c r="I3408" s="139" t="s">
        <v>1223</v>
      </c>
      <c r="J3408" s="139" t="s">
        <v>1223</v>
      </c>
      <c r="K3408" s="139" t="s">
        <v>1223</v>
      </c>
      <c r="L3408" s="139" t="s">
        <v>1223</v>
      </c>
      <c r="M3408" s="139" t="s">
        <v>1223</v>
      </c>
      <c r="N3408" s="139" t="s">
        <v>1223</v>
      </c>
      <c r="O3408" s="139" t="s">
        <v>1223</v>
      </c>
      <c r="P3408" s="139" t="s">
        <v>1223</v>
      </c>
      <c r="Q3408" s="141" t="s">
        <v>1271</v>
      </c>
    </row>
    <row r="3409" spans="1:17">
      <c r="A3409" s="139" t="s">
        <v>1223</v>
      </c>
      <c r="B3409" s="139" t="s">
        <v>1223</v>
      </c>
      <c r="C3409" s="139" t="s">
        <v>1223</v>
      </c>
      <c r="D3409" s="139" t="s">
        <v>1223</v>
      </c>
      <c r="E3409" s="139" t="s">
        <v>1223</v>
      </c>
      <c r="F3409" s="139" t="s">
        <v>1223</v>
      </c>
      <c r="G3409" s="139" t="s">
        <v>1223</v>
      </c>
      <c r="H3409" s="139" t="s">
        <v>1223</v>
      </c>
      <c r="I3409" s="139" t="s">
        <v>1223</v>
      </c>
      <c r="J3409" s="139" t="s">
        <v>1223</v>
      </c>
      <c r="K3409" s="139" t="s">
        <v>1223</v>
      </c>
      <c r="L3409" s="139" t="s">
        <v>1223</v>
      </c>
      <c r="M3409" s="139" t="s">
        <v>1223</v>
      </c>
      <c r="N3409" s="139" t="s">
        <v>1223</v>
      </c>
      <c r="O3409" s="139" t="s">
        <v>1223</v>
      </c>
      <c r="P3409" s="139" t="s">
        <v>1223</v>
      </c>
      <c r="Q3409" s="141" t="s">
        <v>1272</v>
      </c>
    </row>
    <row r="3410" spans="1:17">
      <c r="A3410" s="139" t="s">
        <v>1223</v>
      </c>
      <c r="B3410" s="139" t="s">
        <v>1223</v>
      </c>
      <c r="C3410" s="139" t="s">
        <v>1223</v>
      </c>
      <c r="D3410" s="139" t="s">
        <v>1223</v>
      </c>
      <c r="E3410" s="139" t="s">
        <v>1223</v>
      </c>
      <c r="F3410" s="139" t="s">
        <v>1223</v>
      </c>
      <c r="G3410" s="139" t="s">
        <v>1223</v>
      </c>
      <c r="H3410" s="139" t="s">
        <v>1223</v>
      </c>
      <c r="I3410" s="139" t="s">
        <v>1223</v>
      </c>
      <c r="J3410" s="139" t="s">
        <v>1223</v>
      </c>
      <c r="K3410" s="139" t="s">
        <v>1223</v>
      </c>
      <c r="L3410" s="139" t="s">
        <v>1223</v>
      </c>
      <c r="M3410" s="139" t="s">
        <v>1223</v>
      </c>
      <c r="N3410" s="139" t="s">
        <v>1223</v>
      </c>
      <c r="O3410" s="139" t="s">
        <v>1223</v>
      </c>
      <c r="P3410" s="139" t="s">
        <v>1223</v>
      </c>
      <c r="Q3410" s="141" t="s">
        <v>1273</v>
      </c>
    </row>
    <row r="3411" spans="1:17">
      <c r="A3411" s="139" t="s">
        <v>1223</v>
      </c>
      <c r="B3411" s="139" t="s">
        <v>1223</v>
      </c>
      <c r="C3411" s="139" t="s">
        <v>1223</v>
      </c>
      <c r="D3411" s="139" t="s">
        <v>1223</v>
      </c>
      <c r="E3411" s="139" t="s">
        <v>1223</v>
      </c>
      <c r="F3411" s="139" t="s">
        <v>1223</v>
      </c>
      <c r="G3411" s="139" t="s">
        <v>1223</v>
      </c>
      <c r="H3411" s="139" t="s">
        <v>1223</v>
      </c>
      <c r="I3411" s="139" t="s">
        <v>1223</v>
      </c>
      <c r="J3411" s="139" t="s">
        <v>1223</v>
      </c>
      <c r="K3411" s="139" t="s">
        <v>1223</v>
      </c>
      <c r="L3411" s="139" t="s">
        <v>1223</v>
      </c>
      <c r="M3411" s="139" t="s">
        <v>1223</v>
      </c>
      <c r="N3411" s="139" t="s">
        <v>1223</v>
      </c>
      <c r="O3411" s="139" t="s">
        <v>1223</v>
      </c>
      <c r="P3411" s="139" t="s">
        <v>1223</v>
      </c>
      <c r="Q3411" s="141" t="s">
        <v>1274</v>
      </c>
    </row>
    <row r="3412" spans="1:17">
      <c r="A3412" s="139" t="s">
        <v>1223</v>
      </c>
      <c r="B3412" s="139" t="s">
        <v>1223</v>
      </c>
      <c r="C3412" s="139" t="s">
        <v>1223</v>
      </c>
      <c r="D3412" s="139" t="s">
        <v>1223</v>
      </c>
      <c r="E3412" s="139" t="s">
        <v>1223</v>
      </c>
      <c r="F3412" s="139" t="s">
        <v>1223</v>
      </c>
      <c r="G3412" s="139" t="s">
        <v>1223</v>
      </c>
      <c r="H3412" s="139" t="s">
        <v>1223</v>
      </c>
      <c r="I3412" s="139" t="s">
        <v>1223</v>
      </c>
      <c r="J3412" s="139" t="s">
        <v>1223</v>
      </c>
      <c r="K3412" s="139" t="s">
        <v>1223</v>
      </c>
      <c r="L3412" s="139" t="s">
        <v>1223</v>
      </c>
      <c r="M3412" s="139" t="s">
        <v>1223</v>
      </c>
      <c r="N3412" s="139" t="s">
        <v>1223</v>
      </c>
      <c r="O3412" s="139" t="s">
        <v>1223</v>
      </c>
      <c r="P3412" s="139" t="s">
        <v>1223</v>
      </c>
      <c r="Q3412" s="141" t="s">
        <v>1275</v>
      </c>
    </row>
    <row r="3413" spans="1:17">
      <c r="A3413" s="139" t="s">
        <v>1223</v>
      </c>
      <c r="B3413" s="139" t="s">
        <v>1223</v>
      </c>
      <c r="C3413" s="139" t="s">
        <v>1223</v>
      </c>
      <c r="D3413" s="139" t="s">
        <v>1223</v>
      </c>
      <c r="E3413" s="139" t="s">
        <v>1223</v>
      </c>
      <c r="F3413" s="139" t="s">
        <v>1223</v>
      </c>
      <c r="G3413" s="139" t="s">
        <v>1223</v>
      </c>
      <c r="H3413" s="139" t="s">
        <v>1223</v>
      </c>
      <c r="I3413" s="139" t="s">
        <v>1223</v>
      </c>
      <c r="J3413" s="139" t="s">
        <v>1223</v>
      </c>
      <c r="K3413" s="139" t="s">
        <v>1223</v>
      </c>
      <c r="L3413" s="139" t="s">
        <v>1223</v>
      </c>
      <c r="M3413" s="139" t="s">
        <v>1223</v>
      </c>
      <c r="N3413" s="139" t="s">
        <v>1223</v>
      </c>
      <c r="O3413" s="139" t="s">
        <v>1223</v>
      </c>
      <c r="P3413" s="139" t="s">
        <v>1223</v>
      </c>
      <c r="Q3413" s="141" t="s">
        <v>1276</v>
      </c>
    </row>
    <row r="3414" spans="1:17">
      <c r="A3414" s="139" t="s">
        <v>1223</v>
      </c>
      <c r="B3414" s="139" t="s">
        <v>1223</v>
      </c>
      <c r="C3414" s="139" t="s">
        <v>1223</v>
      </c>
      <c r="D3414" s="139" t="s">
        <v>1223</v>
      </c>
      <c r="E3414" s="139" t="s">
        <v>1223</v>
      </c>
      <c r="F3414" s="139" t="s">
        <v>1223</v>
      </c>
      <c r="G3414" s="139" t="s">
        <v>1223</v>
      </c>
      <c r="H3414" s="139" t="s">
        <v>1223</v>
      </c>
      <c r="I3414" s="139" t="s">
        <v>1223</v>
      </c>
      <c r="J3414" s="139" t="s">
        <v>1223</v>
      </c>
      <c r="K3414" s="139" t="s">
        <v>1223</v>
      </c>
      <c r="L3414" s="139" t="s">
        <v>1223</v>
      </c>
      <c r="M3414" s="139" t="s">
        <v>1223</v>
      </c>
      <c r="N3414" s="139" t="s">
        <v>1223</v>
      </c>
      <c r="O3414" s="139" t="s">
        <v>1223</v>
      </c>
      <c r="P3414" s="139" t="s">
        <v>1223</v>
      </c>
      <c r="Q3414" s="141" t="s">
        <v>1277</v>
      </c>
    </row>
    <row r="3415" spans="1:17">
      <c r="A3415" s="139" t="s">
        <v>1223</v>
      </c>
      <c r="B3415" s="139" t="s">
        <v>1223</v>
      </c>
      <c r="C3415" s="139" t="s">
        <v>1223</v>
      </c>
      <c r="D3415" s="139" t="s">
        <v>1223</v>
      </c>
      <c r="E3415" s="139" t="s">
        <v>1223</v>
      </c>
      <c r="F3415" s="139" t="s">
        <v>1223</v>
      </c>
      <c r="G3415" s="139" t="s">
        <v>1223</v>
      </c>
      <c r="H3415" s="139" t="s">
        <v>1223</v>
      </c>
      <c r="I3415" s="139" t="s">
        <v>1223</v>
      </c>
      <c r="J3415" s="139" t="s">
        <v>1223</v>
      </c>
      <c r="K3415" s="139" t="s">
        <v>1223</v>
      </c>
      <c r="L3415" s="139" t="s">
        <v>1223</v>
      </c>
      <c r="M3415" s="139" t="s">
        <v>1223</v>
      </c>
      <c r="N3415" s="139" t="s">
        <v>1223</v>
      </c>
      <c r="O3415" s="139" t="s">
        <v>1223</v>
      </c>
      <c r="P3415" s="139" t="s">
        <v>1223</v>
      </c>
      <c r="Q3415" s="141" t="s">
        <v>1278</v>
      </c>
    </row>
    <row r="3416" spans="1:17">
      <c r="A3416" s="139" t="s">
        <v>1223</v>
      </c>
      <c r="B3416" s="139" t="s">
        <v>1223</v>
      </c>
      <c r="C3416" s="139" t="s">
        <v>1223</v>
      </c>
      <c r="D3416" s="139" t="s">
        <v>1223</v>
      </c>
      <c r="E3416" s="139" t="s">
        <v>1223</v>
      </c>
      <c r="F3416" s="139" t="s">
        <v>1223</v>
      </c>
      <c r="G3416" s="139" t="s">
        <v>1223</v>
      </c>
      <c r="H3416" s="139" t="s">
        <v>1223</v>
      </c>
      <c r="I3416" s="139" t="s">
        <v>1223</v>
      </c>
      <c r="J3416" s="139" t="s">
        <v>1223</v>
      </c>
      <c r="K3416" s="139" t="s">
        <v>1223</v>
      </c>
      <c r="L3416" s="139" t="s">
        <v>1223</v>
      </c>
      <c r="M3416" s="139" t="s">
        <v>1223</v>
      </c>
      <c r="N3416" s="139" t="s">
        <v>1223</v>
      </c>
      <c r="O3416" s="139" t="s">
        <v>1223</v>
      </c>
      <c r="P3416" s="139" t="s">
        <v>1223</v>
      </c>
      <c r="Q3416" s="141" t="s">
        <v>1279</v>
      </c>
    </row>
    <row r="3417" spans="1:17">
      <c r="A3417" s="139" t="s">
        <v>1223</v>
      </c>
      <c r="B3417" s="139" t="s">
        <v>1223</v>
      </c>
      <c r="C3417" s="139" t="s">
        <v>1223</v>
      </c>
      <c r="D3417" s="139" t="s">
        <v>1223</v>
      </c>
      <c r="E3417" s="139" t="s">
        <v>1223</v>
      </c>
      <c r="F3417" s="139" t="s">
        <v>1223</v>
      </c>
      <c r="G3417" s="139" t="s">
        <v>1223</v>
      </c>
      <c r="H3417" s="139" t="s">
        <v>1223</v>
      </c>
      <c r="I3417" s="139" t="s">
        <v>1223</v>
      </c>
      <c r="J3417" s="139" t="s">
        <v>1223</v>
      </c>
      <c r="K3417" s="139" t="s">
        <v>1223</v>
      </c>
      <c r="L3417" s="139" t="s">
        <v>1223</v>
      </c>
      <c r="M3417" s="139" t="s">
        <v>1223</v>
      </c>
      <c r="N3417" s="139" t="s">
        <v>1223</v>
      </c>
      <c r="O3417" s="139" t="s">
        <v>1223</v>
      </c>
      <c r="P3417" s="139" t="s">
        <v>1223</v>
      </c>
      <c r="Q3417" s="141" t="s">
        <v>1280</v>
      </c>
    </row>
    <row r="3418" spans="1:17">
      <c r="A3418" s="139" t="s">
        <v>1223</v>
      </c>
      <c r="B3418" s="139" t="s">
        <v>1223</v>
      </c>
      <c r="C3418" s="139" t="s">
        <v>1223</v>
      </c>
      <c r="D3418" s="139" t="s">
        <v>1223</v>
      </c>
      <c r="E3418" s="139" t="s">
        <v>1223</v>
      </c>
      <c r="F3418" s="139" t="s">
        <v>1223</v>
      </c>
      <c r="G3418" s="139" t="s">
        <v>1223</v>
      </c>
      <c r="H3418" s="139" t="s">
        <v>1223</v>
      </c>
      <c r="I3418" s="139" t="s">
        <v>1223</v>
      </c>
      <c r="J3418" s="139" t="s">
        <v>1223</v>
      </c>
      <c r="K3418" s="139" t="s">
        <v>1223</v>
      </c>
      <c r="L3418" s="139" t="s">
        <v>1223</v>
      </c>
      <c r="M3418" s="139" t="s">
        <v>1223</v>
      </c>
      <c r="N3418" s="139" t="s">
        <v>1223</v>
      </c>
      <c r="O3418" s="139" t="s">
        <v>1223</v>
      </c>
      <c r="P3418" s="139" t="s">
        <v>1223</v>
      </c>
      <c r="Q3418" s="141" t="s">
        <v>1281</v>
      </c>
    </row>
    <row r="3419" spans="1:17">
      <c r="A3419" s="139" t="s">
        <v>1223</v>
      </c>
      <c r="B3419" s="139" t="s">
        <v>1223</v>
      </c>
      <c r="C3419" s="139" t="s">
        <v>1223</v>
      </c>
      <c r="D3419" s="139" t="s">
        <v>1223</v>
      </c>
      <c r="E3419" s="139" t="s">
        <v>1223</v>
      </c>
      <c r="F3419" s="139" t="s">
        <v>1223</v>
      </c>
      <c r="G3419" s="139" t="s">
        <v>1223</v>
      </c>
      <c r="H3419" s="139" t="s">
        <v>1223</v>
      </c>
      <c r="I3419" s="139" t="s">
        <v>1223</v>
      </c>
      <c r="J3419" s="139" t="s">
        <v>1223</v>
      </c>
      <c r="K3419" s="139" t="s">
        <v>1223</v>
      </c>
      <c r="L3419" s="139" t="s">
        <v>1223</v>
      </c>
      <c r="M3419" s="139" t="s">
        <v>1223</v>
      </c>
      <c r="N3419" s="139" t="s">
        <v>1223</v>
      </c>
      <c r="O3419" s="139" t="s">
        <v>1223</v>
      </c>
      <c r="P3419" s="139" t="s">
        <v>1223</v>
      </c>
      <c r="Q3419" s="141" t="s">
        <v>1282</v>
      </c>
    </row>
    <row r="3420" spans="1:17">
      <c r="A3420" s="139" t="s">
        <v>1223</v>
      </c>
      <c r="B3420" s="139" t="s">
        <v>1223</v>
      </c>
      <c r="C3420" s="139" t="s">
        <v>1223</v>
      </c>
      <c r="D3420" s="139" t="s">
        <v>1223</v>
      </c>
      <c r="E3420" s="139" t="s">
        <v>1223</v>
      </c>
      <c r="F3420" s="139" t="s">
        <v>1223</v>
      </c>
      <c r="G3420" s="139" t="s">
        <v>1223</v>
      </c>
      <c r="H3420" s="139" t="s">
        <v>1223</v>
      </c>
      <c r="I3420" s="139" t="s">
        <v>1223</v>
      </c>
      <c r="J3420" s="139" t="s">
        <v>1223</v>
      </c>
      <c r="K3420" s="139" t="s">
        <v>1223</v>
      </c>
      <c r="L3420" s="139" t="s">
        <v>1223</v>
      </c>
      <c r="M3420" s="139" t="s">
        <v>1223</v>
      </c>
      <c r="N3420" s="139" t="s">
        <v>1223</v>
      </c>
      <c r="O3420" s="139" t="s">
        <v>1223</v>
      </c>
      <c r="P3420" s="139" t="s">
        <v>1223</v>
      </c>
      <c r="Q3420" s="141" t="s">
        <v>1283</v>
      </c>
    </row>
    <row r="3421" spans="1:17">
      <c r="A3421" s="139" t="s">
        <v>1223</v>
      </c>
      <c r="B3421" s="139" t="s">
        <v>1223</v>
      </c>
      <c r="C3421" s="139" t="s">
        <v>1223</v>
      </c>
      <c r="D3421" s="139" t="s">
        <v>1223</v>
      </c>
      <c r="E3421" s="139" t="s">
        <v>1223</v>
      </c>
      <c r="F3421" s="139" t="s">
        <v>1223</v>
      </c>
      <c r="G3421" s="139" t="s">
        <v>1223</v>
      </c>
      <c r="H3421" s="139" t="s">
        <v>1223</v>
      </c>
      <c r="I3421" s="139" t="s">
        <v>1223</v>
      </c>
      <c r="J3421" s="139" t="s">
        <v>1223</v>
      </c>
      <c r="K3421" s="139" t="s">
        <v>1223</v>
      </c>
      <c r="L3421" s="139" t="s">
        <v>1223</v>
      </c>
      <c r="M3421" s="139" t="s">
        <v>1223</v>
      </c>
      <c r="N3421" s="139" t="s">
        <v>1223</v>
      </c>
      <c r="O3421" s="139" t="s">
        <v>1223</v>
      </c>
      <c r="P3421" s="139" t="s">
        <v>1223</v>
      </c>
      <c r="Q3421" s="141" t="s">
        <v>1284</v>
      </c>
    </row>
    <row r="3422" spans="1:17">
      <c r="A3422" s="139" t="s">
        <v>1223</v>
      </c>
      <c r="B3422" s="139" t="s">
        <v>1223</v>
      </c>
      <c r="C3422" s="139" t="s">
        <v>1223</v>
      </c>
      <c r="D3422" s="139" t="s">
        <v>1223</v>
      </c>
      <c r="E3422" s="139" t="s">
        <v>1223</v>
      </c>
      <c r="F3422" s="139" t="s">
        <v>1223</v>
      </c>
      <c r="G3422" s="139" t="s">
        <v>1223</v>
      </c>
      <c r="H3422" s="139" t="s">
        <v>1223</v>
      </c>
      <c r="I3422" s="139" t="s">
        <v>1223</v>
      </c>
      <c r="J3422" s="139" t="s">
        <v>1223</v>
      </c>
      <c r="K3422" s="139" t="s">
        <v>1223</v>
      </c>
      <c r="L3422" s="139" t="s">
        <v>1223</v>
      </c>
      <c r="M3422" s="139" t="s">
        <v>1223</v>
      </c>
      <c r="N3422" s="139" t="s">
        <v>1223</v>
      </c>
      <c r="O3422" s="139" t="s">
        <v>1223</v>
      </c>
      <c r="P3422" s="139" t="s">
        <v>1223</v>
      </c>
      <c r="Q3422" s="141" t="s">
        <v>1285</v>
      </c>
    </row>
    <row r="3423" spans="1:17">
      <c r="A3423" s="139" t="s">
        <v>1223</v>
      </c>
      <c r="B3423" s="139" t="s">
        <v>1223</v>
      </c>
      <c r="C3423" s="139" t="s">
        <v>1223</v>
      </c>
      <c r="D3423" s="139" t="s">
        <v>1223</v>
      </c>
      <c r="E3423" s="139" t="s">
        <v>1223</v>
      </c>
      <c r="F3423" s="139" t="s">
        <v>1223</v>
      </c>
      <c r="G3423" s="139" t="s">
        <v>1223</v>
      </c>
      <c r="H3423" s="139" t="s">
        <v>1223</v>
      </c>
      <c r="I3423" s="139"/>
      <c r="J3423" s="139"/>
      <c r="K3423" s="139"/>
      <c r="L3423" s="139"/>
      <c r="M3423" s="139"/>
      <c r="N3423" s="139"/>
      <c r="O3423" s="139"/>
      <c r="P3423" s="139"/>
      <c r="Q3423" s="141" t="s">
        <v>1286</v>
      </c>
    </row>
    <row r="3424" spans="1:17" ht="15">
      <c r="A3424" s="137" t="s">
        <v>1292</v>
      </c>
      <c r="B3424" s="137"/>
      <c r="C3424" s="137"/>
      <c r="D3424" s="137"/>
      <c r="E3424" s="137"/>
      <c r="F3424" s="137"/>
      <c r="G3424" s="137"/>
      <c r="H3424" s="137"/>
      <c r="I3424" s="137"/>
      <c r="J3424" s="137"/>
      <c r="K3424" s="137"/>
      <c r="L3424" s="137"/>
      <c r="M3424" s="137"/>
      <c r="N3424" s="137"/>
      <c r="O3424" s="137"/>
      <c r="P3424" s="137"/>
      <c r="Q3424" s="137"/>
    </row>
    <row r="3425" spans="1:17">
      <c r="A3425" s="199">
        <v>21</v>
      </c>
      <c r="B3425" s="199" t="s">
        <v>1063</v>
      </c>
      <c r="C3425" s="199" t="s">
        <v>1287</v>
      </c>
      <c r="D3425" s="199" t="s">
        <v>1287</v>
      </c>
      <c r="E3425" s="139" t="s">
        <v>1223</v>
      </c>
      <c r="F3425" s="139" t="s">
        <v>1223</v>
      </c>
      <c r="G3425" s="139" t="s">
        <v>1223</v>
      </c>
      <c r="H3425" s="140">
        <v>32</v>
      </c>
      <c r="I3425" s="140">
        <v>32</v>
      </c>
      <c r="J3425" s="140">
        <v>32</v>
      </c>
      <c r="K3425" s="140">
        <v>32</v>
      </c>
      <c r="L3425" s="140">
        <v>32</v>
      </c>
      <c r="M3425" s="139" t="s">
        <v>1223</v>
      </c>
      <c r="N3425" s="139" t="s">
        <v>1223</v>
      </c>
      <c r="O3425" s="139" t="s">
        <v>1223</v>
      </c>
      <c r="P3425" s="139" t="s">
        <v>1223</v>
      </c>
      <c r="Q3425" s="141" t="s">
        <v>1224</v>
      </c>
    </row>
    <row r="3426" spans="1:17">
      <c r="A3426" s="139" t="s">
        <v>1223</v>
      </c>
      <c r="B3426" s="139" t="s">
        <v>1223</v>
      </c>
      <c r="C3426" s="139" t="s">
        <v>1223</v>
      </c>
      <c r="D3426" s="139" t="s">
        <v>1223</v>
      </c>
      <c r="E3426" s="139" t="s">
        <v>1223</v>
      </c>
      <c r="F3426" s="139" t="s">
        <v>1223</v>
      </c>
      <c r="G3426" s="139" t="s">
        <v>1223</v>
      </c>
      <c r="H3426" s="139" t="s">
        <v>1223</v>
      </c>
      <c r="I3426" s="139" t="s">
        <v>1223</v>
      </c>
      <c r="J3426" s="139" t="s">
        <v>1223</v>
      </c>
      <c r="K3426" s="139" t="s">
        <v>1223</v>
      </c>
      <c r="L3426" s="139" t="s">
        <v>1223</v>
      </c>
      <c r="M3426" s="139" t="s">
        <v>1223</v>
      </c>
      <c r="N3426" s="139" t="s">
        <v>1223</v>
      </c>
      <c r="O3426" s="139" t="s">
        <v>1223</v>
      </c>
      <c r="P3426" s="139" t="s">
        <v>1223</v>
      </c>
      <c r="Q3426" s="141" t="s">
        <v>1225</v>
      </c>
    </row>
    <row r="3427" spans="1:17">
      <c r="A3427" s="139" t="s">
        <v>1223</v>
      </c>
      <c r="B3427" s="139" t="s">
        <v>1223</v>
      </c>
      <c r="C3427" s="139" t="s">
        <v>1223</v>
      </c>
      <c r="D3427" s="139" t="s">
        <v>1223</v>
      </c>
      <c r="E3427" s="139" t="s">
        <v>1223</v>
      </c>
      <c r="F3427" s="139" t="s">
        <v>1223</v>
      </c>
      <c r="G3427" s="139" t="s">
        <v>1223</v>
      </c>
      <c r="H3427" s="139" t="s">
        <v>1223</v>
      </c>
      <c r="I3427" s="139" t="s">
        <v>1223</v>
      </c>
      <c r="J3427" s="139" t="s">
        <v>1223</v>
      </c>
      <c r="K3427" s="139" t="s">
        <v>1223</v>
      </c>
      <c r="L3427" s="139" t="s">
        <v>1223</v>
      </c>
      <c r="M3427" s="139" t="s">
        <v>1223</v>
      </c>
      <c r="N3427" s="139" t="s">
        <v>1223</v>
      </c>
      <c r="O3427" s="139" t="s">
        <v>1223</v>
      </c>
      <c r="P3427" s="139" t="s">
        <v>1223</v>
      </c>
      <c r="Q3427" s="141" t="s">
        <v>1226</v>
      </c>
    </row>
    <row r="3428" spans="1:17">
      <c r="A3428" s="139" t="s">
        <v>1223</v>
      </c>
      <c r="B3428" s="139" t="s">
        <v>1223</v>
      </c>
      <c r="C3428" s="139" t="s">
        <v>1223</v>
      </c>
      <c r="D3428" s="139" t="s">
        <v>1223</v>
      </c>
      <c r="E3428" s="139" t="s">
        <v>1223</v>
      </c>
      <c r="F3428" s="139" t="s">
        <v>1223</v>
      </c>
      <c r="G3428" s="139" t="s">
        <v>1223</v>
      </c>
      <c r="H3428" s="139" t="s">
        <v>1223</v>
      </c>
      <c r="I3428" s="139" t="s">
        <v>1223</v>
      </c>
      <c r="J3428" s="139" t="s">
        <v>1223</v>
      </c>
      <c r="K3428" s="139" t="s">
        <v>1223</v>
      </c>
      <c r="L3428" s="139" t="s">
        <v>1223</v>
      </c>
      <c r="M3428" s="139" t="s">
        <v>1223</v>
      </c>
      <c r="N3428" s="139" t="s">
        <v>1223</v>
      </c>
      <c r="O3428" s="139" t="s">
        <v>1223</v>
      </c>
      <c r="P3428" s="139" t="s">
        <v>1223</v>
      </c>
      <c r="Q3428" s="141" t="s">
        <v>1227</v>
      </c>
    </row>
    <row r="3429" spans="1:17">
      <c r="A3429" s="139" t="s">
        <v>1223</v>
      </c>
      <c r="B3429" s="139" t="s">
        <v>1223</v>
      </c>
      <c r="C3429" s="139" t="s">
        <v>1223</v>
      </c>
      <c r="D3429" s="139" t="s">
        <v>1223</v>
      </c>
      <c r="E3429" s="139" t="s">
        <v>1223</v>
      </c>
      <c r="F3429" s="139" t="s">
        <v>1223</v>
      </c>
      <c r="G3429" s="139" t="s">
        <v>1223</v>
      </c>
      <c r="H3429" s="139" t="s">
        <v>1223</v>
      </c>
      <c r="I3429" s="139" t="s">
        <v>1223</v>
      </c>
      <c r="J3429" s="139" t="s">
        <v>1223</v>
      </c>
      <c r="K3429" s="139" t="s">
        <v>1223</v>
      </c>
      <c r="L3429" s="139" t="s">
        <v>1223</v>
      </c>
      <c r="M3429" s="139" t="s">
        <v>1223</v>
      </c>
      <c r="N3429" s="139" t="s">
        <v>1223</v>
      </c>
      <c r="O3429" s="139" t="s">
        <v>1223</v>
      </c>
      <c r="P3429" s="139" t="s">
        <v>1223</v>
      </c>
      <c r="Q3429" s="141" t="s">
        <v>1228</v>
      </c>
    </row>
    <row r="3430" spans="1:17">
      <c r="A3430" s="139" t="s">
        <v>1223</v>
      </c>
      <c r="B3430" s="139" t="s">
        <v>1223</v>
      </c>
      <c r="C3430" s="139" t="s">
        <v>1223</v>
      </c>
      <c r="D3430" s="139" t="s">
        <v>1223</v>
      </c>
      <c r="E3430" s="139" t="s">
        <v>1223</v>
      </c>
      <c r="F3430" s="139" t="s">
        <v>1223</v>
      </c>
      <c r="G3430" s="139" t="s">
        <v>1223</v>
      </c>
      <c r="H3430" s="139" t="s">
        <v>1223</v>
      </c>
      <c r="I3430" s="139" t="s">
        <v>1223</v>
      </c>
      <c r="J3430" s="139" t="s">
        <v>1223</v>
      </c>
      <c r="K3430" s="139" t="s">
        <v>1223</v>
      </c>
      <c r="L3430" s="139" t="s">
        <v>1223</v>
      </c>
      <c r="M3430" s="139" t="s">
        <v>1223</v>
      </c>
      <c r="N3430" s="139" t="s">
        <v>1223</v>
      </c>
      <c r="O3430" s="139" t="s">
        <v>1223</v>
      </c>
      <c r="P3430" s="139" t="s">
        <v>1223</v>
      </c>
      <c r="Q3430" s="141" t="s">
        <v>1229</v>
      </c>
    </row>
    <row r="3431" spans="1:17">
      <c r="A3431" s="139" t="s">
        <v>1223</v>
      </c>
      <c r="B3431" s="139" t="s">
        <v>1223</v>
      </c>
      <c r="C3431" s="139" t="s">
        <v>1223</v>
      </c>
      <c r="D3431" s="139" t="s">
        <v>1223</v>
      </c>
      <c r="E3431" s="139" t="s">
        <v>1223</v>
      </c>
      <c r="F3431" s="139" t="s">
        <v>1223</v>
      </c>
      <c r="G3431" s="139" t="s">
        <v>1223</v>
      </c>
      <c r="H3431" s="139" t="s">
        <v>1223</v>
      </c>
      <c r="I3431" s="139" t="s">
        <v>1223</v>
      </c>
      <c r="J3431" s="139" t="s">
        <v>1223</v>
      </c>
      <c r="K3431" s="139" t="s">
        <v>1223</v>
      </c>
      <c r="L3431" s="139" t="s">
        <v>1223</v>
      </c>
      <c r="M3431" s="139" t="s">
        <v>1223</v>
      </c>
      <c r="N3431" s="139" t="s">
        <v>1223</v>
      </c>
      <c r="O3431" s="139" t="s">
        <v>1223</v>
      </c>
      <c r="P3431" s="139" t="s">
        <v>1223</v>
      </c>
      <c r="Q3431" s="141" t="s">
        <v>1230</v>
      </c>
    </row>
    <row r="3432" spans="1:17">
      <c r="A3432" s="139" t="s">
        <v>1223</v>
      </c>
      <c r="B3432" s="139" t="s">
        <v>1223</v>
      </c>
      <c r="C3432" s="139" t="s">
        <v>1223</v>
      </c>
      <c r="D3432" s="139" t="s">
        <v>1223</v>
      </c>
      <c r="E3432" s="139" t="s">
        <v>1223</v>
      </c>
      <c r="F3432" s="139" t="s">
        <v>1223</v>
      </c>
      <c r="G3432" s="139" t="s">
        <v>1223</v>
      </c>
      <c r="H3432" s="139" t="s">
        <v>1223</v>
      </c>
      <c r="I3432" s="139" t="s">
        <v>1223</v>
      </c>
      <c r="J3432" s="139" t="s">
        <v>1223</v>
      </c>
      <c r="K3432" s="139" t="s">
        <v>1223</v>
      </c>
      <c r="L3432" s="139" t="s">
        <v>1223</v>
      </c>
      <c r="M3432" s="139" t="s">
        <v>1223</v>
      </c>
      <c r="N3432" s="139" t="s">
        <v>1223</v>
      </c>
      <c r="O3432" s="139" t="s">
        <v>1223</v>
      </c>
      <c r="P3432" s="139" t="s">
        <v>1223</v>
      </c>
      <c r="Q3432" s="141" t="s">
        <v>1231</v>
      </c>
    </row>
    <row r="3433" spans="1:17">
      <c r="A3433" s="139" t="s">
        <v>1223</v>
      </c>
      <c r="B3433" s="139" t="s">
        <v>1223</v>
      </c>
      <c r="C3433" s="139" t="s">
        <v>1223</v>
      </c>
      <c r="D3433" s="139" t="s">
        <v>1223</v>
      </c>
      <c r="E3433" s="139" t="s">
        <v>1223</v>
      </c>
      <c r="F3433" s="139" t="s">
        <v>1223</v>
      </c>
      <c r="G3433" s="139" t="s">
        <v>1223</v>
      </c>
      <c r="H3433" s="139" t="s">
        <v>1223</v>
      </c>
      <c r="I3433" s="139" t="s">
        <v>1223</v>
      </c>
      <c r="J3433" s="139" t="s">
        <v>1223</v>
      </c>
      <c r="K3433" s="139" t="s">
        <v>1223</v>
      </c>
      <c r="L3433" s="139" t="s">
        <v>1223</v>
      </c>
      <c r="M3433" s="139" t="s">
        <v>1223</v>
      </c>
      <c r="N3433" s="139" t="s">
        <v>1223</v>
      </c>
      <c r="O3433" s="139" t="s">
        <v>1223</v>
      </c>
      <c r="P3433" s="139" t="s">
        <v>1223</v>
      </c>
      <c r="Q3433" s="141" t="s">
        <v>1232</v>
      </c>
    </row>
    <row r="3434" spans="1:17">
      <c r="A3434" s="139" t="s">
        <v>1223</v>
      </c>
      <c r="B3434" s="139" t="s">
        <v>1223</v>
      </c>
      <c r="C3434" s="139" t="s">
        <v>1223</v>
      </c>
      <c r="D3434" s="139" t="s">
        <v>1223</v>
      </c>
      <c r="E3434" s="139" t="s">
        <v>1223</v>
      </c>
      <c r="F3434" s="139" t="s">
        <v>1223</v>
      </c>
      <c r="G3434" s="139" t="s">
        <v>1223</v>
      </c>
      <c r="H3434" s="139" t="s">
        <v>1223</v>
      </c>
      <c r="I3434" s="139" t="s">
        <v>1223</v>
      </c>
      <c r="J3434" s="139" t="s">
        <v>1223</v>
      </c>
      <c r="K3434" s="139" t="s">
        <v>1223</v>
      </c>
      <c r="L3434" s="139" t="s">
        <v>1223</v>
      </c>
      <c r="M3434" s="139" t="s">
        <v>1223</v>
      </c>
      <c r="N3434" s="139" t="s">
        <v>1223</v>
      </c>
      <c r="O3434" s="139" t="s">
        <v>1223</v>
      </c>
      <c r="P3434" s="139" t="s">
        <v>1223</v>
      </c>
      <c r="Q3434" s="141" t="s">
        <v>1233</v>
      </c>
    </row>
    <row r="3435" spans="1:17">
      <c r="A3435" s="139" t="s">
        <v>1223</v>
      </c>
      <c r="B3435" s="139" t="s">
        <v>1223</v>
      </c>
      <c r="C3435" s="139" t="s">
        <v>1223</v>
      </c>
      <c r="D3435" s="139" t="s">
        <v>1223</v>
      </c>
      <c r="E3435" s="139" t="s">
        <v>1223</v>
      </c>
      <c r="F3435" s="139" t="s">
        <v>1223</v>
      </c>
      <c r="G3435" s="139" t="s">
        <v>1223</v>
      </c>
      <c r="H3435" s="139" t="s">
        <v>1223</v>
      </c>
      <c r="I3435" s="139" t="s">
        <v>1223</v>
      </c>
      <c r="J3435" s="139" t="s">
        <v>1223</v>
      </c>
      <c r="K3435" s="139" t="s">
        <v>1223</v>
      </c>
      <c r="L3435" s="139" t="s">
        <v>1223</v>
      </c>
      <c r="M3435" s="139" t="s">
        <v>1223</v>
      </c>
      <c r="N3435" s="139" t="s">
        <v>1223</v>
      </c>
      <c r="O3435" s="139" t="s">
        <v>1223</v>
      </c>
      <c r="P3435" s="139" t="s">
        <v>1223</v>
      </c>
      <c r="Q3435" s="141" t="s">
        <v>1234</v>
      </c>
    </row>
    <row r="3436" spans="1:17">
      <c r="A3436" s="139" t="s">
        <v>1223</v>
      </c>
      <c r="B3436" s="139" t="s">
        <v>1223</v>
      </c>
      <c r="C3436" s="139" t="s">
        <v>1223</v>
      </c>
      <c r="D3436" s="139" t="s">
        <v>1223</v>
      </c>
      <c r="E3436" s="139" t="s">
        <v>1223</v>
      </c>
      <c r="F3436" s="139" t="s">
        <v>1223</v>
      </c>
      <c r="G3436" s="139" t="s">
        <v>1223</v>
      </c>
      <c r="H3436" s="139" t="s">
        <v>1223</v>
      </c>
      <c r="I3436" s="139" t="s">
        <v>1223</v>
      </c>
      <c r="J3436" s="139" t="s">
        <v>1223</v>
      </c>
      <c r="K3436" s="139" t="s">
        <v>1223</v>
      </c>
      <c r="L3436" s="139" t="s">
        <v>1223</v>
      </c>
      <c r="M3436" s="139" t="s">
        <v>1223</v>
      </c>
      <c r="N3436" s="139" t="s">
        <v>1223</v>
      </c>
      <c r="O3436" s="139" t="s">
        <v>1223</v>
      </c>
      <c r="P3436" s="139" t="s">
        <v>1223</v>
      </c>
      <c r="Q3436" s="141" t="s">
        <v>1235</v>
      </c>
    </row>
    <row r="3437" spans="1:17">
      <c r="A3437" s="139" t="s">
        <v>1223</v>
      </c>
      <c r="B3437" s="139" t="s">
        <v>1223</v>
      </c>
      <c r="C3437" s="139" t="s">
        <v>1223</v>
      </c>
      <c r="D3437" s="139" t="s">
        <v>1223</v>
      </c>
      <c r="E3437" s="139" t="s">
        <v>1223</v>
      </c>
      <c r="F3437" s="139" t="s">
        <v>1223</v>
      </c>
      <c r="G3437" s="139" t="s">
        <v>1223</v>
      </c>
      <c r="H3437" s="139" t="s">
        <v>1223</v>
      </c>
      <c r="I3437" s="140">
        <v>32</v>
      </c>
      <c r="J3437" s="140">
        <v>32</v>
      </c>
      <c r="K3437" s="140">
        <v>32</v>
      </c>
      <c r="L3437" s="140">
        <v>32</v>
      </c>
      <c r="M3437" s="140">
        <v>32</v>
      </c>
      <c r="N3437" s="140">
        <v>32</v>
      </c>
      <c r="O3437" s="140">
        <v>32</v>
      </c>
      <c r="P3437" s="140">
        <v>32</v>
      </c>
      <c r="Q3437" s="141" t="s">
        <v>1236</v>
      </c>
    </row>
    <row r="3438" spans="1:17">
      <c r="A3438" s="139" t="s">
        <v>1223</v>
      </c>
      <c r="B3438" s="139" t="s">
        <v>1223</v>
      </c>
      <c r="C3438" s="139" t="s">
        <v>1223</v>
      </c>
      <c r="D3438" s="139" t="s">
        <v>1223</v>
      </c>
      <c r="E3438" s="139" t="s">
        <v>1223</v>
      </c>
      <c r="F3438" s="139" t="s">
        <v>1223</v>
      </c>
      <c r="G3438" s="139" t="s">
        <v>1223</v>
      </c>
      <c r="H3438" s="139" t="s">
        <v>1223</v>
      </c>
      <c r="I3438" s="139" t="s">
        <v>1223</v>
      </c>
      <c r="J3438" s="139" t="s">
        <v>1223</v>
      </c>
      <c r="K3438" s="139" t="s">
        <v>1223</v>
      </c>
      <c r="L3438" s="139" t="s">
        <v>1223</v>
      </c>
      <c r="M3438" s="139" t="s">
        <v>1223</v>
      </c>
      <c r="N3438" s="139" t="s">
        <v>1223</v>
      </c>
      <c r="O3438" s="139" t="s">
        <v>1223</v>
      </c>
      <c r="P3438" s="139" t="s">
        <v>1223</v>
      </c>
      <c r="Q3438" s="141" t="s">
        <v>1237</v>
      </c>
    </row>
    <row r="3439" spans="1:17">
      <c r="A3439" s="139" t="s">
        <v>1223</v>
      </c>
      <c r="B3439" s="139" t="s">
        <v>1223</v>
      </c>
      <c r="C3439" s="139" t="s">
        <v>1223</v>
      </c>
      <c r="D3439" s="139" t="s">
        <v>1223</v>
      </c>
      <c r="E3439" s="139" t="s">
        <v>1223</v>
      </c>
      <c r="F3439" s="139" t="s">
        <v>1223</v>
      </c>
      <c r="G3439" s="139" t="s">
        <v>1223</v>
      </c>
      <c r="H3439" s="139" t="s">
        <v>1223</v>
      </c>
      <c r="I3439" s="139" t="s">
        <v>1223</v>
      </c>
      <c r="J3439" s="139" t="s">
        <v>1223</v>
      </c>
      <c r="K3439" s="139" t="s">
        <v>1223</v>
      </c>
      <c r="L3439" s="139" t="s">
        <v>1223</v>
      </c>
      <c r="M3439" s="139" t="s">
        <v>1223</v>
      </c>
      <c r="N3439" s="139" t="s">
        <v>1223</v>
      </c>
      <c r="O3439" s="139" t="s">
        <v>1223</v>
      </c>
      <c r="P3439" s="139" t="s">
        <v>1223</v>
      </c>
      <c r="Q3439" s="141" t="s">
        <v>1238</v>
      </c>
    </row>
    <row r="3440" spans="1:17">
      <c r="A3440" s="139" t="s">
        <v>1223</v>
      </c>
      <c r="B3440" s="139" t="s">
        <v>1223</v>
      </c>
      <c r="C3440" s="139" t="s">
        <v>1223</v>
      </c>
      <c r="D3440" s="139" t="s">
        <v>1223</v>
      </c>
      <c r="E3440" s="139" t="s">
        <v>1223</v>
      </c>
      <c r="F3440" s="139" t="s">
        <v>1223</v>
      </c>
      <c r="G3440" s="139" t="s">
        <v>1223</v>
      </c>
      <c r="H3440" s="139" t="s">
        <v>1223</v>
      </c>
      <c r="I3440" s="139" t="s">
        <v>1223</v>
      </c>
      <c r="J3440" s="139" t="s">
        <v>1223</v>
      </c>
      <c r="K3440" s="139" t="s">
        <v>1223</v>
      </c>
      <c r="L3440" s="139" t="s">
        <v>1223</v>
      </c>
      <c r="M3440" s="139" t="s">
        <v>1330</v>
      </c>
      <c r="N3440" s="139" t="s">
        <v>1223</v>
      </c>
      <c r="O3440" s="139" t="s">
        <v>1223</v>
      </c>
      <c r="P3440" s="139" t="s">
        <v>1223</v>
      </c>
      <c r="Q3440" s="141" t="s">
        <v>1239</v>
      </c>
    </row>
    <row r="3441" spans="1:17">
      <c r="A3441" s="139" t="s">
        <v>1223</v>
      </c>
      <c r="B3441" s="139" t="s">
        <v>1223</v>
      </c>
      <c r="C3441" s="139" t="s">
        <v>1223</v>
      </c>
      <c r="D3441" s="139" t="s">
        <v>1223</v>
      </c>
      <c r="E3441" s="139" t="s">
        <v>1223</v>
      </c>
      <c r="F3441" s="139" t="s">
        <v>1223</v>
      </c>
      <c r="G3441" s="139" t="s">
        <v>1223</v>
      </c>
      <c r="H3441" s="139" t="s">
        <v>1223</v>
      </c>
      <c r="I3441" s="139" t="s">
        <v>1223</v>
      </c>
      <c r="J3441" s="139" t="s">
        <v>1223</v>
      </c>
      <c r="K3441" s="139" t="s">
        <v>1223</v>
      </c>
      <c r="L3441" s="139" t="s">
        <v>1223</v>
      </c>
      <c r="M3441" s="139" t="s">
        <v>1223</v>
      </c>
      <c r="N3441" s="139" t="s">
        <v>1223</v>
      </c>
      <c r="O3441" s="139" t="s">
        <v>1223</v>
      </c>
      <c r="P3441" s="139" t="s">
        <v>1223</v>
      </c>
      <c r="Q3441" s="141" t="s">
        <v>1240</v>
      </c>
    </row>
    <row r="3442" spans="1:17">
      <c r="A3442" s="139" t="s">
        <v>1223</v>
      </c>
      <c r="B3442" s="139" t="s">
        <v>1223</v>
      </c>
      <c r="C3442" s="139" t="s">
        <v>1223</v>
      </c>
      <c r="D3442" s="139" t="s">
        <v>1223</v>
      </c>
      <c r="E3442" s="139" t="s">
        <v>1223</v>
      </c>
      <c r="F3442" s="139" t="s">
        <v>1223</v>
      </c>
      <c r="G3442" s="139" t="s">
        <v>1223</v>
      </c>
      <c r="H3442" s="139" t="s">
        <v>1223</v>
      </c>
      <c r="I3442" s="139" t="s">
        <v>1223</v>
      </c>
      <c r="J3442" s="139" t="s">
        <v>1223</v>
      </c>
      <c r="K3442" s="139" t="s">
        <v>1223</v>
      </c>
      <c r="L3442" s="139" t="s">
        <v>1223</v>
      </c>
      <c r="M3442" s="139" t="s">
        <v>1223</v>
      </c>
      <c r="N3442" s="139" t="s">
        <v>1223</v>
      </c>
      <c r="O3442" s="139" t="s">
        <v>1223</v>
      </c>
      <c r="P3442" s="139" t="s">
        <v>1223</v>
      </c>
      <c r="Q3442" s="141" t="s">
        <v>1241</v>
      </c>
    </row>
    <row r="3443" spans="1:17">
      <c r="A3443" s="139" t="s">
        <v>1223</v>
      </c>
      <c r="B3443" s="139" t="s">
        <v>1223</v>
      </c>
      <c r="C3443" s="139" t="s">
        <v>1223</v>
      </c>
      <c r="D3443" s="139" t="s">
        <v>1223</v>
      </c>
      <c r="E3443" s="139" t="s">
        <v>1223</v>
      </c>
      <c r="F3443" s="139" t="s">
        <v>1223</v>
      </c>
      <c r="G3443" s="139" t="s">
        <v>1223</v>
      </c>
      <c r="H3443" s="139" t="s">
        <v>1223</v>
      </c>
      <c r="I3443" s="139" t="s">
        <v>1223</v>
      </c>
      <c r="J3443" s="139" t="s">
        <v>1223</v>
      </c>
      <c r="K3443" s="139" t="s">
        <v>1223</v>
      </c>
      <c r="L3443" s="139" t="s">
        <v>1223</v>
      </c>
      <c r="M3443" s="139" t="s">
        <v>1223</v>
      </c>
      <c r="N3443" s="139" t="s">
        <v>1223</v>
      </c>
      <c r="O3443" s="139" t="s">
        <v>1223</v>
      </c>
      <c r="P3443" s="139" t="s">
        <v>1223</v>
      </c>
      <c r="Q3443" s="141" t="s">
        <v>1242</v>
      </c>
    </row>
    <row r="3444" spans="1:17">
      <c r="A3444" s="139" t="s">
        <v>1223</v>
      </c>
      <c r="B3444" s="139" t="s">
        <v>1223</v>
      </c>
      <c r="C3444" s="139" t="s">
        <v>1223</v>
      </c>
      <c r="D3444" s="139" t="s">
        <v>1223</v>
      </c>
      <c r="E3444" s="139" t="s">
        <v>1223</v>
      </c>
      <c r="F3444" s="139" t="s">
        <v>1223</v>
      </c>
      <c r="G3444" s="139" t="s">
        <v>1223</v>
      </c>
      <c r="H3444" s="139" t="s">
        <v>1223</v>
      </c>
      <c r="I3444" s="139" t="s">
        <v>1223</v>
      </c>
      <c r="J3444" s="139" t="s">
        <v>1223</v>
      </c>
      <c r="K3444" s="139" t="s">
        <v>1223</v>
      </c>
      <c r="L3444" s="139" t="s">
        <v>1223</v>
      </c>
      <c r="M3444" s="139" t="s">
        <v>1223</v>
      </c>
      <c r="N3444" s="139" t="s">
        <v>1223</v>
      </c>
      <c r="O3444" s="139" t="s">
        <v>1223</v>
      </c>
      <c r="P3444" s="139" t="s">
        <v>1223</v>
      </c>
      <c r="Q3444" s="141" t="s">
        <v>1243</v>
      </c>
    </row>
    <row r="3445" spans="1:17">
      <c r="A3445" s="139" t="s">
        <v>1223</v>
      </c>
      <c r="B3445" s="139" t="s">
        <v>1223</v>
      </c>
      <c r="C3445" s="139" t="s">
        <v>1223</v>
      </c>
      <c r="D3445" s="139" t="s">
        <v>1223</v>
      </c>
      <c r="E3445" s="139" t="s">
        <v>1223</v>
      </c>
      <c r="F3445" s="139" t="s">
        <v>1223</v>
      </c>
      <c r="G3445" s="139" t="s">
        <v>1223</v>
      </c>
      <c r="H3445" s="139" t="s">
        <v>1223</v>
      </c>
      <c r="I3445" s="139" t="s">
        <v>1223</v>
      </c>
      <c r="J3445" s="139" t="s">
        <v>1223</v>
      </c>
      <c r="K3445" s="139" t="s">
        <v>1223</v>
      </c>
      <c r="L3445" s="139" t="s">
        <v>1223</v>
      </c>
      <c r="M3445" s="139" t="s">
        <v>1223</v>
      </c>
      <c r="N3445" s="139" t="s">
        <v>1223</v>
      </c>
      <c r="O3445" s="139" t="s">
        <v>1223</v>
      </c>
      <c r="P3445" s="139" t="s">
        <v>1223</v>
      </c>
      <c r="Q3445" s="141" t="s">
        <v>1244</v>
      </c>
    </row>
    <row r="3446" spans="1:17">
      <c r="A3446" s="139" t="s">
        <v>1223</v>
      </c>
      <c r="B3446" s="139" t="s">
        <v>1223</v>
      </c>
      <c r="C3446" s="139" t="s">
        <v>1223</v>
      </c>
      <c r="D3446" s="139" t="s">
        <v>1223</v>
      </c>
      <c r="E3446" s="139" t="s">
        <v>1223</v>
      </c>
      <c r="F3446" s="139" t="s">
        <v>1223</v>
      </c>
      <c r="G3446" s="139" t="s">
        <v>1223</v>
      </c>
      <c r="H3446" s="139" t="s">
        <v>1223</v>
      </c>
      <c r="I3446" s="139" t="s">
        <v>1223</v>
      </c>
      <c r="J3446" s="139" t="s">
        <v>1223</v>
      </c>
      <c r="K3446" s="139" t="s">
        <v>1223</v>
      </c>
      <c r="L3446" s="139" t="s">
        <v>1223</v>
      </c>
      <c r="M3446" s="139" t="s">
        <v>1223</v>
      </c>
      <c r="N3446" s="139" t="s">
        <v>1223</v>
      </c>
      <c r="O3446" s="139" t="s">
        <v>1223</v>
      </c>
      <c r="P3446" s="139" t="s">
        <v>1223</v>
      </c>
      <c r="Q3446" s="141" t="s">
        <v>1245</v>
      </c>
    </row>
    <row r="3447" spans="1:17">
      <c r="A3447" s="139" t="s">
        <v>1223</v>
      </c>
      <c r="B3447" s="139" t="s">
        <v>1223</v>
      </c>
      <c r="C3447" s="139" t="s">
        <v>1223</v>
      </c>
      <c r="D3447" s="139" t="s">
        <v>1223</v>
      </c>
      <c r="E3447" s="139" t="s">
        <v>1223</v>
      </c>
      <c r="F3447" s="139" t="s">
        <v>1223</v>
      </c>
      <c r="G3447" s="139" t="s">
        <v>1223</v>
      </c>
      <c r="H3447" s="139" t="s">
        <v>1223</v>
      </c>
      <c r="I3447" s="139" t="s">
        <v>1223</v>
      </c>
      <c r="J3447" s="139" t="s">
        <v>1223</v>
      </c>
      <c r="K3447" s="139" t="s">
        <v>1223</v>
      </c>
      <c r="L3447" s="139" t="s">
        <v>1223</v>
      </c>
      <c r="M3447" s="139" t="s">
        <v>1223</v>
      </c>
      <c r="N3447" s="139" t="s">
        <v>1223</v>
      </c>
      <c r="O3447" s="139" t="s">
        <v>1223</v>
      </c>
      <c r="P3447" s="139" t="s">
        <v>1223</v>
      </c>
      <c r="Q3447" s="141" t="s">
        <v>1246</v>
      </c>
    </row>
    <row r="3448" spans="1:17">
      <c r="A3448" s="139" t="s">
        <v>1223</v>
      </c>
      <c r="B3448" s="139" t="s">
        <v>1223</v>
      </c>
      <c r="C3448" s="139" t="s">
        <v>1223</v>
      </c>
      <c r="D3448" s="139" t="s">
        <v>1223</v>
      </c>
      <c r="E3448" s="139" t="s">
        <v>1223</v>
      </c>
      <c r="F3448" s="139" t="s">
        <v>1223</v>
      </c>
      <c r="G3448" s="139" t="s">
        <v>1223</v>
      </c>
      <c r="H3448" s="139" t="s">
        <v>1223</v>
      </c>
      <c r="I3448" s="139" t="s">
        <v>1223</v>
      </c>
      <c r="J3448" s="139" t="s">
        <v>1223</v>
      </c>
      <c r="K3448" s="139" t="s">
        <v>1223</v>
      </c>
      <c r="L3448" s="139" t="s">
        <v>1223</v>
      </c>
      <c r="M3448" s="139" t="s">
        <v>1223</v>
      </c>
      <c r="N3448" s="139" t="s">
        <v>1223</v>
      </c>
      <c r="O3448" s="139" t="s">
        <v>1223</v>
      </c>
      <c r="P3448" s="139" t="s">
        <v>1223</v>
      </c>
      <c r="Q3448" s="141" t="s">
        <v>1247</v>
      </c>
    </row>
    <row r="3449" spans="1:17">
      <c r="A3449" s="139" t="s">
        <v>1223</v>
      </c>
      <c r="B3449" s="139" t="s">
        <v>1223</v>
      </c>
      <c r="C3449" s="139" t="s">
        <v>1223</v>
      </c>
      <c r="D3449" s="139" t="s">
        <v>1223</v>
      </c>
      <c r="E3449" s="139" t="s">
        <v>1223</v>
      </c>
      <c r="F3449" s="139" t="s">
        <v>1223</v>
      </c>
      <c r="G3449" s="139" t="s">
        <v>1223</v>
      </c>
      <c r="H3449" s="139" t="s">
        <v>1223</v>
      </c>
      <c r="I3449" s="139" t="s">
        <v>1223</v>
      </c>
      <c r="J3449" s="139" t="s">
        <v>1223</v>
      </c>
      <c r="K3449" s="139" t="s">
        <v>1223</v>
      </c>
      <c r="L3449" s="139" t="s">
        <v>1223</v>
      </c>
      <c r="M3449" s="139" t="s">
        <v>1223</v>
      </c>
      <c r="N3449" s="139" t="s">
        <v>1223</v>
      </c>
      <c r="O3449" s="139" t="s">
        <v>1223</v>
      </c>
      <c r="P3449" s="139" t="s">
        <v>1223</v>
      </c>
      <c r="Q3449" s="141" t="s">
        <v>1248</v>
      </c>
    </row>
    <row r="3450" spans="1:17">
      <c r="A3450" s="139" t="s">
        <v>1223</v>
      </c>
      <c r="B3450" s="139" t="s">
        <v>1223</v>
      </c>
      <c r="C3450" s="139" t="s">
        <v>1223</v>
      </c>
      <c r="D3450" s="139" t="s">
        <v>1223</v>
      </c>
      <c r="E3450" s="139" t="s">
        <v>1223</v>
      </c>
      <c r="F3450" s="139" t="s">
        <v>1223</v>
      </c>
      <c r="G3450" s="139" t="s">
        <v>1223</v>
      </c>
      <c r="H3450" s="139" t="s">
        <v>1223</v>
      </c>
      <c r="I3450" s="139" t="s">
        <v>1223</v>
      </c>
      <c r="J3450" s="139" t="s">
        <v>1223</v>
      </c>
      <c r="K3450" s="139" t="s">
        <v>1223</v>
      </c>
      <c r="L3450" s="139" t="s">
        <v>1223</v>
      </c>
      <c r="M3450" s="139" t="s">
        <v>1223</v>
      </c>
      <c r="N3450" s="139" t="s">
        <v>1223</v>
      </c>
      <c r="O3450" s="139" t="s">
        <v>1223</v>
      </c>
      <c r="P3450" s="139" t="s">
        <v>1223</v>
      </c>
      <c r="Q3450" s="141" t="s">
        <v>1249</v>
      </c>
    </row>
    <row r="3451" spans="1:17">
      <c r="A3451" s="139" t="s">
        <v>1223</v>
      </c>
      <c r="B3451" s="139" t="s">
        <v>1223</v>
      </c>
      <c r="C3451" s="139" t="s">
        <v>1223</v>
      </c>
      <c r="D3451" s="139" t="s">
        <v>1223</v>
      </c>
      <c r="E3451" s="139" t="s">
        <v>1223</v>
      </c>
      <c r="F3451" s="139" t="s">
        <v>1223</v>
      </c>
      <c r="G3451" s="139" t="s">
        <v>1223</v>
      </c>
      <c r="H3451" s="139" t="s">
        <v>1223</v>
      </c>
      <c r="I3451" s="139" t="s">
        <v>1223</v>
      </c>
      <c r="J3451" s="139" t="s">
        <v>1223</v>
      </c>
      <c r="K3451" s="139" t="s">
        <v>1223</v>
      </c>
      <c r="L3451" s="139" t="s">
        <v>1223</v>
      </c>
      <c r="M3451" s="139" t="s">
        <v>1223</v>
      </c>
      <c r="N3451" s="139" t="s">
        <v>1223</v>
      </c>
      <c r="O3451" s="139" t="s">
        <v>1223</v>
      </c>
      <c r="P3451" s="139" t="s">
        <v>1223</v>
      </c>
      <c r="Q3451" s="141" t="s">
        <v>1250</v>
      </c>
    </row>
    <row r="3452" spans="1:17">
      <c r="A3452" s="139" t="s">
        <v>1223</v>
      </c>
      <c r="B3452" s="139" t="s">
        <v>1223</v>
      </c>
      <c r="C3452" s="139" t="s">
        <v>1223</v>
      </c>
      <c r="D3452" s="139" t="s">
        <v>1223</v>
      </c>
      <c r="E3452" s="139" t="s">
        <v>1223</v>
      </c>
      <c r="F3452" s="139" t="s">
        <v>1223</v>
      </c>
      <c r="G3452" s="139" t="s">
        <v>1223</v>
      </c>
      <c r="H3452" s="139" t="s">
        <v>1223</v>
      </c>
      <c r="I3452" s="139" t="s">
        <v>1223</v>
      </c>
      <c r="J3452" s="139" t="s">
        <v>1223</v>
      </c>
      <c r="K3452" s="139" t="s">
        <v>1223</v>
      </c>
      <c r="L3452" s="139" t="s">
        <v>1223</v>
      </c>
      <c r="M3452" s="139" t="s">
        <v>1223</v>
      </c>
      <c r="N3452" s="139" t="s">
        <v>1223</v>
      </c>
      <c r="O3452" s="139" t="s">
        <v>1223</v>
      </c>
      <c r="P3452" s="139" t="s">
        <v>1223</v>
      </c>
      <c r="Q3452" s="141" t="s">
        <v>1251</v>
      </c>
    </row>
    <row r="3453" spans="1:17">
      <c r="A3453" s="139" t="s">
        <v>1223</v>
      </c>
      <c r="B3453" s="139" t="s">
        <v>1223</v>
      </c>
      <c r="C3453" s="139" t="s">
        <v>1223</v>
      </c>
      <c r="D3453" s="139" t="s">
        <v>1223</v>
      </c>
      <c r="E3453" s="139" t="s">
        <v>1223</v>
      </c>
      <c r="F3453" s="139" t="s">
        <v>1223</v>
      </c>
      <c r="G3453" s="139" t="s">
        <v>1223</v>
      </c>
      <c r="H3453" s="139" t="s">
        <v>1223</v>
      </c>
      <c r="I3453" s="139" t="s">
        <v>1223</v>
      </c>
      <c r="J3453" s="139" t="s">
        <v>1223</v>
      </c>
      <c r="K3453" s="139" t="s">
        <v>1223</v>
      </c>
      <c r="L3453" s="139" t="s">
        <v>1223</v>
      </c>
      <c r="M3453" s="139" t="s">
        <v>1223</v>
      </c>
      <c r="N3453" s="139" t="s">
        <v>1223</v>
      </c>
      <c r="O3453" s="139" t="s">
        <v>1223</v>
      </c>
      <c r="P3453" s="139" t="s">
        <v>1223</v>
      </c>
      <c r="Q3453" s="141" t="s">
        <v>1252</v>
      </c>
    </row>
    <row r="3454" spans="1:17">
      <c r="A3454" s="139" t="s">
        <v>1223</v>
      </c>
      <c r="B3454" s="139" t="s">
        <v>1223</v>
      </c>
      <c r="C3454" s="139" t="s">
        <v>1223</v>
      </c>
      <c r="D3454" s="139" t="s">
        <v>1223</v>
      </c>
      <c r="E3454" s="139" t="s">
        <v>1223</v>
      </c>
      <c r="F3454" s="139" t="s">
        <v>1223</v>
      </c>
      <c r="G3454" s="139" t="s">
        <v>1223</v>
      </c>
      <c r="H3454" s="139" t="s">
        <v>1223</v>
      </c>
      <c r="I3454" s="139" t="s">
        <v>1223</v>
      </c>
      <c r="J3454" s="139" t="s">
        <v>1223</v>
      </c>
      <c r="K3454" s="139" t="s">
        <v>1223</v>
      </c>
      <c r="L3454" s="139" t="s">
        <v>1223</v>
      </c>
      <c r="M3454" s="139" t="s">
        <v>1223</v>
      </c>
      <c r="N3454" s="139" t="s">
        <v>1223</v>
      </c>
      <c r="O3454" s="139" t="s">
        <v>1223</v>
      </c>
      <c r="P3454" s="139" t="s">
        <v>1223</v>
      </c>
      <c r="Q3454" s="141" t="s">
        <v>1253</v>
      </c>
    </row>
    <row r="3455" spans="1:17">
      <c r="A3455" s="139" t="s">
        <v>1223</v>
      </c>
      <c r="B3455" s="139" t="s">
        <v>1223</v>
      </c>
      <c r="C3455" s="139" t="s">
        <v>1223</v>
      </c>
      <c r="D3455" s="139" t="s">
        <v>1223</v>
      </c>
      <c r="E3455" s="139" t="s">
        <v>1223</v>
      </c>
      <c r="F3455" s="139" t="s">
        <v>1223</v>
      </c>
      <c r="G3455" s="139" t="s">
        <v>1223</v>
      </c>
      <c r="H3455" s="139" t="s">
        <v>1223</v>
      </c>
      <c r="I3455" s="139" t="s">
        <v>1223</v>
      </c>
      <c r="J3455" s="139" t="s">
        <v>1223</v>
      </c>
      <c r="K3455" s="139" t="s">
        <v>1223</v>
      </c>
      <c r="L3455" s="139" t="s">
        <v>1223</v>
      </c>
      <c r="M3455" s="139" t="s">
        <v>1223</v>
      </c>
      <c r="N3455" s="139" t="s">
        <v>1223</v>
      </c>
      <c r="O3455" s="139" t="s">
        <v>1223</v>
      </c>
      <c r="P3455" s="139" t="s">
        <v>1223</v>
      </c>
      <c r="Q3455" s="141" t="s">
        <v>1254</v>
      </c>
    </row>
    <row r="3456" spans="1:17">
      <c r="A3456" s="139" t="s">
        <v>1223</v>
      </c>
      <c r="B3456" s="139" t="s">
        <v>1223</v>
      </c>
      <c r="C3456" s="139" t="s">
        <v>1223</v>
      </c>
      <c r="D3456" s="139" t="s">
        <v>1223</v>
      </c>
      <c r="E3456" s="139" t="s">
        <v>1223</v>
      </c>
      <c r="F3456" s="139" t="s">
        <v>1223</v>
      </c>
      <c r="G3456" s="139" t="s">
        <v>1223</v>
      </c>
      <c r="H3456" s="139" t="s">
        <v>1223</v>
      </c>
      <c r="I3456" s="139" t="s">
        <v>1223</v>
      </c>
      <c r="J3456" s="139" t="s">
        <v>1223</v>
      </c>
      <c r="K3456" s="139" t="s">
        <v>1223</v>
      </c>
      <c r="L3456" s="139" t="s">
        <v>1223</v>
      </c>
      <c r="M3456" s="139" t="s">
        <v>1223</v>
      </c>
      <c r="N3456" s="139" t="s">
        <v>1223</v>
      </c>
      <c r="O3456" s="139" t="s">
        <v>1223</v>
      </c>
      <c r="P3456" s="139" t="s">
        <v>1223</v>
      </c>
      <c r="Q3456" s="141" t="s">
        <v>1255</v>
      </c>
    </row>
    <row r="3457" spans="1:17">
      <c r="A3457" s="139" t="s">
        <v>1223</v>
      </c>
      <c r="B3457" s="139" t="s">
        <v>1223</v>
      </c>
      <c r="C3457" s="139" t="s">
        <v>1223</v>
      </c>
      <c r="D3457" s="139" t="s">
        <v>1223</v>
      </c>
      <c r="E3457" s="139" t="s">
        <v>1223</v>
      </c>
      <c r="F3457" s="139" t="s">
        <v>1223</v>
      </c>
      <c r="G3457" s="139" t="s">
        <v>1223</v>
      </c>
      <c r="H3457" s="139" t="s">
        <v>1223</v>
      </c>
      <c r="I3457" s="139" t="s">
        <v>1223</v>
      </c>
      <c r="J3457" s="139" t="s">
        <v>1223</v>
      </c>
      <c r="K3457" s="139" t="s">
        <v>1223</v>
      </c>
      <c r="L3457" s="139" t="s">
        <v>1223</v>
      </c>
      <c r="M3457" s="139" t="s">
        <v>1223</v>
      </c>
      <c r="N3457" s="139" t="s">
        <v>1223</v>
      </c>
      <c r="O3457" s="139" t="s">
        <v>1223</v>
      </c>
      <c r="P3457" s="139" t="s">
        <v>1223</v>
      </c>
      <c r="Q3457" s="141" t="s">
        <v>1256</v>
      </c>
    </row>
    <row r="3458" spans="1:17">
      <c r="A3458" s="139" t="s">
        <v>1223</v>
      </c>
      <c r="B3458" s="139" t="s">
        <v>1223</v>
      </c>
      <c r="C3458" s="139" t="s">
        <v>1223</v>
      </c>
      <c r="D3458" s="139" t="s">
        <v>1223</v>
      </c>
      <c r="E3458" s="139" t="s">
        <v>1223</v>
      </c>
      <c r="F3458" s="139" t="s">
        <v>1223</v>
      </c>
      <c r="G3458" s="139" t="s">
        <v>1223</v>
      </c>
      <c r="H3458" s="139" t="s">
        <v>1223</v>
      </c>
      <c r="I3458" s="139" t="s">
        <v>1223</v>
      </c>
      <c r="J3458" s="139" t="s">
        <v>1223</v>
      </c>
      <c r="K3458" s="139" t="s">
        <v>1223</v>
      </c>
      <c r="L3458" s="139" t="s">
        <v>1223</v>
      </c>
      <c r="M3458" s="139" t="s">
        <v>1223</v>
      </c>
      <c r="N3458" s="139" t="s">
        <v>1223</v>
      </c>
      <c r="O3458" s="139" t="s">
        <v>1223</v>
      </c>
      <c r="P3458" s="139" t="s">
        <v>1223</v>
      </c>
      <c r="Q3458" s="141" t="s">
        <v>1257</v>
      </c>
    </row>
    <row r="3459" spans="1:17">
      <c r="A3459" s="139" t="s">
        <v>1223</v>
      </c>
      <c r="B3459" s="139" t="s">
        <v>1223</v>
      </c>
      <c r="C3459" s="139" t="s">
        <v>1223</v>
      </c>
      <c r="D3459" s="139" t="s">
        <v>1223</v>
      </c>
      <c r="E3459" s="139" t="s">
        <v>1223</v>
      </c>
      <c r="F3459" s="139" t="s">
        <v>1223</v>
      </c>
      <c r="G3459" s="139" t="s">
        <v>1223</v>
      </c>
      <c r="H3459" s="139" t="s">
        <v>1223</v>
      </c>
      <c r="I3459" s="139" t="s">
        <v>1223</v>
      </c>
      <c r="J3459" s="139" t="s">
        <v>1223</v>
      </c>
      <c r="K3459" s="139" t="s">
        <v>1223</v>
      </c>
      <c r="L3459" s="139" t="s">
        <v>1223</v>
      </c>
      <c r="M3459" s="139" t="s">
        <v>1223</v>
      </c>
      <c r="N3459" s="139" t="s">
        <v>1223</v>
      </c>
      <c r="O3459" s="139" t="s">
        <v>1223</v>
      </c>
      <c r="P3459" s="139" t="s">
        <v>1223</v>
      </c>
      <c r="Q3459" s="141" t="s">
        <v>1258</v>
      </c>
    </row>
    <row r="3460" spans="1:17">
      <c r="A3460" s="139" t="s">
        <v>1223</v>
      </c>
      <c r="B3460" s="139" t="s">
        <v>1223</v>
      </c>
      <c r="C3460" s="139" t="s">
        <v>1223</v>
      </c>
      <c r="D3460" s="139" t="s">
        <v>1223</v>
      </c>
      <c r="E3460" s="139" t="s">
        <v>1223</v>
      </c>
      <c r="F3460" s="139" t="s">
        <v>1223</v>
      </c>
      <c r="G3460" s="139" t="s">
        <v>1223</v>
      </c>
      <c r="H3460" s="139" t="s">
        <v>1223</v>
      </c>
      <c r="I3460" s="139" t="s">
        <v>1223</v>
      </c>
      <c r="J3460" s="139" t="s">
        <v>1223</v>
      </c>
      <c r="K3460" s="139" t="s">
        <v>1223</v>
      </c>
      <c r="L3460" s="139" t="s">
        <v>1223</v>
      </c>
      <c r="M3460" s="139" t="s">
        <v>1223</v>
      </c>
      <c r="N3460" s="139" t="s">
        <v>1223</v>
      </c>
      <c r="O3460" s="139" t="s">
        <v>1223</v>
      </c>
      <c r="P3460" s="139" t="s">
        <v>1223</v>
      </c>
      <c r="Q3460" s="141" t="s">
        <v>1259</v>
      </c>
    </row>
    <row r="3461" spans="1:17">
      <c r="A3461" s="139" t="s">
        <v>1223</v>
      </c>
      <c r="B3461" s="139" t="s">
        <v>1223</v>
      </c>
      <c r="C3461" s="139" t="s">
        <v>1223</v>
      </c>
      <c r="D3461" s="139" t="s">
        <v>1223</v>
      </c>
      <c r="E3461" s="139" t="s">
        <v>1223</v>
      </c>
      <c r="F3461" s="139" t="s">
        <v>1223</v>
      </c>
      <c r="G3461" s="139" t="s">
        <v>1223</v>
      </c>
      <c r="H3461" s="139" t="s">
        <v>1223</v>
      </c>
      <c r="I3461" s="139" t="s">
        <v>1223</v>
      </c>
      <c r="J3461" s="139" t="s">
        <v>1223</v>
      </c>
      <c r="K3461" s="139" t="s">
        <v>1223</v>
      </c>
      <c r="L3461" s="139" t="s">
        <v>1223</v>
      </c>
      <c r="M3461" s="139" t="s">
        <v>1223</v>
      </c>
      <c r="N3461" s="139" t="s">
        <v>1223</v>
      </c>
      <c r="O3461" s="139" t="s">
        <v>1223</v>
      </c>
      <c r="P3461" s="139" t="s">
        <v>1223</v>
      </c>
      <c r="Q3461" s="141" t="s">
        <v>1260</v>
      </c>
    </row>
    <row r="3462" spans="1:17">
      <c r="A3462" s="139" t="s">
        <v>1223</v>
      </c>
      <c r="B3462" s="139" t="s">
        <v>1223</v>
      </c>
      <c r="C3462" s="139" t="s">
        <v>1223</v>
      </c>
      <c r="D3462" s="139" t="s">
        <v>1223</v>
      </c>
      <c r="E3462" s="139" t="s">
        <v>1223</v>
      </c>
      <c r="F3462" s="139" t="s">
        <v>1223</v>
      </c>
      <c r="G3462" s="139" t="s">
        <v>1223</v>
      </c>
      <c r="H3462" s="139" t="s">
        <v>1223</v>
      </c>
      <c r="I3462" s="139" t="s">
        <v>1223</v>
      </c>
      <c r="J3462" s="139" t="s">
        <v>1223</v>
      </c>
      <c r="K3462" s="139" t="s">
        <v>1223</v>
      </c>
      <c r="L3462" s="139" t="s">
        <v>1223</v>
      </c>
      <c r="M3462" s="139" t="s">
        <v>1223</v>
      </c>
      <c r="N3462" s="139" t="s">
        <v>1223</v>
      </c>
      <c r="O3462" s="139" t="s">
        <v>1223</v>
      </c>
      <c r="P3462" s="139" t="s">
        <v>1223</v>
      </c>
      <c r="Q3462" s="141" t="s">
        <v>1261</v>
      </c>
    </row>
    <row r="3463" spans="1:17">
      <c r="A3463" s="139" t="s">
        <v>1223</v>
      </c>
      <c r="B3463" s="139" t="s">
        <v>1223</v>
      </c>
      <c r="C3463" s="139" t="s">
        <v>1223</v>
      </c>
      <c r="D3463" s="139" t="s">
        <v>1223</v>
      </c>
      <c r="E3463" s="139" t="s">
        <v>1223</v>
      </c>
      <c r="F3463" s="139" t="s">
        <v>1223</v>
      </c>
      <c r="G3463" s="139" t="s">
        <v>1223</v>
      </c>
      <c r="H3463" s="139" t="s">
        <v>1223</v>
      </c>
      <c r="I3463" s="139" t="s">
        <v>1223</v>
      </c>
      <c r="J3463" s="139" t="s">
        <v>1223</v>
      </c>
      <c r="K3463" s="139" t="s">
        <v>1223</v>
      </c>
      <c r="L3463" s="139" t="s">
        <v>1223</v>
      </c>
      <c r="M3463" s="139" t="s">
        <v>1223</v>
      </c>
      <c r="N3463" s="139" t="s">
        <v>1223</v>
      </c>
      <c r="O3463" s="139" t="s">
        <v>1223</v>
      </c>
      <c r="P3463" s="139" t="s">
        <v>1223</v>
      </c>
      <c r="Q3463" s="141" t="s">
        <v>1262</v>
      </c>
    </row>
    <row r="3464" spans="1:17">
      <c r="A3464" s="139" t="s">
        <v>1223</v>
      </c>
      <c r="B3464" s="139" t="s">
        <v>1223</v>
      </c>
      <c r="C3464" s="139" t="s">
        <v>1223</v>
      </c>
      <c r="D3464" s="139" t="s">
        <v>1223</v>
      </c>
      <c r="E3464" s="139" t="s">
        <v>1223</v>
      </c>
      <c r="F3464" s="139" t="s">
        <v>1223</v>
      </c>
      <c r="G3464" s="139" t="s">
        <v>1223</v>
      </c>
      <c r="H3464" s="139" t="s">
        <v>1223</v>
      </c>
      <c r="I3464" s="139" t="s">
        <v>1223</v>
      </c>
      <c r="J3464" s="139" t="s">
        <v>1223</v>
      </c>
      <c r="K3464" s="139" t="s">
        <v>1223</v>
      </c>
      <c r="L3464" s="139" t="s">
        <v>1223</v>
      </c>
      <c r="M3464" s="139" t="s">
        <v>1223</v>
      </c>
      <c r="N3464" s="139" t="s">
        <v>1223</v>
      </c>
      <c r="O3464" s="139" t="s">
        <v>1223</v>
      </c>
      <c r="P3464" s="139" t="s">
        <v>1223</v>
      </c>
      <c r="Q3464" s="141" t="s">
        <v>1263</v>
      </c>
    </row>
    <row r="3465" spans="1:17">
      <c r="A3465" s="139" t="s">
        <v>1223</v>
      </c>
      <c r="B3465" s="139" t="s">
        <v>1223</v>
      </c>
      <c r="C3465" s="139" t="s">
        <v>1223</v>
      </c>
      <c r="D3465" s="139" t="s">
        <v>1223</v>
      </c>
      <c r="E3465" s="139" t="s">
        <v>1223</v>
      </c>
      <c r="F3465" s="139" t="s">
        <v>1223</v>
      </c>
      <c r="G3465" s="139" t="s">
        <v>1223</v>
      </c>
      <c r="H3465" s="139" t="s">
        <v>1223</v>
      </c>
      <c r="I3465" s="139" t="s">
        <v>1223</v>
      </c>
      <c r="J3465" s="139" t="s">
        <v>1223</v>
      </c>
      <c r="K3465" s="139" t="s">
        <v>1223</v>
      </c>
      <c r="L3465" s="139" t="s">
        <v>1223</v>
      </c>
      <c r="M3465" s="139" t="s">
        <v>1223</v>
      </c>
      <c r="N3465" s="139" t="s">
        <v>1223</v>
      </c>
      <c r="O3465" s="139" t="s">
        <v>1223</v>
      </c>
      <c r="P3465" s="139" t="s">
        <v>1223</v>
      </c>
      <c r="Q3465" s="141" t="s">
        <v>1264</v>
      </c>
    </row>
    <row r="3466" spans="1:17">
      <c r="A3466" s="139" t="s">
        <v>1223</v>
      </c>
      <c r="B3466" s="139" t="s">
        <v>1223</v>
      </c>
      <c r="C3466" s="139" t="s">
        <v>1223</v>
      </c>
      <c r="D3466" s="139" t="s">
        <v>1223</v>
      </c>
      <c r="E3466" s="139" t="s">
        <v>1223</v>
      </c>
      <c r="F3466" s="139" t="s">
        <v>1223</v>
      </c>
      <c r="G3466" s="139" t="s">
        <v>1223</v>
      </c>
      <c r="H3466" s="139" t="s">
        <v>1223</v>
      </c>
      <c r="I3466" s="139" t="s">
        <v>1223</v>
      </c>
      <c r="J3466" s="139" t="s">
        <v>1223</v>
      </c>
      <c r="K3466" s="139" t="s">
        <v>1223</v>
      </c>
      <c r="L3466" s="139" t="s">
        <v>1223</v>
      </c>
      <c r="M3466" s="139" t="s">
        <v>1223</v>
      </c>
      <c r="N3466" s="139" t="s">
        <v>1223</v>
      </c>
      <c r="O3466" s="139" t="s">
        <v>1223</v>
      </c>
      <c r="P3466" s="139" t="s">
        <v>1223</v>
      </c>
      <c r="Q3466" s="141" t="s">
        <v>1265</v>
      </c>
    </row>
    <row r="3467" spans="1:17">
      <c r="A3467" s="139" t="s">
        <v>1223</v>
      </c>
      <c r="B3467" s="139" t="s">
        <v>1223</v>
      </c>
      <c r="C3467" s="139" t="s">
        <v>1223</v>
      </c>
      <c r="D3467" s="139" t="s">
        <v>1223</v>
      </c>
      <c r="E3467" s="139" t="s">
        <v>1223</v>
      </c>
      <c r="F3467" s="139" t="s">
        <v>1223</v>
      </c>
      <c r="G3467" s="139" t="s">
        <v>1223</v>
      </c>
      <c r="H3467" s="139" t="s">
        <v>1223</v>
      </c>
      <c r="I3467" s="139" t="s">
        <v>1223</v>
      </c>
      <c r="J3467" s="139" t="s">
        <v>1223</v>
      </c>
      <c r="K3467" s="139" t="s">
        <v>1223</v>
      </c>
      <c r="L3467" s="139" t="s">
        <v>1223</v>
      </c>
      <c r="M3467" s="139" t="s">
        <v>1223</v>
      </c>
      <c r="N3467" s="139" t="s">
        <v>1223</v>
      </c>
      <c r="O3467" s="139" t="s">
        <v>1223</v>
      </c>
      <c r="P3467" s="139" t="s">
        <v>1223</v>
      </c>
      <c r="Q3467" s="141" t="s">
        <v>1266</v>
      </c>
    </row>
    <row r="3468" spans="1:17">
      <c r="A3468" s="139" t="s">
        <v>1223</v>
      </c>
      <c r="B3468" s="139" t="s">
        <v>1223</v>
      </c>
      <c r="C3468" s="139" t="s">
        <v>1223</v>
      </c>
      <c r="D3468" s="139" t="s">
        <v>1223</v>
      </c>
      <c r="E3468" s="139" t="s">
        <v>1223</v>
      </c>
      <c r="F3468" s="139" t="s">
        <v>1223</v>
      </c>
      <c r="G3468" s="139" t="s">
        <v>1223</v>
      </c>
      <c r="H3468" s="139" t="s">
        <v>1223</v>
      </c>
      <c r="I3468" s="139" t="s">
        <v>1223</v>
      </c>
      <c r="J3468" s="139" t="s">
        <v>1223</v>
      </c>
      <c r="K3468" s="139" t="s">
        <v>1223</v>
      </c>
      <c r="L3468" s="139" t="s">
        <v>1223</v>
      </c>
      <c r="M3468" s="139" t="s">
        <v>1223</v>
      </c>
      <c r="N3468" s="139" t="s">
        <v>1223</v>
      </c>
      <c r="O3468" s="139" t="s">
        <v>1223</v>
      </c>
      <c r="P3468" s="139" t="s">
        <v>1223</v>
      </c>
      <c r="Q3468" s="141" t="s">
        <v>1267</v>
      </c>
    </row>
    <row r="3469" spans="1:17">
      <c r="A3469" s="139" t="s">
        <v>1223</v>
      </c>
      <c r="B3469" s="139" t="s">
        <v>1223</v>
      </c>
      <c r="C3469" s="139" t="s">
        <v>1223</v>
      </c>
      <c r="D3469" s="139" t="s">
        <v>1223</v>
      </c>
      <c r="E3469" s="139" t="s">
        <v>1223</v>
      </c>
      <c r="F3469" s="139" t="s">
        <v>1223</v>
      </c>
      <c r="G3469" s="139" t="s">
        <v>1223</v>
      </c>
      <c r="H3469" s="139" t="s">
        <v>1223</v>
      </c>
      <c r="I3469" s="139" t="s">
        <v>1223</v>
      </c>
      <c r="J3469" s="139" t="s">
        <v>1223</v>
      </c>
      <c r="K3469" s="139" t="s">
        <v>1223</v>
      </c>
      <c r="L3469" s="139" t="s">
        <v>1223</v>
      </c>
      <c r="M3469" s="139" t="s">
        <v>1223</v>
      </c>
      <c r="N3469" s="139" t="s">
        <v>1223</v>
      </c>
      <c r="O3469" s="139" t="s">
        <v>1223</v>
      </c>
      <c r="P3469" s="139" t="s">
        <v>1223</v>
      </c>
      <c r="Q3469" s="141" t="s">
        <v>1268</v>
      </c>
    </row>
    <row r="3470" spans="1:17">
      <c r="A3470" s="139" t="s">
        <v>1223</v>
      </c>
      <c r="B3470" s="139" t="s">
        <v>1223</v>
      </c>
      <c r="C3470" s="139" t="s">
        <v>1223</v>
      </c>
      <c r="D3470" s="139" t="s">
        <v>1223</v>
      </c>
      <c r="E3470" s="139" t="s">
        <v>1223</v>
      </c>
      <c r="F3470" s="139" t="s">
        <v>1223</v>
      </c>
      <c r="G3470" s="139" t="s">
        <v>1223</v>
      </c>
      <c r="H3470" s="139" t="s">
        <v>1223</v>
      </c>
      <c r="I3470" s="139" t="s">
        <v>1223</v>
      </c>
      <c r="J3470" s="139" t="s">
        <v>1223</v>
      </c>
      <c r="K3470" s="139" t="s">
        <v>1223</v>
      </c>
      <c r="L3470" s="139" t="s">
        <v>1223</v>
      </c>
      <c r="M3470" s="139" t="s">
        <v>1223</v>
      </c>
      <c r="N3470" s="139" t="s">
        <v>1223</v>
      </c>
      <c r="O3470" s="139" t="s">
        <v>1223</v>
      </c>
      <c r="P3470" s="139" t="s">
        <v>1223</v>
      </c>
      <c r="Q3470" s="141" t="s">
        <v>1269</v>
      </c>
    </row>
    <row r="3471" spans="1:17">
      <c r="A3471" s="139" t="s">
        <v>1223</v>
      </c>
      <c r="B3471" s="139" t="s">
        <v>1223</v>
      </c>
      <c r="C3471" s="139" t="s">
        <v>1223</v>
      </c>
      <c r="D3471" s="139" t="s">
        <v>1223</v>
      </c>
      <c r="E3471" s="139" t="s">
        <v>1223</v>
      </c>
      <c r="F3471" s="139" t="s">
        <v>1223</v>
      </c>
      <c r="G3471" s="139" t="s">
        <v>1223</v>
      </c>
      <c r="H3471" s="139" t="s">
        <v>1223</v>
      </c>
      <c r="I3471" s="139" t="s">
        <v>1223</v>
      </c>
      <c r="J3471" s="139" t="s">
        <v>1223</v>
      </c>
      <c r="K3471" s="139" t="s">
        <v>1223</v>
      </c>
      <c r="L3471" s="139" t="s">
        <v>1223</v>
      </c>
      <c r="M3471" s="139" t="s">
        <v>1223</v>
      </c>
      <c r="N3471" s="139" t="s">
        <v>1223</v>
      </c>
      <c r="O3471" s="139" t="s">
        <v>1223</v>
      </c>
      <c r="P3471" s="139" t="s">
        <v>1223</v>
      </c>
      <c r="Q3471" s="141" t="s">
        <v>1270</v>
      </c>
    </row>
    <row r="3472" spans="1:17">
      <c r="A3472" s="139" t="s">
        <v>1223</v>
      </c>
      <c r="B3472" s="139" t="s">
        <v>1223</v>
      </c>
      <c r="C3472" s="139" t="s">
        <v>1223</v>
      </c>
      <c r="D3472" s="139" t="s">
        <v>1223</v>
      </c>
      <c r="E3472" s="139" t="s">
        <v>1223</v>
      </c>
      <c r="F3472" s="139" t="s">
        <v>1223</v>
      </c>
      <c r="G3472" s="139" t="s">
        <v>1223</v>
      </c>
      <c r="H3472" s="139" t="s">
        <v>1223</v>
      </c>
      <c r="I3472" s="139" t="s">
        <v>1223</v>
      </c>
      <c r="J3472" s="139" t="s">
        <v>1223</v>
      </c>
      <c r="K3472" s="139" t="s">
        <v>1223</v>
      </c>
      <c r="L3472" s="139" t="s">
        <v>1223</v>
      </c>
      <c r="M3472" s="139" t="s">
        <v>1223</v>
      </c>
      <c r="N3472" s="139" t="s">
        <v>1223</v>
      </c>
      <c r="O3472" s="139" t="s">
        <v>1223</v>
      </c>
      <c r="P3472" s="139" t="s">
        <v>1223</v>
      </c>
      <c r="Q3472" s="141" t="s">
        <v>1271</v>
      </c>
    </row>
    <row r="3473" spans="1:17">
      <c r="A3473" s="139" t="s">
        <v>1223</v>
      </c>
      <c r="B3473" s="139" t="s">
        <v>1223</v>
      </c>
      <c r="C3473" s="139" t="s">
        <v>1223</v>
      </c>
      <c r="D3473" s="139" t="s">
        <v>1223</v>
      </c>
      <c r="E3473" s="139" t="s">
        <v>1223</v>
      </c>
      <c r="F3473" s="139" t="s">
        <v>1223</v>
      </c>
      <c r="G3473" s="139" t="s">
        <v>1223</v>
      </c>
      <c r="H3473" s="139" t="s">
        <v>1223</v>
      </c>
      <c r="I3473" s="139" t="s">
        <v>1223</v>
      </c>
      <c r="J3473" s="139" t="s">
        <v>1223</v>
      </c>
      <c r="K3473" s="139" t="s">
        <v>1223</v>
      </c>
      <c r="L3473" s="139" t="s">
        <v>1223</v>
      </c>
      <c r="M3473" s="139" t="s">
        <v>1223</v>
      </c>
      <c r="N3473" s="139" t="s">
        <v>1223</v>
      </c>
      <c r="O3473" s="139" t="s">
        <v>1223</v>
      </c>
      <c r="P3473" s="139" t="s">
        <v>1223</v>
      </c>
      <c r="Q3473" s="141" t="s">
        <v>1272</v>
      </c>
    </row>
    <row r="3474" spans="1:17">
      <c r="A3474" s="139" t="s">
        <v>1223</v>
      </c>
      <c r="B3474" s="139" t="s">
        <v>1223</v>
      </c>
      <c r="C3474" s="139" t="s">
        <v>1223</v>
      </c>
      <c r="D3474" s="139" t="s">
        <v>1223</v>
      </c>
      <c r="E3474" s="139" t="s">
        <v>1223</v>
      </c>
      <c r="F3474" s="139" t="s">
        <v>1223</v>
      </c>
      <c r="G3474" s="139" t="s">
        <v>1223</v>
      </c>
      <c r="H3474" s="139" t="s">
        <v>1223</v>
      </c>
      <c r="I3474" s="139" t="s">
        <v>1223</v>
      </c>
      <c r="J3474" s="139" t="s">
        <v>1223</v>
      </c>
      <c r="K3474" s="139" t="s">
        <v>1223</v>
      </c>
      <c r="L3474" s="139" t="s">
        <v>1223</v>
      </c>
      <c r="M3474" s="139" t="s">
        <v>1223</v>
      </c>
      <c r="N3474" s="139" t="s">
        <v>1223</v>
      </c>
      <c r="O3474" s="139" t="s">
        <v>1223</v>
      </c>
      <c r="P3474" s="139" t="s">
        <v>1223</v>
      </c>
      <c r="Q3474" s="141" t="s">
        <v>1273</v>
      </c>
    </row>
    <row r="3475" spans="1:17">
      <c r="A3475" s="139" t="s">
        <v>1223</v>
      </c>
      <c r="B3475" s="139" t="s">
        <v>1223</v>
      </c>
      <c r="C3475" s="139" t="s">
        <v>1223</v>
      </c>
      <c r="D3475" s="139" t="s">
        <v>1223</v>
      </c>
      <c r="E3475" s="139" t="s">
        <v>1223</v>
      </c>
      <c r="F3475" s="139" t="s">
        <v>1223</v>
      </c>
      <c r="G3475" s="139" t="s">
        <v>1223</v>
      </c>
      <c r="H3475" s="139" t="s">
        <v>1223</v>
      </c>
      <c r="I3475" s="139" t="s">
        <v>1223</v>
      </c>
      <c r="J3475" s="139" t="s">
        <v>1223</v>
      </c>
      <c r="K3475" s="139" t="s">
        <v>1223</v>
      </c>
      <c r="L3475" s="139" t="s">
        <v>1223</v>
      </c>
      <c r="M3475" s="139" t="s">
        <v>1223</v>
      </c>
      <c r="N3475" s="139" t="s">
        <v>1223</v>
      </c>
      <c r="O3475" s="139" t="s">
        <v>1223</v>
      </c>
      <c r="P3475" s="139" t="s">
        <v>1223</v>
      </c>
      <c r="Q3475" s="141" t="s">
        <v>1274</v>
      </c>
    </row>
    <row r="3476" spans="1:17">
      <c r="A3476" s="139" t="s">
        <v>1223</v>
      </c>
      <c r="B3476" s="139" t="s">
        <v>1223</v>
      </c>
      <c r="C3476" s="139" t="s">
        <v>1223</v>
      </c>
      <c r="D3476" s="139" t="s">
        <v>1223</v>
      </c>
      <c r="E3476" s="139" t="s">
        <v>1223</v>
      </c>
      <c r="F3476" s="139" t="s">
        <v>1223</v>
      </c>
      <c r="G3476" s="139" t="s">
        <v>1223</v>
      </c>
      <c r="H3476" s="139" t="s">
        <v>1223</v>
      </c>
      <c r="I3476" s="139" t="s">
        <v>1223</v>
      </c>
      <c r="J3476" s="139" t="s">
        <v>1223</v>
      </c>
      <c r="K3476" s="139" t="s">
        <v>1223</v>
      </c>
      <c r="L3476" s="139" t="s">
        <v>1223</v>
      </c>
      <c r="M3476" s="139" t="s">
        <v>1223</v>
      </c>
      <c r="N3476" s="139" t="s">
        <v>1223</v>
      </c>
      <c r="O3476" s="139" t="s">
        <v>1223</v>
      </c>
      <c r="P3476" s="139" t="s">
        <v>1223</v>
      </c>
      <c r="Q3476" s="141" t="s">
        <v>1275</v>
      </c>
    </row>
    <row r="3477" spans="1:17">
      <c r="A3477" s="139" t="s">
        <v>1223</v>
      </c>
      <c r="B3477" s="139" t="s">
        <v>1223</v>
      </c>
      <c r="C3477" s="139" t="s">
        <v>1223</v>
      </c>
      <c r="D3477" s="139" t="s">
        <v>1223</v>
      </c>
      <c r="E3477" s="139" t="s">
        <v>1223</v>
      </c>
      <c r="F3477" s="139" t="s">
        <v>1223</v>
      </c>
      <c r="G3477" s="139" t="s">
        <v>1223</v>
      </c>
      <c r="H3477" s="139" t="s">
        <v>1223</v>
      </c>
      <c r="I3477" s="139" t="s">
        <v>1223</v>
      </c>
      <c r="J3477" s="139" t="s">
        <v>1223</v>
      </c>
      <c r="K3477" s="139" t="s">
        <v>1223</v>
      </c>
      <c r="L3477" s="139" t="s">
        <v>1223</v>
      </c>
      <c r="M3477" s="139" t="s">
        <v>1223</v>
      </c>
      <c r="N3477" s="139" t="s">
        <v>1223</v>
      </c>
      <c r="O3477" s="139" t="s">
        <v>1223</v>
      </c>
      <c r="P3477" s="139" t="s">
        <v>1223</v>
      </c>
      <c r="Q3477" s="141" t="s">
        <v>1276</v>
      </c>
    </row>
    <row r="3478" spans="1:17">
      <c r="A3478" s="139" t="s">
        <v>1223</v>
      </c>
      <c r="B3478" s="139" t="s">
        <v>1223</v>
      </c>
      <c r="C3478" s="139" t="s">
        <v>1223</v>
      </c>
      <c r="D3478" s="139" t="s">
        <v>1223</v>
      </c>
      <c r="E3478" s="139" t="s">
        <v>1223</v>
      </c>
      <c r="F3478" s="139" t="s">
        <v>1223</v>
      </c>
      <c r="G3478" s="139" t="s">
        <v>1223</v>
      </c>
      <c r="H3478" s="139" t="s">
        <v>1223</v>
      </c>
      <c r="I3478" s="139" t="s">
        <v>1223</v>
      </c>
      <c r="J3478" s="139" t="s">
        <v>1223</v>
      </c>
      <c r="K3478" s="139" t="s">
        <v>1223</v>
      </c>
      <c r="L3478" s="139" t="s">
        <v>1223</v>
      </c>
      <c r="M3478" s="139" t="s">
        <v>1223</v>
      </c>
      <c r="N3478" s="139" t="s">
        <v>1223</v>
      </c>
      <c r="O3478" s="139" t="s">
        <v>1223</v>
      </c>
      <c r="P3478" s="139" t="s">
        <v>1223</v>
      </c>
      <c r="Q3478" s="141" t="s">
        <v>1277</v>
      </c>
    </row>
    <row r="3479" spans="1:17">
      <c r="A3479" s="139" t="s">
        <v>1223</v>
      </c>
      <c r="B3479" s="139" t="s">
        <v>1223</v>
      </c>
      <c r="C3479" s="139" t="s">
        <v>1223</v>
      </c>
      <c r="D3479" s="139" t="s">
        <v>1223</v>
      </c>
      <c r="E3479" s="139" t="s">
        <v>1223</v>
      </c>
      <c r="F3479" s="139" t="s">
        <v>1223</v>
      </c>
      <c r="G3479" s="139" t="s">
        <v>1223</v>
      </c>
      <c r="H3479" s="139" t="s">
        <v>1223</v>
      </c>
      <c r="I3479" s="139" t="s">
        <v>1223</v>
      </c>
      <c r="J3479" s="139" t="s">
        <v>1223</v>
      </c>
      <c r="K3479" s="139" t="s">
        <v>1223</v>
      </c>
      <c r="L3479" s="139" t="s">
        <v>1223</v>
      </c>
      <c r="M3479" s="139" t="s">
        <v>1223</v>
      </c>
      <c r="N3479" s="139" t="s">
        <v>1223</v>
      </c>
      <c r="O3479" s="139" t="s">
        <v>1223</v>
      </c>
      <c r="P3479" s="139" t="s">
        <v>1223</v>
      </c>
      <c r="Q3479" s="141" t="s">
        <v>1278</v>
      </c>
    </row>
    <row r="3480" spans="1:17">
      <c r="A3480" s="139" t="s">
        <v>1223</v>
      </c>
      <c r="B3480" s="139" t="s">
        <v>1223</v>
      </c>
      <c r="C3480" s="139" t="s">
        <v>1223</v>
      </c>
      <c r="D3480" s="139" t="s">
        <v>1223</v>
      </c>
      <c r="E3480" s="139" t="s">
        <v>1223</v>
      </c>
      <c r="F3480" s="139" t="s">
        <v>1223</v>
      </c>
      <c r="G3480" s="139" t="s">
        <v>1223</v>
      </c>
      <c r="H3480" s="139" t="s">
        <v>1223</v>
      </c>
      <c r="I3480" s="139" t="s">
        <v>1223</v>
      </c>
      <c r="J3480" s="139" t="s">
        <v>1223</v>
      </c>
      <c r="K3480" s="139" t="s">
        <v>1223</v>
      </c>
      <c r="L3480" s="139" t="s">
        <v>1223</v>
      </c>
      <c r="M3480" s="139" t="s">
        <v>1223</v>
      </c>
      <c r="N3480" s="139" t="s">
        <v>1223</v>
      </c>
      <c r="O3480" s="139" t="s">
        <v>1223</v>
      </c>
      <c r="P3480" s="139" t="s">
        <v>1223</v>
      </c>
      <c r="Q3480" s="141" t="s">
        <v>1279</v>
      </c>
    </row>
    <row r="3481" spans="1:17">
      <c r="A3481" s="139" t="s">
        <v>1223</v>
      </c>
      <c r="B3481" s="139" t="s">
        <v>1223</v>
      </c>
      <c r="C3481" s="139" t="s">
        <v>1223</v>
      </c>
      <c r="D3481" s="139" t="s">
        <v>1223</v>
      </c>
      <c r="E3481" s="139" t="s">
        <v>1223</v>
      </c>
      <c r="F3481" s="139" t="s">
        <v>1223</v>
      </c>
      <c r="G3481" s="139" t="s">
        <v>1223</v>
      </c>
      <c r="H3481" s="139" t="s">
        <v>1223</v>
      </c>
      <c r="I3481" s="139" t="s">
        <v>1223</v>
      </c>
      <c r="J3481" s="139" t="s">
        <v>1223</v>
      </c>
      <c r="K3481" s="139" t="s">
        <v>1223</v>
      </c>
      <c r="L3481" s="139" t="s">
        <v>1223</v>
      </c>
      <c r="M3481" s="139" t="s">
        <v>1223</v>
      </c>
      <c r="N3481" s="139" t="s">
        <v>1223</v>
      </c>
      <c r="O3481" s="139" t="s">
        <v>1223</v>
      </c>
      <c r="P3481" s="139" t="s">
        <v>1223</v>
      </c>
      <c r="Q3481" s="141" t="s">
        <v>1280</v>
      </c>
    </row>
    <row r="3482" spans="1:17">
      <c r="A3482" s="139" t="s">
        <v>1223</v>
      </c>
      <c r="B3482" s="139" t="s">
        <v>1223</v>
      </c>
      <c r="C3482" s="139" t="s">
        <v>1223</v>
      </c>
      <c r="D3482" s="139" t="s">
        <v>1223</v>
      </c>
      <c r="E3482" s="139" t="s">
        <v>1223</v>
      </c>
      <c r="F3482" s="139" t="s">
        <v>1223</v>
      </c>
      <c r="G3482" s="139" t="s">
        <v>1223</v>
      </c>
      <c r="H3482" s="139" t="s">
        <v>1223</v>
      </c>
      <c r="I3482" s="139" t="s">
        <v>1223</v>
      </c>
      <c r="J3482" s="139" t="s">
        <v>1223</v>
      </c>
      <c r="K3482" s="139" t="s">
        <v>1223</v>
      </c>
      <c r="L3482" s="139" t="s">
        <v>1223</v>
      </c>
      <c r="M3482" s="139" t="s">
        <v>1223</v>
      </c>
      <c r="N3482" s="139" t="s">
        <v>1223</v>
      </c>
      <c r="O3482" s="139" t="s">
        <v>1223</v>
      </c>
      <c r="P3482" s="139" t="s">
        <v>1223</v>
      </c>
      <c r="Q3482" s="141" t="s">
        <v>1281</v>
      </c>
    </row>
    <row r="3483" spans="1:17">
      <c r="A3483" s="139" t="s">
        <v>1223</v>
      </c>
      <c r="B3483" s="139" t="s">
        <v>1223</v>
      </c>
      <c r="C3483" s="139" t="s">
        <v>1223</v>
      </c>
      <c r="D3483" s="139" t="s">
        <v>1223</v>
      </c>
      <c r="E3483" s="139" t="s">
        <v>1223</v>
      </c>
      <c r="F3483" s="139" t="s">
        <v>1223</v>
      </c>
      <c r="G3483" s="139" t="s">
        <v>1223</v>
      </c>
      <c r="H3483" s="139" t="s">
        <v>1223</v>
      </c>
      <c r="I3483" s="139" t="s">
        <v>1223</v>
      </c>
      <c r="J3483" s="139" t="s">
        <v>1223</v>
      </c>
      <c r="K3483" s="139" t="s">
        <v>1223</v>
      </c>
      <c r="L3483" s="139" t="s">
        <v>1223</v>
      </c>
      <c r="M3483" s="139" t="s">
        <v>1223</v>
      </c>
      <c r="N3483" s="139" t="s">
        <v>1223</v>
      </c>
      <c r="O3483" s="139" t="s">
        <v>1223</v>
      </c>
      <c r="P3483" s="139" t="s">
        <v>1223</v>
      </c>
      <c r="Q3483" s="141" t="s">
        <v>1282</v>
      </c>
    </row>
    <row r="3484" spans="1:17">
      <c r="A3484" s="139" t="s">
        <v>1223</v>
      </c>
      <c r="B3484" s="139" t="s">
        <v>1223</v>
      </c>
      <c r="C3484" s="139" t="s">
        <v>1223</v>
      </c>
      <c r="D3484" s="139" t="s">
        <v>1223</v>
      </c>
      <c r="E3484" s="139" t="s">
        <v>1223</v>
      </c>
      <c r="F3484" s="139" t="s">
        <v>1223</v>
      </c>
      <c r="G3484" s="139" t="s">
        <v>1223</v>
      </c>
      <c r="H3484" s="139" t="s">
        <v>1223</v>
      </c>
      <c r="I3484" s="139" t="s">
        <v>1223</v>
      </c>
      <c r="J3484" s="139" t="s">
        <v>1223</v>
      </c>
      <c r="K3484" s="139" t="s">
        <v>1223</v>
      </c>
      <c r="L3484" s="139" t="s">
        <v>1223</v>
      </c>
      <c r="M3484" s="139" t="s">
        <v>1223</v>
      </c>
      <c r="N3484" s="139" t="s">
        <v>1223</v>
      </c>
      <c r="O3484" s="139" t="s">
        <v>1223</v>
      </c>
      <c r="P3484" s="139" t="s">
        <v>1223</v>
      </c>
      <c r="Q3484" s="141" t="s">
        <v>1283</v>
      </c>
    </row>
    <row r="3485" spans="1:17">
      <c r="A3485" s="139" t="s">
        <v>1223</v>
      </c>
      <c r="B3485" s="139" t="s">
        <v>1223</v>
      </c>
      <c r="C3485" s="139" t="s">
        <v>1223</v>
      </c>
      <c r="D3485" s="139" t="s">
        <v>1223</v>
      </c>
      <c r="E3485" s="139" t="s">
        <v>1223</v>
      </c>
      <c r="F3485" s="139" t="s">
        <v>1223</v>
      </c>
      <c r="G3485" s="139" t="s">
        <v>1223</v>
      </c>
      <c r="H3485" s="139" t="s">
        <v>1223</v>
      </c>
      <c r="I3485" s="139" t="s">
        <v>1223</v>
      </c>
      <c r="J3485" s="139" t="s">
        <v>1223</v>
      </c>
      <c r="K3485" s="139" t="s">
        <v>1223</v>
      </c>
      <c r="L3485" s="139" t="s">
        <v>1223</v>
      </c>
      <c r="M3485" s="139" t="s">
        <v>1223</v>
      </c>
      <c r="N3485" s="139" t="s">
        <v>1223</v>
      </c>
      <c r="O3485" s="139" t="s">
        <v>1223</v>
      </c>
      <c r="P3485" s="139" t="s">
        <v>1223</v>
      </c>
      <c r="Q3485" s="141" t="s">
        <v>1284</v>
      </c>
    </row>
    <row r="3486" spans="1:17">
      <c r="A3486" s="139" t="s">
        <v>1223</v>
      </c>
      <c r="B3486" s="139" t="s">
        <v>1223</v>
      </c>
      <c r="C3486" s="139" t="s">
        <v>1223</v>
      </c>
      <c r="D3486" s="139" t="s">
        <v>1223</v>
      </c>
      <c r="E3486" s="139" t="s">
        <v>1223</v>
      </c>
      <c r="F3486" s="139" t="s">
        <v>1223</v>
      </c>
      <c r="G3486" s="139" t="s">
        <v>1223</v>
      </c>
      <c r="H3486" s="139" t="s">
        <v>1223</v>
      </c>
      <c r="I3486" s="139" t="s">
        <v>1223</v>
      </c>
      <c r="J3486" s="139" t="s">
        <v>1223</v>
      </c>
      <c r="K3486" s="139" t="s">
        <v>1223</v>
      </c>
      <c r="L3486" s="139" t="s">
        <v>1223</v>
      </c>
      <c r="M3486" s="139" t="s">
        <v>1223</v>
      </c>
      <c r="N3486" s="139" t="s">
        <v>1223</v>
      </c>
      <c r="O3486" s="139" t="s">
        <v>1223</v>
      </c>
      <c r="P3486" s="139" t="s">
        <v>1223</v>
      </c>
      <c r="Q3486" s="141" t="s">
        <v>1285</v>
      </c>
    </row>
    <row r="3487" spans="1:17">
      <c r="A3487" s="139" t="s">
        <v>1223</v>
      </c>
      <c r="B3487" s="139" t="s">
        <v>1223</v>
      </c>
      <c r="C3487" s="139" t="s">
        <v>1223</v>
      </c>
      <c r="D3487" s="139" t="s">
        <v>1223</v>
      </c>
      <c r="E3487" s="139" t="s">
        <v>1223</v>
      </c>
      <c r="F3487" s="139" t="s">
        <v>1223</v>
      </c>
      <c r="G3487" s="139" t="s">
        <v>1223</v>
      </c>
      <c r="H3487" s="139" t="s">
        <v>1223</v>
      </c>
      <c r="I3487" s="139"/>
      <c r="J3487" s="139"/>
      <c r="K3487" s="139"/>
      <c r="L3487" s="139"/>
      <c r="M3487" s="139"/>
      <c r="N3487" s="139"/>
      <c r="O3487" s="139"/>
      <c r="P3487" s="139"/>
      <c r="Q3487" s="141" t="s">
        <v>1286</v>
      </c>
    </row>
    <row r="3488" spans="1:17" ht="15">
      <c r="A3488" s="137" t="s">
        <v>1293</v>
      </c>
      <c r="B3488" s="137"/>
      <c r="C3488" s="137"/>
      <c r="D3488" s="137"/>
      <c r="E3488" s="137"/>
      <c r="F3488" s="137"/>
      <c r="G3488" s="137"/>
      <c r="H3488" s="137"/>
      <c r="I3488" s="137"/>
      <c r="J3488" s="137"/>
      <c r="K3488" s="137"/>
      <c r="L3488" s="137"/>
      <c r="M3488" s="137"/>
      <c r="N3488" s="137"/>
      <c r="O3488" s="137"/>
      <c r="P3488" s="137"/>
      <c r="Q3488" s="137"/>
    </row>
    <row r="3489" spans="1:17">
      <c r="A3489" s="139" t="s">
        <v>1223</v>
      </c>
      <c r="B3489" s="139" t="s">
        <v>1223</v>
      </c>
      <c r="C3489" s="139" t="s">
        <v>1223</v>
      </c>
      <c r="D3489" s="139" t="s">
        <v>1223</v>
      </c>
      <c r="E3489" s="139" t="s">
        <v>1223</v>
      </c>
      <c r="F3489" s="139" t="s">
        <v>1223</v>
      </c>
      <c r="G3489" s="139" t="s">
        <v>1223</v>
      </c>
      <c r="H3489" s="139" t="s">
        <v>1223</v>
      </c>
      <c r="I3489" s="139" t="s">
        <v>1223</v>
      </c>
      <c r="J3489" s="139" t="s">
        <v>1223</v>
      </c>
      <c r="K3489" s="139" t="s">
        <v>1223</v>
      </c>
      <c r="L3489" s="139" t="s">
        <v>1223</v>
      </c>
      <c r="M3489" s="139" t="s">
        <v>1223</v>
      </c>
      <c r="N3489" s="139" t="s">
        <v>1223</v>
      </c>
      <c r="O3489" s="139" t="s">
        <v>1223</v>
      </c>
      <c r="P3489" s="139" t="s">
        <v>1223</v>
      </c>
      <c r="Q3489" s="141" t="s">
        <v>1224</v>
      </c>
    </row>
    <row r="3490" spans="1:17">
      <c r="A3490" s="139" t="s">
        <v>1223</v>
      </c>
      <c r="B3490" s="139" t="s">
        <v>1223</v>
      </c>
      <c r="C3490" s="139" t="s">
        <v>1223</v>
      </c>
      <c r="D3490" s="139" t="s">
        <v>1223</v>
      </c>
      <c r="E3490" s="139" t="s">
        <v>1223</v>
      </c>
      <c r="F3490" s="139" t="s">
        <v>1223</v>
      </c>
      <c r="G3490" s="139" t="s">
        <v>1223</v>
      </c>
      <c r="H3490" s="139" t="s">
        <v>1223</v>
      </c>
      <c r="I3490" s="139" t="s">
        <v>1223</v>
      </c>
      <c r="J3490" s="139" t="s">
        <v>1223</v>
      </c>
      <c r="K3490" s="139" t="s">
        <v>1223</v>
      </c>
      <c r="L3490" s="139" t="s">
        <v>1223</v>
      </c>
      <c r="M3490" s="139" t="s">
        <v>1223</v>
      </c>
      <c r="N3490" s="139" t="s">
        <v>1223</v>
      </c>
      <c r="O3490" s="139" t="s">
        <v>1223</v>
      </c>
      <c r="P3490" s="139" t="s">
        <v>1223</v>
      </c>
      <c r="Q3490" s="141" t="s">
        <v>1225</v>
      </c>
    </row>
    <row r="3491" spans="1:17">
      <c r="A3491" s="139" t="s">
        <v>1223</v>
      </c>
      <c r="B3491" s="139" t="s">
        <v>1223</v>
      </c>
      <c r="C3491" s="139" t="s">
        <v>1223</v>
      </c>
      <c r="D3491" s="139" t="s">
        <v>1223</v>
      </c>
      <c r="E3491" s="139" t="s">
        <v>1223</v>
      </c>
      <c r="F3491" s="139" t="s">
        <v>1223</v>
      </c>
      <c r="G3491" s="139" t="s">
        <v>1223</v>
      </c>
      <c r="H3491" s="139" t="s">
        <v>1223</v>
      </c>
      <c r="I3491" s="139" t="s">
        <v>1223</v>
      </c>
      <c r="J3491" s="139" t="s">
        <v>1223</v>
      </c>
      <c r="K3491" s="139" t="s">
        <v>1223</v>
      </c>
      <c r="L3491" s="139" t="s">
        <v>1223</v>
      </c>
      <c r="M3491" s="139" t="s">
        <v>1223</v>
      </c>
      <c r="N3491" s="139" t="s">
        <v>1223</v>
      </c>
      <c r="O3491" s="139" t="s">
        <v>1223</v>
      </c>
      <c r="P3491" s="139" t="s">
        <v>1223</v>
      </c>
      <c r="Q3491" s="141" t="s">
        <v>1226</v>
      </c>
    </row>
    <row r="3492" spans="1:17">
      <c r="A3492" s="139" t="s">
        <v>1223</v>
      </c>
      <c r="B3492" s="139" t="s">
        <v>1223</v>
      </c>
      <c r="C3492" s="139" t="s">
        <v>1223</v>
      </c>
      <c r="D3492" s="139" t="s">
        <v>1223</v>
      </c>
      <c r="E3492" s="139" t="s">
        <v>1223</v>
      </c>
      <c r="F3492" s="139" t="s">
        <v>1223</v>
      </c>
      <c r="G3492" s="139" t="s">
        <v>1223</v>
      </c>
      <c r="H3492" s="139" t="s">
        <v>1223</v>
      </c>
      <c r="I3492" s="139" t="s">
        <v>1223</v>
      </c>
      <c r="J3492" s="139" t="s">
        <v>1223</v>
      </c>
      <c r="K3492" s="139" t="s">
        <v>1223</v>
      </c>
      <c r="L3492" s="139" t="s">
        <v>1223</v>
      </c>
      <c r="M3492" s="139" t="s">
        <v>1223</v>
      </c>
      <c r="N3492" s="139" t="s">
        <v>1223</v>
      </c>
      <c r="O3492" s="139" t="s">
        <v>1223</v>
      </c>
      <c r="P3492" s="139" t="s">
        <v>1223</v>
      </c>
      <c r="Q3492" s="141" t="s">
        <v>1227</v>
      </c>
    </row>
    <row r="3493" spans="1:17">
      <c r="A3493" s="139" t="s">
        <v>1223</v>
      </c>
      <c r="B3493" s="139" t="s">
        <v>1223</v>
      </c>
      <c r="C3493" s="139" t="s">
        <v>1223</v>
      </c>
      <c r="D3493" s="139" t="s">
        <v>1223</v>
      </c>
      <c r="E3493" s="139" t="s">
        <v>1223</v>
      </c>
      <c r="F3493" s="139" t="s">
        <v>1223</v>
      </c>
      <c r="G3493" s="139" t="s">
        <v>1223</v>
      </c>
      <c r="H3493" s="139" t="s">
        <v>1223</v>
      </c>
      <c r="I3493" s="139" t="s">
        <v>1223</v>
      </c>
      <c r="J3493" s="139" t="s">
        <v>1223</v>
      </c>
      <c r="K3493" s="139" t="s">
        <v>1223</v>
      </c>
      <c r="L3493" s="139" t="s">
        <v>1223</v>
      </c>
      <c r="M3493" s="139" t="s">
        <v>1223</v>
      </c>
      <c r="N3493" s="139" t="s">
        <v>1223</v>
      </c>
      <c r="O3493" s="139" t="s">
        <v>1223</v>
      </c>
      <c r="P3493" s="139" t="s">
        <v>1223</v>
      </c>
      <c r="Q3493" s="141" t="s">
        <v>1228</v>
      </c>
    </row>
    <row r="3494" spans="1:17">
      <c r="A3494" s="139" t="s">
        <v>1223</v>
      </c>
      <c r="B3494" s="139" t="s">
        <v>1223</v>
      </c>
      <c r="C3494" s="139" t="s">
        <v>1223</v>
      </c>
      <c r="D3494" s="139" t="s">
        <v>1223</v>
      </c>
      <c r="E3494" s="139" t="s">
        <v>1223</v>
      </c>
      <c r="F3494" s="139" t="s">
        <v>1223</v>
      </c>
      <c r="G3494" s="139" t="s">
        <v>1223</v>
      </c>
      <c r="H3494" s="139" t="s">
        <v>1223</v>
      </c>
      <c r="I3494" s="139" t="s">
        <v>1223</v>
      </c>
      <c r="J3494" s="139" t="s">
        <v>1223</v>
      </c>
      <c r="K3494" s="139" t="s">
        <v>1223</v>
      </c>
      <c r="L3494" s="139" t="s">
        <v>1223</v>
      </c>
      <c r="M3494" s="139" t="s">
        <v>1223</v>
      </c>
      <c r="N3494" s="139" t="s">
        <v>1223</v>
      </c>
      <c r="O3494" s="139" t="s">
        <v>1223</v>
      </c>
      <c r="P3494" s="139" t="s">
        <v>1223</v>
      </c>
      <c r="Q3494" s="141" t="s">
        <v>1229</v>
      </c>
    </row>
    <row r="3495" spans="1:17">
      <c r="A3495" s="139" t="s">
        <v>1223</v>
      </c>
      <c r="B3495" s="139" t="s">
        <v>1223</v>
      </c>
      <c r="C3495" s="139" t="s">
        <v>1223</v>
      </c>
      <c r="D3495" s="139" t="s">
        <v>1223</v>
      </c>
      <c r="E3495" s="139" t="s">
        <v>1223</v>
      </c>
      <c r="F3495" s="139" t="s">
        <v>1223</v>
      </c>
      <c r="G3495" s="139" t="s">
        <v>1223</v>
      </c>
      <c r="H3495" s="139" t="s">
        <v>1223</v>
      </c>
      <c r="I3495" s="139" t="s">
        <v>1223</v>
      </c>
      <c r="J3495" s="139" t="s">
        <v>1223</v>
      </c>
      <c r="K3495" s="139" t="s">
        <v>1223</v>
      </c>
      <c r="L3495" s="139" t="s">
        <v>1223</v>
      </c>
      <c r="M3495" s="139" t="s">
        <v>1223</v>
      </c>
      <c r="N3495" s="139" t="s">
        <v>1223</v>
      </c>
      <c r="O3495" s="139" t="s">
        <v>1223</v>
      </c>
      <c r="P3495" s="139" t="s">
        <v>1223</v>
      </c>
      <c r="Q3495" s="141" t="s">
        <v>1230</v>
      </c>
    </row>
    <row r="3496" spans="1:17">
      <c r="A3496" s="139" t="s">
        <v>1223</v>
      </c>
      <c r="B3496" s="139" t="s">
        <v>1223</v>
      </c>
      <c r="C3496" s="139" t="s">
        <v>1223</v>
      </c>
      <c r="D3496" s="139" t="s">
        <v>1223</v>
      </c>
      <c r="E3496" s="139" t="s">
        <v>1223</v>
      </c>
      <c r="F3496" s="139" t="s">
        <v>1223</v>
      </c>
      <c r="G3496" s="139" t="s">
        <v>1223</v>
      </c>
      <c r="H3496" s="139" t="s">
        <v>1223</v>
      </c>
      <c r="I3496" s="139" t="s">
        <v>1223</v>
      </c>
      <c r="J3496" s="139" t="s">
        <v>1223</v>
      </c>
      <c r="K3496" s="139" t="s">
        <v>1223</v>
      </c>
      <c r="L3496" s="139" t="s">
        <v>1223</v>
      </c>
      <c r="M3496" s="139" t="s">
        <v>1223</v>
      </c>
      <c r="N3496" s="139" t="s">
        <v>1223</v>
      </c>
      <c r="O3496" s="139" t="s">
        <v>1223</v>
      </c>
      <c r="P3496" s="139" t="s">
        <v>1223</v>
      </c>
      <c r="Q3496" s="141" t="s">
        <v>1231</v>
      </c>
    </row>
    <row r="3497" spans="1:17">
      <c r="A3497" s="139" t="s">
        <v>1223</v>
      </c>
      <c r="B3497" s="139" t="s">
        <v>1223</v>
      </c>
      <c r="C3497" s="139" t="s">
        <v>1223</v>
      </c>
      <c r="D3497" s="139" t="s">
        <v>1223</v>
      </c>
      <c r="E3497" s="139" t="s">
        <v>1223</v>
      </c>
      <c r="F3497" s="139" t="s">
        <v>1223</v>
      </c>
      <c r="G3497" s="139" t="s">
        <v>1223</v>
      </c>
      <c r="H3497" s="139" t="s">
        <v>1223</v>
      </c>
      <c r="I3497" s="139" t="s">
        <v>1223</v>
      </c>
      <c r="J3497" s="139" t="s">
        <v>1223</v>
      </c>
      <c r="K3497" s="139" t="s">
        <v>1223</v>
      </c>
      <c r="L3497" s="139" t="s">
        <v>1223</v>
      </c>
      <c r="M3497" s="139" t="s">
        <v>1223</v>
      </c>
      <c r="N3497" s="139" t="s">
        <v>1223</v>
      </c>
      <c r="O3497" s="139" t="s">
        <v>1223</v>
      </c>
      <c r="P3497" s="139" t="s">
        <v>1223</v>
      </c>
      <c r="Q3497" s="141" t="s">
        <v>1232</v>
      </c>
    </row>
    <row r="3498" spans="1:17">
      <c r="A3498" s="139" t="s">
        <v>1223</v>
      </c>
      <c r="B3498" s="139" t="s">
        <v>1223</v>
      </c>
      <c r="C3498" s="139" t="s">
        <v>1223</v>
      </c>
      <c r="D3498" s="139" t="s">
        <v>1223</v>
      </c>
      <c r="E3498" s="139" t="s">
        <v>1223</v>
      </c>
      <c r="F3498" s="139" t="s">
        <v>1223</v>
      </c>
      <c r="G3498" s="139" t="s">
        <v>1223</v>
      </c>
      <c r="H3498" s="139" t="s">
        <v>1223</v>
      </c>
      <c r="I3498" s="139" t="s">
        <v>1223</v>
      </c>
      <c r="J3498" s="139" t="s">
        <v>1223</v>
      </c>
      <c r="K3498" s="139" t="s">
        <v>1223</v>
      </c>
      <c r="L3498" s="139" t="s">
        <v>1223</v>
      </c>
      <c r="M3498" s="139" t="s">
        <v>1223</v>
      </c>
      <c r="N3498" s="139" t="s">
        <v>1223</v>
      </c>
      <c r="O3498" s="139" t="s">
        <v>1223</v>
      </c>
      <c r="P3498" s="139" t="s">
        <v>1223</v>
      </c>
      <c r="Q3498" s="141" t="s">
        <v>1233</v>
      </c>
    </row>
    <row r="3499" spans="1:17">
      <c r="A3499" s="139" t="s">
        <v>1223</v>
      </c>
      <c r="B3499" s="139" t="s">
        <v>1223</v>
      </c>
      <c r="C3499" s="139" t="s">
        <v>1223</v>
      </c>
      <c r="D3499" s="139" t="s">
        <v>1223</v>
      </c>
      <c r="E3499" s="139" t="s">
        <v>1223</v>
      </c>
      <c r="F3499" s="139" t="s">
        <v>1223</v>
      </c>
      <c r="G3499" s="139" t="s">
        <v>1223</v>
      </c>
      <c r="H3499" s="139" t="s">
        <v>1223</v>
      </c>
      <c r="I3499" s="139" t="s">
        <v>1223</v>
      </c>
      <c r="J3499" s="139" t="s">
        <v>1223</v>
      </c>
      <c r="K3499" s="139" t="s">
        <v>1223</v>
      </c>
      <c r="L3499" s="139" t="s">
        <v>1223</v>
      </c>
      <c r="M3499" s="139" t="s">
        <v>1223</v>
      </c>
      <c r="N3499" s="139" t="s">
        <v>1223</v>
      </c>
      <c r="O3499" s="139" t="s">
        <v>1223</v>
      </c>
      <c r="P3499" s="139" t="s">
        <v>1223</v>
      </c>
      <c r="Q3499" s="141" t="s">
        <v>1234</v>
      </c>
    </row>
    <row r="3500" spans="1:17">
      <c r="A3500" s="139" t="s">
        <v>1223</v>
      </c>
      <c r="B3500" s="139" t="s">
        <v>1223</v>
      </c>
      <c r="C3500" s="139" t="s">
        <v>1223</v>
      </c>
      <c r="D3500" s="139" t="s">
        <v>1223</v>
      </c>
      <c r="E3500" s="139" t="s">
        <v>1223</v>
      </c>
      <c r="F3500" s="139" t="s">
        <v>1223</v>
      </c>
      <c r="G3500" s="139" t="s">
        <v>1223</v>
      </c>
      <c r="H3500" s="139" t="s">
        <v>1223</v>
      </c>
      <c r="I3500" s="139" t="s">
        <v>1223</v>
      </c>
      <c r="J3500" s="139" t="s">
        <v>1223</v>
      </c>
      <c r="K3500" s="139" t="s">
        <v>1223</v>
      </c>
      <c r="L3500" s="139" t="s">
        <v>1223</v>
      </c>
      <c r="M3500" s="139" t="s">
        <v>1223</v>
      </c>
      <c r="N3500" s="139" t="s">
        <v>1223</v>
      </c>
      <c r="O3500" s="139" t="s">
        <v>1223</v>
      </c>
      <c r="P3500" s="139" t="s">
        <v>1223</v>
      </c>
      <c r="Q3500" s="141" t="s">
        <v>1235</v>
      </c>
    </row>
    <row r="3501" spans="1:17">
      <c r="A3501" s="139" t="s">
        <v>1223</v>
      </c>
      <c r="B3501" s="139" t="s">
        <v>1223</v>
      </c>
      <c r="C3501" s="139" t="s">
        <v>1223</v>
      </c>
      <c r="D3501" s="139" t="s">
        <v>1223</v>
      </c>
      <c r="E3501" s="139" t="s">
        <v>1223</v>
      </c>
      <c r="F3501" s="139" t="s">
        <v>1223</v>
      </c>
      <c r="G3501" s="139" t="s">
        <v>1223</v>
      </c>
      <c r="H3501" s="139" t="s">
        <v>1223</v>
      </c>
      <c r="I3501" s="139" t="s">
        <v>1223</v>
      </c>
      <c r="J3501" s="139" t="s">
        <v>1223</v>
      </c>
      <c r="K3501" s="139" t="s">
        <v>1223</v>
      </c>
      <c r="L3501" s="139" t="s">
        <v>1223</v>
      </c>
      <c r="M3501" s="139" t="s">
        <v>1223</v>
      </c>
      <c r="N3501" s="139" t="s">
        <v>1223</v>
      </c>
      <c r="O3501" s="139" t="s">
        <v>1223</v>
      </c>
      <c r="P3501" s="139" t="s">
        <v>1223</v>
      </c>
      <c r="Q3501" s="141" t="s">
        <v>1236</v>
      </c>
    </row>
    <row r="3502" spans="1:17">
      <c r="A3502" s="139" t="s">
        <v>1223</v>
      </c>
      <c r="B3502" s="139" t="s">
        <v>1223</v>
      </c>
      <c r="C3502" s="139" t="s">
        <v>1223</v>
      </c>
      <c r="D3502" s="139" t="s">
        <v>1223</v>
      </c>
      <c r="E3502" s="139" t="s">
        <v>1223</v>
      </c>
      <c r="F3502" s="139" t="s">
        <v>1223</v>
      </c>
      <c r="G3502" s="139" t="s">
        <v>1223</v>
      </c>
      <c r="H3502" s="139" t="s">
        <v>1223</v>
      </c>
      <c r="I3502" s="139" t="s">
        <v>1223</v>
      </c>
      <c r="J3502" s="139" t="s">
        <v>1223</v>
      </c>
      <c r="K3502" s="139" t="s">
        <v>1223</v>
      </c>
      <c r="L3502" s="139" t="s">
        <v>1223</v>
      </c>
      <c r="M3502" s="139" t="s">
        <v>1223</v>
      </c>
      <c r="N3502" s="139" t="s">
        <v>1223</v>
      </c>
      <c r="O3502" s="139" t="s">
        <v>1223</v>
      </c>
      <c r="P3502" s="139" t="s">
        <v>1223</v>
      </c>
      <c r="Q3502" s="141" t="s">
        <v>1237</v>
      </c>
    </row>
    <row r="3503" spans="1:17">
      <c r="A3503" s="139" t="s">
        <v>1223</v>
      </c>
      <c r="B3503" s="139" t="s">
        <v>1223</v>
      </c>
      <c r="C3503" s="139" t="s">
        <v>1223</v>
      </c>
      <c r="D3503" s="139" t="s">
        <v>1223</v>
      </c>
      <c r="E3503" s="139" t="s">
        <v>1223</v>
      </c>
      <c r="F3503" s="139" t="s">
        <v>1223</v>
      </c>
      <c r="G3503" s="139" t="s">
        <v>1223</v>
      </c>
      <c r="H3503" s="139" t="s">
        <v>1223</v>
      </c>
      <c r="I3503" s="139" t="s">
        <v>1223</v>
      </c>
      <c r="J3503" s="139" t="s">
        <v>1223</v>
      </c>
      <c r="K3503" s="139" t="s">
        <v>1223</v>
      </c>
      <c r="L3503" s="139" t="s">
        <v>1223</v>
      </c>
      <c r="M3503" s="139" t="s">
        <v>1223</v>
      </c>
      <c r="N3503" s="139" t="s">
        <v>1223</v>
      </c>
      <c r="O3503" s="139" t="s">
        <v>1223</v>
      </c>
      <c r="P3503" s="139" t="s">
        <v>1223</v>
      </c>
      <c r="Q3503" s="141" t="s">
        <v>1238</v>
      </c>
    </row>
    <row r="3504" spans="1:17">
      <c r="A3504" s="139" t="s">
        <v>1223</v>
      </c>
      <c r="B3504" s="139" t="s">
        <v>1223</v>
      </c>
      <c r="C3504" s="139" t="s">
        <v>1223</v>
      </c>
      <c r="D3504" s="139" t="s">
        <v>1223</v>
      </c>
      <c r="E3504" s="139" t="s">
        <v>1223</v>
      </c>
      <c r="F3504" s="139" t="s">
        <v>1223</v>
      </c>
      <c r="G3504" s="139" t="s">
        <v>1223</v>
      </c>
      <c r="H3504" s="139" t="s">
        <v>1223</v>
      </c>
      <c r="I3504" s="139" t="s">
        <v>1223</v>
      </c>
      <c r="J3504" s="139" t="s">
        <v>1223</v>
      </c>
      <c r="K3504" s="139" t="s">
        <v>1223</v>
      </c>
      <c r="L3504" s="139" t="s">
        <v>1223</v>
      </c>
      <c r="M3504" s="139" t="s">
        <v>1330</v>
      </c>
      <c r="N3504" s="139" t="s">
        <v>1223</v>
      </c>
      <c r="O3504" s="139" t="s">
        <v>1223</v>
      </c>
      <c r="P3504" s="139" t="s">
        <v>1223</v>
      </c>
      <c r="Q3504" s="141" t="s">
        <v>1239</v>
      </c>
    </row>
    <row r="3505" spans="1:17">
      <c r="A3505" s="139" t="s">
        <v>1223</v>
      </c>
      <c r="B3505" s="139" t="s">
        <v>1223</v>
      </c>
      <c r="C3505" s="139" t="s">
        <v>1223</v>
      </c>
      <c r="D3505" s="139" t="s">
        <v>1223</v>
      </c>
      <c r="E3505" s="139" t="s">
        <v>1223</v>
      </c>
      <c r="F3505" s="139" t="s">
        <v>1223</v>
      </c>
      <c r="G3505" s="139" t="s">
        <v>1223</v>
      </c>
      <c r="H3505" s="139" t="s">
        <v>1223</v>
      </c>
      <c r="I3505" s="139" t="s">
        <v>1223</v>
      </c>
      <c r="J3505" s="139" t="s">
        <v>1223</v>
      </c>
      <c r="K3505" s="139" t="s">
        <v>1223</v>
      </c>
      <c r="L3505" s="139" t="s">
        <v>1223</v>
      </c>
      <c r="M3505" s="139" t="s">
        <v>1223</v>
      </c>
      <c r="N3505" s="139" t="s">
        <v>1223</v>
      </c>
      <c r="O3505" s="139" t="s">
        <v>1223</v>
      </c>
      <c r="P3505" s="139" t="s">
        <v>1223</v>
      </c>
      <c r="Q3505" s="141" t="s">
        <v>1240</v>
      </c>
    </row>
    <row r="3506" spans="1:17">
      <c r="A3506" s="139" t="s">
        <v>1223</v>
      </c>
      <c r="B3506" s="139" t="s">
        <v>1223</v>
      </c>
      <c r="C3506" s="139" t="s">
        <v>1223</v>
      </c>
      <c r="D3506" s="139" t="s">
        <v>1223</v>
      </c>
      <c r="E3506" s="139" t="s">
        <v>1223</v>
      </c>
      <c r="F3506" s="139" t="s">
        <v>1223</v>
      </c>
      <c r="G3506" s="139" t="s">
        <v>1223</v>
      </c>
      <c r="H3506" s="139" t="s">
        <v>1223</v>
      </c>
      <c r="I3506" s="139" t="s">
        <v>1223</v>
      </c>
      <c r="J3506" s="139" t="s">
        <v>1223</v>
      </c>
      <c r="K3506" s="139" t="s">
        <v>1223</v>
      </c>
      <c r="L3506" s="139" t="s">
        <v>1223</v>
      </c>
      <c r="M3506" s="139" t="s">
        <v>1223</v>
      </c>
      <c r="N3506" s="139" t="s">
        <v>1223</v>
      </c>
      <c r="O3506" s="139" t="s">
        <v>1223</v>
      </c>
      <c r="P3506" s="139" t="s">
        <v>1223</v>
      </c>
      <c r="Q3506" s="141" t="s">
        <v>1241</v>
      </c>
    </row>
    <row r="3507" spans="1:17">
      <c r="A3507" s="139" t="s">
        <v>1223</v>
      </c>
      <c r="B3507" s="139" t="s">
        <v>1223</v>
      </c>
      <c r="C3507" s="139" t="s">
        <v>1223</v>
      </c>
      <c r="D3507" s="139" t="s">
        <v>1223</v>
      </c>
      <c r="E3507" s="139" t="s">
        <v>1223</v>
      </c>
      <c r="F3507" s="139" t="s">
        <v>1223</v>
      </c>
      <c r="G3507" s="139" t="s">
        <v>1223</v>
      </c>
      <c r="H3507" s="139" t="s">
        <v>1223</v>
      </c>
      <c r="I3507" s="139" t="s">
        <v>1223</v>
      </c>
      <c r="J3507" s="139" t="s">
        <v>1223</v>
      </c>
      <c r="K3507" s="139" t="s">
        <v>1223</v>
      </c>
      <c r="L3507" s="139" t="s">
        <v>1223</v>
      </c>
      <c r="M3507" s="139" t="s">
        <v>1223</v>
      </c>
      <c r="N3507" s="139" t="s">
        <v>1223</v>
      </c>
      <c r="O3507" s="139" t="s">
        <v>1223</v>
      </c>
      <c r="P3507" s="139" t="s">
        <v>1223</v>
      </c>
      <c r="Q3507" s="141" t="s">
        <v>1242</v>
      </c>
    </row>
    <row r="3508" spans="1:17">
      <c r="A3508" s="139" t="s">
        <v>1223</v>
      </c>
      <c r="B3508" s="139" t="s">
        <v>1223</v>
      </c>
      <c r="C3508" s="139" t="s">
        <v>1223</v>
      </c>
      <c r="D3508" s="139" t="s">
        <v>1223</v>
      </c>
      <c r="E3508" s="139" t="s">
        <v>1223</v>
      </c>
      <c r="F3508" s="139" t="s">
        <v>1223</v>
      </c>
      <c r="G3508" s="139" t="s">
        <v>1223</v>
      </c>
      <c r="H3508" s="139" t="s">
        <v>1223</v>
      </c>
      <c r="I3508" s="139" t="s">
        <v>1223</v>
      </c>
      <c r="J3508" s="139" t="s">
        <v>1223</v>
      </c>
      <c r="K3508" s="139" t="s">
        <v>1223</v>
      </c>
      <c r="L3508" s="139" t="s">
        <v>1223</v>
      </c>
      <c r="M3508" s="139" t="s">
        <v>1223</v>
      </c>
      <c r="N3508" s="139" t="s">
        <v>1223</v>
      </c>
      <c r="O3508" s="139" t="s">
        <v>1223</v>
      </c>
      <c r="P3508" s="139" t="s">
        <v>1223</v>
      </c>
      <c r="Q3508" s="141" t="s">
        <v>1243</v>
      </c>
    </row>
    <row r="3509" spans="1:17">
      <c r="A3509" s="139" t="s">
        <v>1223</v>
      </c>
      <c r="B3509" s="139" t="s">
        <v>1223</v>
      </c>
      <c r="C3509" s="139" t="s">
        <v>1223</v>
      </c>
      <c r="D3509" s="139" t="s">
        <v>1223</v>
      </c>
      <c r="E3509" s="139" t="s">
        <v>1223</v>
      </c>
      <c r="F3509" s="139" t="s">
        <v>1223</v>
      </c>
      <c r="G3509" s="139" t="s">
        <v>1223</v>
      </c>
      <c r="H3509" s="139" t="s">
        <v>1223</v>
      </c>
      <c r="I3509" s="139" t="s">
        <v>1223</v>
      </c>
      <c r="J3509" s="139" t="s">
        <v>1223</v>
      </c>
      <c r="K3509" s="139" t="s">
        <v>1223</v>
      </c>
      <c r="L3509" s="139" t="s">
        <v>1223</v>
      </c>
      <c r="M3509" s="139" t="s">
        <v>1223</v>
      </c>
      <c r="N3509" s="139" t="s">
        <v>1223</v>
      </c>
      <c r="O3509" s="139" t="s">
        <v>1223</v>
      </c>
      <c r="P3509" s="139" t="s">
        <v>1223</v>
      </c>
      <c r="Q3509" s="141" t="s">
        <v>1244</v>
      </c>
    </row>
    <row r="3510" spans="1:17">
      <c r="A3510" s="139" t="s">
        <v>1223</v>
      </c>
      <c r="B3510" s="139" t="s">
        <v>1223</v>
      </c>
      <c r="C3510" s="139" t="s">
        <v>1223</v>
      </c>
      <c r="D3510" s="139" t="s">
        <v>1223</v>
      </c>
      <c r="E3510" s="139" t="s">
        <v>1223</v>
      </c>
      <c r="F3510" s="139" t="s">
        <v>1223</v>
      </c>
      <c r="G3510" s="139" t="s">
        <v>1223</v>
      </c>
      <c r="H3510" s="139" t="s">
        <v>1223</v>
      </c>
      <c r="I3510" s="139" t="s">
        <v>1223</v>
      </c>
      <c r="J3510" s="139" t="s">
        <v>1223</v>
      </c>
      <c r="K3510" s="139" t="s">
        <v>1223</v>
      </c>
      <c r="L3510" s="139" t="s">
        <v>1223</v>
      </c>
      <c r="M3510" s="139" t="s">
        <v>1223</v>
      </c>
      <c r="N3510" s="139" t="s">
        <v>1223</v>
      </c>
      <c r="O3510" s="139" t="s">
        <v>1223</v>
      </c>
      <c r="P3510" s="139" t="s">
        <v>1223</v>
      </c>
      <c r="Q3510" s="141" t="s">
        <v>1245</v>
      </c>
    </row>
    <row r="3511" spans="1:17">
      <c r="A3511" s="139" t="s">
        <v>1223</v>
      </c>
      <c r="B3511" s="139" t="s">
        <v>1223</v>
      </c>
      <c r="C3511" s="139" t="s">
        <v>1223</v>
      </c>
      <c r="D3511" s="139" t="s">
        <v>1223</v>
      </c>
      <c r="E3511" s="139" t="s">
        <v>1223</v>
      </c>
      <c r="F3511" s="139" t="s">
        <v>1223</v>
      </c>
      <c r="G3511" s="139" t="s">
        <v>1223</v>
      </c>
      <c r="H3511" s="139" t="s">
        <v>1223</v>
      </c>
      <c r="I3511" s="139" t="s">
        <v>1223</v>
      </c>
      <c r="J3511" s="139" t="s">
        <v>1223</v>
      </c>
      <c r="K3511" s="139" t="s">
        <v>1223</v>
      </c>
      <c r="L3511" s="139" t="s">
        <v>1223</v>
      </c>
      <c r="M3511" s="139" t="s">
        <v>1223</v>
      </c>
      <c r="N3511" s="139" t="s">
        <v>1223</v>
      </c>
      <c r="O3511" s="139" t="s">
        <v>1223</v>
      </c>
      <c r="P3511" s="139" t="s">
        <v>1223</v>
      </c>
      <c r="Q3511" s="141" t="s">
        <v>1246</v>
      </c>
    </row>
    <row r="3512" spans="1:17">
      <c r="A3512" s="139" t="s">
        <v>1223</v>
      </c>
      <c r="B3512" s="139" t="s">
        <v>1223</v>
      </c>
      <c r="C3512" s="139" t="s">
        <v>1223</v>
      </c>
      <c r="D3512" s="139" t="s">
        <v>1223</v>
      </c>
      <c r="E3512" s="139" t="s">
        <v>1223</v>
      </c>
      <c r="F3512" s="139" t="s">
        <v>1223</v>
      </c>
      <c r="G3512" s="139" t="s">
        <v>1223</v>
      </c>
      <c r="H3512" s="139" t="s">
        <v>1223</v>
      </c>
      <c r="I3512" s="139" t="s">
        <v>1223</v>
      </c>
      <c r="J3512" s="139" t="s">
        <v>1223</v>
      </c>
      <c r="K3512" s="139" t="s">
        <v>1223</v>
      </c>
      <c r="L3512" s="139" t="s">
        <v>1223</v>
      </c>
      <c r="M3512" s="139" t="s">
        <v>1223</v>
      </c>
      <c r="N3512" s="139" t="s">
        <v>1223</v>
      </c>
      <c r="O3512" s="139" t="s">
        <v>1223</v>
      </c>
      <c r="P3512" s="139" t="s">
        <v>1223</v>
      </c>
      <c r="Q3512" s="141" t="s">
        <v>1247</v>
      </c>
    </row>
    <row r="3513" spans="1:17">
      <c r="A3513" s="139" t="s">
        <v>1223</v>
      </c>
      <c r="B3513" s="139" t="s">
        <v>1223</v>
      </c>
      <c r="C3513" s="139" t="s">
        <v>1223</v>
      </c>
      <c r="D3513" s="139" t="s">
        <v>1223</v>
      </c>
      <c r="E3513" s="139" t="s">
        <v>1223</v>
      </c>
      <c r="F3513" s="139" t="s">
        <v>1223</v>
      </c>
      <c r="G3513" s="139" t="s">
        <v>1223</v>
      </c>
      <c r="H3513" s="139" t="s">
        <v>1223</v>
      </c>
      <c r="I3513" s="139" t="s">
        <v>1223</v>
      </c>
      <c r="J3513" s="139" t="s">
        <v>1223</v>
      </c>
      <c r="K3513" s="139" t="s">
        <v>1223</v>
      </c>
      <c r="L3513" s="139" t="s">
        <v>1223</v>
      </c>
      <c r="M3513" s="139" t="s">
        <v>1223</v>
      </c>
      <c r="N3513" s="139" t="s">
        <v>1223</v>
      </c>
      <c r="O3513" s="139" t="s">
        <v>1223</v>
      </c>
      <c r="P3513" s="139" t="s">
        <v>1223</v>
      </c>
      <c r="Q3513" s="141" t="s">
        <v>1248</v>
      </c>
    </row>
    <row r="3514" spans="1:17">
      <c r="A3514" s="139" t="s">
        <v>1223</v>
      </c>
      <c r="B3514" s="139" t="s">
        <v>1223</v>
      </c>
      <c r="C3514" s="139" t="s">
        <v>1223</v>
      </c>
      <c r="D3514" s="139" t="s">
        <v>1223</v>
      </c>
      <c r="E3514" s="139" t="s">
        <v>1223</v>
      </c>
      <c r="F3514" s="139" t="s">
        <v>1223</v>
      </c>
      <c r="G3514" s="139" t="s">
        <v>1223</v>
      </c>
      <c r="H3514" s="139" t="s">
        <v>1223</v>
      </c>
      <c r="I3514" s="139" t="s">
        <v>1223</v>
      </c>
      <c r="J3514" s="139" t="s">
        <v>1223</v>
      </c>
      <c r="K3514" s="139" t="s">
        <v>1223</v>
      </c>
      <c r="L3514" s="139" t="s">
        <v>1223</v>
      </c>
      <c r="M3514" s="139" t="s">
        <v>1223</v>
      </c>
      <c r="N3514" s="139" t="s">
        <v>1223</v>
      </c>
      <c r="O3514" s="139" t="s">
        <v>1223</v>
      </c>
      <c r="P3514" s="139" t="s">
        <v>1223</v>
      </c>
      <c r="Q3514" s="141" t="s">
        <v>1249</v>
      </c>
    </row>
    <row r="3515" spans="1:17">
      <c r="A3515" s="139" t="s">
        <v>1223</v>
      </c>
      <c r="B3515" s="139" t="s">
        <v>1223</v>
      </c>
      <c r="C3515" s="139" t="s">
        <v>1223</v>
      </c>
      <c r="D3515" s="139" t="s">
        <v>1223</v>
      </c>
      <c r="E3515" s="139" t="s">
        <v>1223</v>
      </c>
      <c r="F3515" s="139" t="s">
        <v>1223</v>
      </c>
      <c r="G3515" s="139" t="s">
        <v>1223</v>
      </c>
      <c r="H3515" s="139" t="s">
        <v>1223</v>
      </c>
      <c r="I3515" s="139" t="s">
        <v>1223</v>
      </c>
      <c r="J3515" s="139" t="s">
        <v>1223</v>
      </c>
      <c r="K3515" s="139" t="s">
        <v>1223</v>
      </c>
      <c r="L3515" s="139" t="s">
        <v>1223</v>
      </c>
      <c r="M3515" s="139" t="s">
        <v>1223</v>
      </c>
      <c r="N3515" s="139" t="s">
        <v>1223</v>
      </c>
      <c r="O3515" s="139" t="s">
        <v>1223</v>
      </c>
      <c r="P3515" s="139" t="s">
        <v>1223</v>
      </c>
      <c r="Q3515" s="141" t="s">
        <v>1250</v>
      </c>
    </row>
    <row r="3516" spans="1:17">
      <c r="A3516" s="139" t="s">
        <v>1223</v>
      </c>
      <c r="B3516" s="139" t="s">
        <v>1223</v>
      </c>
      <c r="C3516" s="139" t="s">
        <v>1223</v>
      </c>
      <c r="D3516" s="139" t="s">
        <v>1223</v>
      </c>
      <c r="E3516" s="139" t="s">
        <v>1223</v>
      </c>
      <c r="F3516" s="139" t="s">
        <v>1223</v>
      </c>
      <c r="G3516" s="139" t="s">
        <v>1223</v>
      </c>
      <c r="H3516" s="139" t="s">
        <v>1223</v>
      </c>
      <c r="I3516" s="139" t="s">
        <v>1223</v>
      </c>
      <c r="J3516" s="139" t="s">
        <v>1223</v>
      </c>
      <c r="K3516" s="139" t="s">
        <v>1223</v>
      </c>
      <c r="L3516" s="139" t="s">
        <v>1223</v>
      </c>
      <c r="M3516" s="139" t="s">
        <v>1223</v>
      </c>
      <c r="N3516" s="139" t="s">
        <v>1223</v>
      </c>
      <c r="O3516" s="139" t="s">
        <v>1223</v>
      </c>
      <c r="P3516" s="139" t="s">
        <v>1223</v>
      </c>
      <c r="Q3516" s="141" t="s">
        <v>1251</v>
      </c>
    </row>
    <row r="3517" spans="1:17">
      <c r="A3517" s="139" t="s">
        <v>1223</v>
      </c>
      <c r="B3517" s="139" t="s">
        <v>1223</v>
      </c>
      <c r="C3517" s="139" t="s">
        <v>1223</v>
      </c>
      <c r="D3517" s="139" t="s">
        <v>1223</v>
      </c>
      <c r="E3517" s="139" t="s">
        <v>1223</v>
      </c>
      <c r="F3517" s="139" t="s">
        <v>1223</v>
      </c>
      <c r="G3517" s="139" t="s">
        <v>1223</v>
      </c>
      <c r="H3517" s="139" t="s">
        <v>1223</v>
      </c>
      <c r="I3517" s="139" t="s">
        <v>1223</v>
      </c>
      <c r="J3517" s="139" t="s">
        <v>1223</v>
      </c>
      <c r="K3517" s="139" t="s">
        <v>1223</v>
      </c>
      <c r="L3517" s="139" t="s">
        <v>1223</v>
      </c>
      <c r="M3517" s="139" t="s">
        <v>1223</v>
      </c>
      <c r="N3517" s="139" t="s">
        <v>1223</v>
      </c>
      <c r="O3517" s="139" t="s">
        <v>1223</v>
      </c>
      <c r="P3517" s="139" t="s">
        <v>1223</v>
      </c>
      <c r="Q3517" s="141" t="s">
        <v>1252</v>
      </c>
    </row>
    <row r="3518" spans="1:17">
      <c r="A3518" s="139" t="s">
        <v>1223</v>
      </c>
      <c r="B3518" s="139" t="s">
        <v>1223</v>
      </c>
      <c r="C3518" s="139" t="s">
        <v>1223</v>
      </c>
      <c r="D3518" s="139" t="s">
        <v>1223</v>
      </c>
      <c r="E3518" s="139" t="s">
        <v>1223</v>
      </c>
      <c r="F3518" s="139" t="s">
        <v>1223</v>
      </c>
      <c r="G3518" s="139" t="s">
        <v>1223</v>
      </c>
      <c r="H3518" s="139" t="s">
        <v>1223</v>
      </c>
      <c r="I3518" s="139" t="s">
        <v>1223</v>
      </c>
      <c r="J3518" s="139" t="s">
        <v>1223</v>
      </c>
      <c r="K3518" s="139" t="s">
        <v>1223</v>
      </c>
      <c r="L3518" s="139" t="s">
        <v>1223</v>
      </c>
      <c r="M3518" s="139" t="s">
        <v>1223</v>
      </c>
      <c r="N3518" s="139" t="s">
        <v>1223</v>
      </c>
      <c r="O3518" s="139" t="s">
        <v>1223</v>
      </c>
      <c r="P3518" s="139" t="s">
        <v>1223</v>
      </c>
      <c r="Q3518" s="141" t="s">
        <v>1253</v>
      </c>
    </row>
    <row r="3519" spans="1:17">
      <c r="A3519" s="139" t="s">
        <v>1223</v>
      </c>
      <c r="B3519" s="139" t="s">
        <v>1223</v>
      </c>
      <c r="C3519" s="139" t="s">
        <v>1223</v>
      </c>
      <c r="D3519" s="139" t="s">
        <v>1223</v>
      </c>
      <c r="E3519" s="139" t="s">
        <v>1223</v>
      </c>
      <c r="F3519" s="139" t="s">
        <v>1223</v>
      </c>
      <c r="G3519" s="139" t="s">
        <v>1223</v>
      </c>
      <c r="H3519" s="139" t="s">
        <v>1223</v>
      </c>
      <c r="I3519" s="139" t="s">
        <v>1223</v>
      </c>
      <c r="J3519" s="139" t="s">
        <v>1223</v>
      </c>
      <c r="K3519" s="139" t="s">
        <v>1223</v>
      </c>
      <c r="L3519" s="139" t="s">
        <v>1223</v>
      </c>
      <c r="M3519" s="139" t="s">
        <v>1223</v>
      </c>
      <c r="N3519" s="139" t="s">
        <v>1223</v>
      </c>
      <c r="O3519" s="139" t="s">
        <v>1223</v>
      </c>
      <c r="P3519" s="139" t="s">
        <v>1223</v>
      </c>
      <c r="Q3519" s="141" t="s">
        <v>1254</v>
      </c>
    </row>
    <row r="3520" spans="1:17">
      <c r="A3520" s="139" t="s">
        <v>1223</v>
      </c>
      <c r="B3520" s="139" t="s">
        <v>1223</v>
      </c>
      <c r="C3520" s="139" t="s">
        <v>1223</v>
      </c>
      <c r="D3520" s="139" t="s">
        <v>1223</v>
      </c>
      <c r="E3520" s="139" t="s">
        <v>1223</v>
      </c>
      <c r="F3520" s="139" t="s">
        <v>1223</v>
      </c>
      <c r="G3520" s="139" t="s">
        <v>1223</v>
      </c>
      <c r="H3520" s="139" t="s">
        <v>1223</v>
      </c>
      <c r="I3520" s="139" t="s">
        <v>1223</v>
      </c>
      <c r="J3520" s="139" t="s">
        <v>1223</v>
      </c>
      <c r="K3520" s="139" t="s">
        <v>1223</v>
      </c>
      <c r="L3520" s="139" t="s">
        <v>1223</v>
      </c>
      <c r="M3520" s="139" t="s">
        <v>1223</v>
      </c>
      <c r="N3520" s="139" t="s">
        <v>1223</v>
      </c>
      <c r="O3520" s="139" t="s">
        <v>1223</v>
      </c>
      <c r="P3520" s="139" t="s">
        <v>1223</v>
      </c>
      <c r="Q3520" s="141" t="s">
        <v>1255</v>
      </c>
    </row>
    <row r="3521" spans="1:17">
      <c r="A3521" s="139" t="s">
        <v>1223</v>
      </c>
      <c r="B3521" s="139" t="s">
        <v>1223</v>
      </c>
      <c r="C3521" s="139" t="s">
        <v>1223</v>
      </c>
      <c r="D3521" s="139" t="s">
        <v>1223</v>
      </c>
      <c r="E3521" s="139" t="s">
        <v>1223</v>
      </c>
      <c r="F3521" s="139" t="s">
        <v>1223</v>
      </c>
      <c r="G3521" s="139" t="s">
        <v>1223</v>
      </c>
      <c r="H3521" s="139" t="s">
        <v>1223</v>
      </c>
      <c r="I3521" s="139" t="s">
        <v>1223</v>
      </c>
      <c r="J3521" s="139" t="s">
        <v>1223</v>
      </c>
      <c r="K3521" s="139" t="s">
        <v>1223</v>
      </c>
      <c r="L3521" s="139" t="s">
        <v>1223</v>
      </c>
      <c r="M3521" s="139" t="s">
        <v>1223</v>
      </c>
      <c r="N3521" s="139" t="s">
        <v>1223</v>
      </c>
      <c r="O3521" s="139" t="s">
        <v>1223</v>
      </c>
      <c r="P3521" s="139" t="s">
        <v>1223</v>
      </c>
      <c r="Q3521" s="141" t="s">
        <v>1256</v>
      </c>
    </row>
    <row r="3522" spans="1:17">
      <c r="A3522" s="139" t="s">
        <v>1223</v>
      </c>
      <c r="B3522" s="139" t="s">
        <v>1223</v>
      </c>
      <c r="C3522" s="139" t="s">
        <v>1223</v>
      </c>
      <c r="D3522" s="139" t="s">
        <v>1223</v>
      </c>
      <c r="E3522" s="139" t="s">
        <v>1223</v>
      </c>
      <c r="F3522" s="139" t="s">
        <v>1223</v>
      </c>
      <c r="G3522" s="139" t="s">
        <v>1223</v>
      </c>
      <c r="H3522" s="139" t="s">
        <v>1223</v>
      </c>
      <c r="I3522" s="139" t="s">
        <v>1223</v>
      </c>
      <c r="J3522" s="139" t="s">
        <v>1223</v>
      </c>
      <c r="K3522" s="139" t="s">
        <v>1223</v>
      </c>
      <c r="L3522" s="139" t="s">
        <v>1223</v>
      </c>
      <c r="M3522" s="139" t="s">
        <v>1223</v>
      </c>
      <c r="N3522" s="139" t="s">
        <v>1223</v>
      </c>
      <c r="O3522" s="139" t="s">
        <v>1223</v>
      </c>
      <c r="P3522" s="139" t="s">
        <v>1223</v>
      </c>
      <c r="Q3522" s="141" t="s">
        <v>1257</v>
      </c>
    </row>
    <row r="3523" spans="1:17">
      <c r="A3523" s="139" t="s">
        <v>1223</v>
      </c>
      <c r="B3523" s="139" t="s">
        <v>1223</v>
      </c>
      <c r="C3523" s="139" t="s">
        <v>1223</v>
      </c>
      <c r="D3523" s="139" t="s">
        <v>1223</v>
      </c>
      <c r="E3523" s="139" t="s">
        <v>1223</v>
      </c>
      <c r="F3523" s="139" t="s">
        <v>1223</v>
      </c>
      <c r="G3523" s="139" t="s">
        <v>1223</v>
      </c>
      <c r="H3523" s="139" t="s">
        <v>1223</v>
      </c>
      <c r="I3523" s="139" t="s">
        <v>1223</v>
      </c>
      <c r="J3523" s="139" t="s">
        <v>1223</v>
      </c>
      <c r="K3523" s="139" t="s">
        <v>1223</v>
      </c>
      <c r="L3523" s="139" t="s">
        <v>1223</v>
      </c>
      <c r="M3523" s="139" t="s">
        <v>1223</v>
      </c>
      <c r="N3523" s="139" t="s">
        <v>1223</v>
      </c>
      <c r="O3523" s="139" t="s">
        <v>1223</v>
      </c>
      <c r="P3523" s="139" t="s">
        <v>1223</v>
      </c>
      <c r="Q3523" s="141" t="s">
        <v>1258</v>
      </c>
    </row>
    <row r="3524" spans="1:17">
      <c r="A3524" s="139" t="s">
        <v>1223</v>
      </c>
      <c r="B3524" s="139" t="s">
        <v>1223</v>
      </c>
      <c r="C3524" s="139" t="s">
        <v>1223</v>
      </c>
      <c r="D3524" s="139" t="s">
        <v>1223</v>
      </c>
      <c r="E3524" s="139" t="s">
        <v>1223</v>
      </c>
      <c r="F3524" s="139" t="s">
        <v>1223</v>
      </c>
      <c r="G3524" s="139" t="s">
        <v>1223</v>
      </c>
      <c r="H3524" s="139" t="s">
        <v>1223</v>
      </c>
      <c r="I3524" s="139" t="s">
        <v>1223</v>
      </c>
      <c r="J3524" s="139" t="s">
        <v>1223</v>
      </c>
      <c r="K3524" s="139" t="s">
        <v>1223</v>
      </c>
      <c r="L3524" s="139" t="s">
        <v>1223</v>
      </c>
      <c r="M3524" s="139" t="s">
        <v>1223</v>
      </c>
      <c r="N3524" s="139" t="s">
        <v>1223</v>
      </c>
      <c r="O3524" s="139" t="s">
        <v>1223</v>
      </c>
      <c r="P3524" s="139" t="s">
        <v>1223</v>
      </c>
      <c r="Q3524" s="141" t="s">
        <v>1259</v>
      </c>
    </row>
    <row r="3525" spans="1:17">
      <c r="A3525" s="139" t="s">
        <v>1223</v>
      </c>
      <c r="B3525" s="139" t="s">
        <v>1223</v>
      </c>
      <c r="C3525" s="139" t="s">
        <v>1223</v>
      </c>
      <c r="D3525" s="139" t="s">
        <v>1223</v>
      </c>
      <c r="E3525" s="139" t="s">
        <v>1223</v>
      </c>
      <c r="F3525" s="139" t="s">
        <v>1223</v>
      </c>
      <c r="G3525" s="139" t="s">
        <v>1223</v>
      </c>
      <c r="H3525" s="139" t="s">
        <v>1223</v>
      </c>
      <c r="I3525" s="139" t="s">
        <v>1223</v>
      </c>
      <c r="J3525" s="139" t="s">
        <v>1223</v>
      </c>
      <c r="K3525" s="139" t="s">
        <v>1223</v>
      </c>
      <c r="L3525" s="139" t="s">
        <v>1223</v>
      </c>
      <c r="M3525" s="139" t="s">
        <v>1223</v>
      </c>
      <c r="N3525" s="139" t="s">
        <v>1223</v>
      </c>
      <c r="O3525" s="139" t="s">
        <v>1223</v>
      </c>
      <c r="P3525" s="139" t="s">
        <v>1223</v>
      </c>
      <c r="Q3525" s="141" t="s">
        <v>1260</v>
      </c>
    </row>
    <row r="3526" spans="1:17">
      <c r="A3526" s="139" t="s">
        <v>1223</v>
      </c>
      <c r="B3526" s="139" t="s">
        <v>1223</v>
      </c>
      <c r="C3526" s="139" t="s">
        <v>1223</v>
      </c>
      <c r="D3526" s="139" t="s">
        <v>1223</v>
      </c>
      <c r="E3526" s="139" t="s">
        <v>1223</v>
      </c>
      <c r="F3526" s="139" t="s">
        <v>1223</v>
      </c>
      <c r="G3526" s="139" t="s">
        <v>1223</v>
      </c>
      <c r="H3526" s="139" t="s">
        <v>1223</v>
      </c>
      <c r="I3526" s="139" t="s">
        <v>1223</v>
      </c>
      <c r="J3526" s="139" t="s">
        <v>1223</v>
      </c>
      <c r="K3526" s="139" t="s">
        <v>1223</v>
      </c>
      <c r="L3526" s="139" t="s">
        <v>1223</v>
      </c>
      <c r="M3526" s="139" t="s">
        <v>1223</v>
      </c>
      <c r="N3526" s="139" t="s">
        <v>1223</v>
      </c>
      <c r="O3526" s="139" t="s">
        <v>1223</v>
      </c>
      <c r="P3526" s="139" t="s">
        <v>1223</v>
      </c>
      <c r="Q3526" s="141" t="s">
        <v>1261</v>
      </c>
    </row>
    <row r="3527" spans="1:17">
      <c r="A3527" s="139" t="s">
        <v>1223</v>
      </c>
      <c r="B3527" s="139" t="s">
        <v>1223</v>
      </c>
      <c r="C3527" s="139" t="s">
        <v>1223</v>
      </c>
      <c r="D3527" s="139" t="s">
        <v>1223</v>
      </c>
      <c r="E3527" s="139" t="s">
        <v>1223</v>
      </c>
      <c r="F3527" s="139" t="s">
        <v>1223</v>
      </c>
      <c r="G3527" s="139" t="s">
        <v>1223</v>
      </c>
      <c r="H3527" s="139" t="s">
        <v>1223</v>
      </c>
      <c r="I3527" s="139" t="s">
        <v>1223</v>
      </c>
      <c r="J3527" s="139" t="s">
        <v>1223</v>
      </c>
      <c r="K3527" s="139" t="s">
        <v>1223</v>
      </c>
      <c r="L3527" s="139" t="s">
        <v>1223</v>
      </c>
      <c r="M3527" s="139" t="s">
        <v>1223</v>
      </c>
      <c r="N3527" s="139" t="s">
        <v>1223</v>
      </c>
      <c r="O3527" s="139" t="s">
        <v>1223</v>
      </c>
      <c r="P3527" s="139" t="s">
        <v>1223</v>
      </c>
      <c r="Q3527" s="141" t="s">
        <v>1262</v>
      </c>
    </row>
    <row r="3528" spans="1:17">
      <c r="A3528" s="139" t="s">
        <v>1223</v>
      </c>
      <c r="B3528" s="139" t="s">
        <v>1223</v>
      </c>
      <c r="C3528" s="139" t="s">
        <v>1223</v>
      </c>
      <c r="D3528" s="139" t="s">
        <v>1223</v>
      </c>
      <c r="E3528" s="139" t="s">
        <v>1223</v>
      </c>
      <c r="F3528" s="139" t="s">
        <v>1223</v>
      </c>
      <c r="G3528" s="139" t="s">
        <v>1223</v>
      </c>
      <c r="H3528" s="139" t="s">
        <v>1223</v>
      </c>
      <c r="I3528" s="139" t="s">
        <v>1223</v>
      </c>
      <c r="J3528" s="139" t="s">
        <v>1223</v>
      </c>
      <c r="K3528" s="139" t="s">
        <v>1223</v>
      </c>
      <c r="L3528" s="139" t="s">
        <v>1223</v>
      </c>
      <c r="M3528" s="139" t="s">
        <v>1223</v>
      </c>
      <c r="N3528" s="139" t="s">
        <v>1223</v>
      </c>
      <c r="O3528" s="139" t="s">
        <v>1223</v>
      </c>
      <c r="P3528" s="139" t="s">
        <v>1223</v>
      </c>
      <c r="Q3528" s="141" t="s">
        <v>1263</v>
      </c>
    </row>
    <row r="3529" spans="1:17">
      <c r="A3529" s="139" t="s">
        <v>1223</v>
      </c>
      <c r="B3529" s="139" t="s">
        <v>1223</v>
      </c>
      <c r="C3529" s="139" t="s">
        <v>1223</v>
      </c>
      <c r="D3529" s="139" t="s">
        <v>1223</v>
      </c>
      <c r="E3529" s="139" t="s">
        <v>1223</v>
      </c>
      <c r="F3529" s="139" t="s">
        <v>1223</v>
      </c>
      <c r="G3529" s="139" t="s">
        <v>1223</v>
      </c>
      <c r="H3529" s="139" t="s">
        <v>1223</v>
      </c>
      <c r="I3529" s="139" t="s">
        <v>1223</v>
      </c>
      <c r="J3529" s="139" t="s">
        <v>1223</v>
      </c>
      <c r="K3529" s="139" t="s">
        <v>1223</v>
      </c>
      <c r="L3529" s="139" t="s">
        <v>1223</v>
      </c>
      <c r="M3529" s="139" t="s">
        <v>1223</v>
      </c>
      <c r="N3529" s="139" t="s">
        <v>1223</v>
      </c>
      <c r="O3529" s="139" t="s">
        <v>1223</v>
      </c>
      <c r="P3529" s="139" t="s">
        <v>1223</v>
      </c>
      <c r="Q3529" s="141" t="s">
        <v>1264</v>
      </c>
    </row>
    <row r="3530" spans="1:17">
      <c r="A3530" s="139" t="s">
        <v>1223</v>
      </c>
      <c r="B3530" s="139" t="s">
        <v>1223</v>
      </c>
      <c r="C3530" s="139" t="s">
        <v>1223</v>
      </c>
      <c r="D3530" s="139" t="s">
        <v>1223</v>
      </c>
      <c r="E3530" s="139" t="s">
        <v>1223</v>
      </c>
      <c r="F3530" s="139" t="s">
        <v>1223</v>
      </c>
      <c r="G3530" s="139" t="s">
        <v>1223</v>
      </c>
      <c r="H3530" s="139" t="s">
        <v>1223</v>
      </c>
      <c r="I3530" s="139" t="s">
        <v>1223</v>
      </c>
      <c r="J3530" s="139" t="s">
        <v>1223</v>
      </c>
      <c r="K3530" s="139" t="s">
        <v>1223</v>
      </c>
      <c r="L3530" s="139" t="s">
        <v>1223</v>
      </c>
      <c r="M3530" s="139" t="s">
        <v>1223</v>
      </c>
      <c r="N3530" s="139" t="s">
        <v>1223</v>
      </c>
      <c r="O3530" s="139" t="s">
        <v>1223</v>
      </c>
      <c r="P3530" s="139" t="s">
        <v>1223</v>
      </c>
      <c r="Q3530" s="141" t="s">
        <v>1265</v>
      </c>
    </row>
    <row r="3531" spans="1:17">
      <c r="A3531" s="139" t="s">
        <v>1223</v>
      </c>
      <c r="B3531" s="139" t="s">
        <v>1223</v>
      </c>
      <c r="C3531" s="139" t="s">
        <v>1223</v>
      </c>
      <c r="D3531" s="139" t="s">
        <v>1223</v>
      </c>
      <c r="E3531" s="139" t="s">
        <v>1223</v>
      </c>
      <c r="F3531" s="139" t="s">
        <v>1223</v>
      </c>
      <c r="G3531" s="139" t="s">
        <v>1223</v>
      </c>
      <c r="H3531" s="139" t="s">
        <v>1223</v>
      </c>
      <c r="I3531" s="139" t="s">
        <v>1223</v>
      </c>
      <c r="J3531" s="139" t="s">
        <v>1223</v>
      </c>
      <c r="K3531" s="139" t="s">
        <v>1223</v>
      </c>
      <c r="L3531" s="139" t="s">
        <v>1223</v>
      </c>
      <c r="M3531" s="139" t="s">
        <v>1223</v>
      </c>
      <c r="N3531" s="139" t="s">
        <v>1223</v>
      </c>
      <c r="O3531" s="139" t="s">
        <v>1223</v>
      </c>
      <c r="P3531" s="139" t="s">
        <v>1223</v>
      </c>
      <c r="Q3531" s="141" t="s">
        <v>1266</v>
      </c>
    </row>
    <row r="3532" spans="1:17">
      <c r="A3532" s="139" t="s">
        <v>1223</v>
      </c>
      <c r="B3532" s="139" t="s">
        <v>1223</v>
      </c>
      <c r="C3532" s="139" t="s">
        <v>1223</v>
      </c>
      <c r="D3532" s="139" t="s">
        <v>1223</v>
      </c>
      <c r="E3532" s="139" t="s">
        <v>1223</v>
      </c>
      <c r="F3532" s="139" t="s">
        <v>1223</v>
      </c>
      <c r="G3532" s="139" t="s">
        <v>1223</v>
      </c>
      <c r="H3532" s="139" t="s">
        <v>1223</v>
      </c>
      <c r="I3532" s="139" t="s">
        <v>1223</v>
      </c>
      <c r="J3532" s="139" t="s">
        <v>1223</v>
      </c>
      <c r="K3532" s="139" t="s">
        <v>1223</v>
      </c>
      <c r="L3532" s="139" t="s">
        <v>1223</v>
      </c>
      <c r="M3532" s="139" t="s">
        <v>1223</v>
      </c>
      <c r="N3532" s="139" t="s">
        <v>1223</v>
      </c>
      <c r="O3532" s="139" t="s">
        <v>1223</v>
      </c>
      <c r="P3532" s="139" t="s">
        <v>1223</v>
      </c>
      <c r="Q3532" s="141" t="s">
        <v>1267</v>
      </c>
    </row>
    <row r="3533" spans="1:17">
      <c r="A3533" s="139" t="s">
        <v>1223</v>
      </c>
      <c r="B3533" s="139" t="s">
        <v>1223</v>
      </c>
      <c r="C3533" s="139" t="s">
        <v>1223</v>
      </c>
      <c r="D3533" s="139" t="s">
        <v>1223</v>
      </c>
      <c r="E3533" s="139" t="s">
        <v>1223</v>
      </c>
      <c r="F3533" s="139" t="s">
        <v>1223</v>
      </c>
      <c r="G3533" s="139" t="s">
        <v>1223</v>
      </c>
      <c r="H3533" s="139" t="s">
        <v>1223</v>
      </c>
      <c r="I3533" s="139" t="s">
        <v>1223</v>
      </c>
      <c r="J3533" s="139" t="s">
        <v>1223</v>
      </c>
      <c r="K3533" s="139" t="s">
        <v>1223</v>
      </c>
      <c r="L3533" s="139" t="s">
        <v>1223</v>
      </c>
      <c r="M3533" s="139" t="s">
        <v>1223</v>
      </c>
      <c r="N3533" s="139" t="s">
        <v>1223</v>
      </c>
      <c r="O3533" s="139" t="s">
        <v>1223</v>
      </c>
      <c r="P3533" s="139" t="s">
        <v>1223</v>
      </c>
      <c r="Q3533" s="141" t="s">
        <v>1268</v>
      </c>
    </row>
    <row r="3534" spans="1:17">
      <c r="A3534" s="139" t="s">
        <v>1223</v>
      </c>
      <c r="B3534" s="139" t="s">
        <v>1223</v>
      </c>
      <c r="C3534" s="139" t="s">
        <v>1223</v>
      </c>
      <c r="D3534" s="139" t="s">
        <v>1223</v>
      </c>
      <c r="E3534" s="139" t="s">
        <v>1223</v>
      </c>
      <c r="F3534" s="139" t="s">
        <v>1223</v>
      </c>
      <c r="G3534" s="139" t="s">
        <v>1223</v>
      </c>
      <c r="H3534" s="139" t="s">
        <v>1223</v>
      </c>
      <c r="I3534" s="139" t="s">
        <v>1223</v>
      </c>
      <c r="J3534" s="139" t="s">
        <v>1223</v>
      </c>
      <c r="K3534" s="139" t="s">
        <v>1223</v>
      </c>
      <c r="L3534" s="139" t="s">
        <v>1223</v>
      </c>
      <c r="M3534" s="139" t="s">
        <v>1223</v>
      </c>
      <c r="N3534" s="139" t="s">
        <v>1223</v>
      </c>
      <c r="O3534" s="139" t="s">
        <v>1223</v>
      </c>
      <c r="P3534" s="139" t="s">
        <v>1223</v>
      </c>
      <c r="Q3534" s="141" t="s">
        <v>1269</v>
      </c>
    </row>
    <row r="3535" spans="1:17">
      <c r="A3535" s="139" t="s">
        <v>1223</v>
      </c>
      <c r="B3535" s="139" t="s">
        <v>1223</v>
      </c>
      <c r="C3535" s="139" t="s">
        <v>1223</v>
      </c>
      <c r="D3535" s="139" t="s">
        <v>1223</v>
      </c>
      <c r="E3535" s="139" t="s">
        <v>1223</v>
      </c>
      <c r="F3535" s="139" t="s">
        <v>1223</v>
      </c>
      <c r="G3535" s="139" t="s">
        <v>1223</v>
      </c>
      <c r="H3535" s="139" t="s">
        <v>1223</v>
      </c>
      <c r="I3535" s="139" t="s">
        <v>1223</v>
      </c>
      <c r="J3535" s="139" t="s">
        <v>1223</v>
      </c>
      <c r="K3535" s="139" t="s">
        <v>1223</v>
      </c>
      <c r="L3535" s="139" t="s">
        <v>1223</v>
      </c>
      <c r="M3535" s="139" t="s">
        <v>1223</v>
      </c>
      <c r="N3535" s="139" t="s">
        <v>1223</v>
      </c>
      <c r="O3535" s="139" t="s">
        <v>1223</v>
      </c>
      <c r="P3535" s="139" t="s">
        <v>1223</v>
      </c>
      <c r="Q3535" s="141" t="s">
        <v>1270</v>
      </c>
    </row>
    <row r="3536" spans="1:17">
      <c r="A3536" s="139" t="s">
        <v>1223</v>
      </c>
      <c r="B3536" s="139" t="s">
        <v>1223</v>
      </c>
      <c r="C3536" s="139" t="s">
        <v>1223</v>
      </c>
      <c r="D3536" s="139" t="s">
        <v>1223</v>
      </c>
      <c r="E3536" s="139" t="s">
        <v>1223</v>
      </c>
      <c r="F3536" s="139" t="s">
        <v>1223</v>
      </c>
      <c r="G3536" s="139" t="s">
        <v>1223</v>
      </c>
      <c r="H3536" s="139" t="s">
        <v>1223</v>
      </c>
      <c r="I3536" s="139" t="s">
        <v>1223</v>
      </c>
      <c r="J3536" s="139" t="s">
        <v>1223</v>
      </c>
      <c r="K3536" s="139" t="s">
        <v>1223</v>
      </c>
      <c r="L3536" s="139" t="s">
        <v>1223</v>
      </c>
      <c r="M3536" s="139" t="s">
        <v>1223</v>
      </c>
      <c r="N3536" s="139" t="s">
        <v>1223</v>
      </c>
      <c r="O3536" s="139" t="s">
        <v>1223</v>
      </c>
      <c r="P3536" s="139" t="s">
        <v>1223</v>
      </c>
      <c r="Q3536" s="141" t="s">
        <v>1271</v>
      </c>
    </row>
    <row r="3537" spans="1:17">
      <c r="A3537" s="139" t="s">
        <v>1223</v>
      </c>
      <c r="B3537" s="139" t="s">
        <v>1223</v>
      </c>
      <c r="C3537" s="139" t="s">
        <v>1223</v>
      </c>
      <c r="D3537" s="139" t="s">
        <v>1223</v>
      </c>
      <c r="E3537" s="139" t="s">
        <v>1223</v>
      </c>
      <c r="F3537" s="139" t="s">
        <v>1223</v>
      </c>
      <c r="G3537" s="139" t="s">
        <v>1223</v>
      </c>
      <c r="H3537" s="139" t="s">
        <v>1223</v>
      </c>
      <c r="I3537" s="139" t="s">
        <v>1223</v>
      </c>
      <c r="J3537" s="139" t="s">
        <v>1223</v>
      </c>
      <c r="K3537" s="139" t="s">
        <v>1223</v>
      </c>
      <c r="L3537" s="139" t="s">
        <v>1223</v>
      </c>
      <c r="M3537" s="139" t="s">
        <v>1223</v>
      </c>
      <c r="N3537" s="139" t="s">
        <v>1223</v>
      </c>
      <c r="O3537" s="139" t="s">
        <v>1223</v>
      </c>
      <c r="P3537" s="139" t="s">
        <v>1223</v>
      </c>
      <c r="Q3537" s="141" t="s">
        <v>1272</v>
      </c>
    </row>
    <row r="3538" spans="1:17">
      <c r="A3538" s="139" t="s">
        <v>1223</v>
      </c>
      <c r="B3538" s="139" t="s">
        <v>1223</v>
      </c>
      <c r="C3538" s="139" t="s">
        <v>1223</v>
      </c>
      <c r="D3538" s="139" t="s">
        <v>1223</v>
      </c>
      <c r="E3538" s="139" t="s">
        <v>1223</v>
      </c>
      <c r="F3538" s="139" t="s">
        <v>1223</v>
      </c>
      <c r="G3538" s="139" t="s">
        <v>1223</v>
      </c>
      <c r="H3538" s="139" t="s">
        <v>1223</v>
      </c>
      <c r="I3538" s="139" t="s">
        <v>1223</v>
      </c>
      <c r="J3538" s="139" t="s">
        <v>1223</v>
      </c>
      <c r="K3538" s="139" t="s">
        <v>1223</v>
      </c>
      <c r="L3538" s="139" t="s">
        <v>1223</v>
      </c>
      <c r="M3538" s="139" t="s">
        <v>1223</v>
      </c>
      <c r="N3538" s="139" t="s">
        <v>1223</v>
      </c>
      <c r="O3538" s="139" t="s">
        <v>1223</v>
      </c>
      <c r="P3538" s="139" t="s">
        <v>1223</v>
      </c>
      <c r="Q3538" s="141" t="s">
        <v>1273</v>
      </c>
    </row>
    <row r="3539" spans="1:17">
      <c r="A3539" s="139" t="s">
        <v>1223</v>
      </c>
      <c r="B3539" s="139" t="s">
        <v>1223</v>
      </c>
      <c r="C3539" s="139" t="s">
        <v>1223</v>
      </c>
      <c r="D3539" s="139" t="s">
        <v>1223</v>
      </c>
      <c r="E3539" s="139" t="s">
        <v>1223</v>
      </c>
      <c r="F3539" s="139" t="s">
        <v>1223</v>
      </c>
      <c r="G3539" s="139" t="s">
        <v>1223</v>
      </c>
      <c r="H3539" s="139" t="s">
        <v>1223</v>
      </c>
      <c r="I3539" s="139" t="s">
        <v>1223</v>
      </c>
      <c r="J3539" s="139" t="s">
        <v>1223</v>
      </c>
      <c r="K3539" s="139" t="s">
        <v>1223</v>
      </c>
      <c r="L3539" s="139" t="s">
        <v>1223</v>
      </c>
      <c r="M3539" s="139" t="s">
        <v>1223</v>
      </c>
      <c r="N3539" s="139" t="s">
        <v>1223</v>
      </c>
      <c r="O3539" s="139" t="s">
        <v>1223</v>
      </c>
      <c r="P3539" s="139" t="s">
        <v>1223</v>
      </c>
      <c r="Q3539" s="141" t="s">
        <v>1274</v>
      </c>
    </row>
    <row r="3540" spans="1:17">
      <c r="A3540" s="139" t="s">
        <v>1223</v>
      </c>
      <c r="B3540" s="139" t="s">
        <v>1223</v>
      </c>
      <c r="C3540" s="139" t="s">
        <v>1223</v>
      </c>
      <c r="D3540" s="139" t="s">
        <v>1223</v>
      </c>
      <c r="E3540" s="139" t="s">
        <v>1223</v>
      </c>
      <c r="F3540" s="139" t="s">
        <v>1223</v>
      </c>
      <c r="G3540" s="139" t="s">
        <v>1223</v>
      </c>
      <c r="H3540" s="139" t="s">
        <v>1223</v>
      </c>
      <c r="I3540" s="139" t="s">
        <v>1223</v>
      </c>
      <c r="J3540" s="139" t="s">
        <v>1223</v>
      </c>
      <c r="K3540" s="139" t="s">
        <v>1223</v>
      </c>
      <c r="L3540" s="139" t="s">
        <v>1223</v>
      </c>
      <c r="M3540" s="139" t="s">
        <v>1223</v>
      </c>
      <c r="N3540" s="139" t="s">
        <v>1223</v>
      </c>
      <c r="O3540" s="139" t="s">
        <v>1223</v>
      </c>
      <c r="P3540" s="139" t="s">
        <v>1223</v>
      </c>
      <c r="Q3540" s="141" t="s">
        <v>1275</v>
      </c>
    </row>
    <row r="3541" spans="1:17">
      <c r="A3541" s="139" t="s">
        <v>1223</v>
      </c>
      <c r="B3541" s="139" t="s">
        <v>1223</v>
      </c>
      <c r="C3541" s="139" t="s">
        <v>1223</v>
      </c>
      <c r="D3541" s="139" t="s">
        <v>1223</v>
      </c>
      <c r="E3541" s="139" t="s">
        <v>1223</v>
      </c>
      <c r="F3541" s="139" t="s">
        <v>1223</v>
      </c>
      <c r="G3541" s="139" t="s">
        <v>1223</v>
      </c>
      <c r="H3541" s="139" t="s">
        <v>1223</v>
      </c>
      <c r="I3541" s="139" t="s">
        <v>1223</v>
      </c>
      <c r="J3541" s="139" t="s">
        <v>1223</v>
      </c>
      <c r="K3541" s="139" t="s">
        <v>1223</v>
      </c>
      <c r="L3541" s="139" t="s">
        <v>1223</v>
      </c>
      <c r="M3541" s="139" t="s">
        <v>1223</v>
      </c>
      <c r="N3541" s="139" t="s">
        <v>1223</v>
      </c>
      <c r="O3541" s="139" t="s">
        <v>1223</v>
      </c>
      <c r="P3541" s="139" t="s">
        <v>1223</v>
      </c>
      <c r="Q3541" s="141" t="s">
        <v>1276</v>
      </c>
    </row>
    <row r="3542" spans="1:17">
      <c r="A3542" s="139" t="s">
        <v>1223</v>
      </c>
      <c r="B3542" s="139" t="s">
        <v>1223</v>
      </c>
      <c r="C3542" s="139" t="s">
        <v>1223</v>
      </c>
      <c r="D3542" s="139" t="s">
        <v>1223</v>
      </c>
      <c r="E3542" s="139" t="s">
        <v>1223</v>
      </c>
      <c r="F3542" s="139" t="s">
        <v>1223</v>
      </c>
      <c r="G3542" s="139" t="s">
        <v>1223</v>
      </c>
      <c r="H3542" s="139" t="s">
        <v>1223</v>
      </c>
      <c r="I3542" s="139" t="s">
        <v>1223</v>
      </c>
      <c r="J3542" s="139" t="s">
        <v>1223</v>
      </c>
      <c r="K3542" s="139" t="s">
        <v>1223</v>
      </c>
      <c r="L3542" s="139" t="s">
        <v>1223</v>
      </c>
      <c r="M3542" s="139" t="s">
        <v>1223</v>
      </c>
      <c r="N3542" s="139" t="s">
        <v>1223</v>
      </c>
      <c r="O3542" s="139" t="s">
        <v>1223</v>
      </c>
      <c r="P3542" s="139" t="s">
        <v>1223</v>
      </c>
      <c r="Q3542" s="141" t="s">
        <v>1277</v>
      </c>
    </row>
    <row r="3543" spans="1:17">
      <c r="A3543" s="139" t="s">
        <v>1223</v>
      </c>
      <c r="B3543" s="139" t="s">
        <v>1223</v>
      </c>
      <c r="C3543" s="139" t="s">
        <v>1223</v>
      </c>
      <c r="D3543" s="139" t="s">
        <v>1223</v>
      </c>
      <c r="E3543" s="139" t="s">
        <v>1223</v>
      </c>
      <c r="F3543" s="139" t="s">
        <v>1223</v>
      </c>
      <c r="G3543" s="139" t="s">
        <v>1223</v>
      </c>
      <c r="H3543" s="139" t="s">
        <v>1223</v>
      </c>
      <c r="I3543" s="139" t="s">
        <v>1223</v>
      </c>
      <c r="J3543" s="139" t="s">
        <v>1223</v>
      </c>
      <c r="K3543" s="139" t="s">
        <v>1223</v>
      </c>
      <c r="L3543" s="139" t="s">
        <v>1223</v>
      </c>
      <c r="M3543" s="139" t="s">
        <v>1223</v>
      </c>
      <c r="N3543" s="139" t="s">
        <v>1223</v>
      </c>
      <c r="O3543" s="139" t="s">
        <v>1223</v>
      </c>
      <c r="P3543" s="139" t="s">
        <v>1223</v>
      </c>
      <c r="Q3543" s="141" t="s">
        <v>1278</v>
      </c>
    </row>
    <row r="3544" spans="1:17">
      <c r="A3544" s="139" t="s">
        <v>1223</v>
      </c>
      <c r="B3544" s="139" t="s">
        <v>1223</v>
      </c>
      <c r="C3544" s="139" t="s">
        <v>1223</v>
      </c>
      <c r="D3544" s="139" t="s">
        <v>1223</v>
      </c>
      <c r="E3544" s="139" t="s">
        <v>1223</v>
      </c>
      <c r="F3544" s="139" t="s">
        <v>1223</v>
      </c>
      <c r="G3544" s="139" t="s">
        <v>1223</v>
      </c>
      <c r="H3544" s="139" t="s">
        <v>1223</v>
      </c>
      <c r="I3544" s="139" t="s">
        <v>1223</v>
      </c>
      <c r="J3544" s="139" t="s">
        <v>1223</v>
      </c>
      <c r="K3544" s="139" t="s">
        <v>1223</v>
      </c>
      <c r="L3544" s="139" t="s">
        <v>1223</v>
      </c>
      <c r="M3544" s="139" t="s">
        <v>1223</v>
      </c>
      <c r="N3544" s="139" t="s">
        <v>1223</v>
      </c>
      <c r="O3544" s="139" t="s">
        <v>1223</v>
      </c>
      <c r="P3544" s="139" t="s">
        <v>1223</v>
      </c>
      <c r="Q3544" s="141" t="s">
        <v>1279</v>
      </c>
    </row>
    <row r="3545" spans="1:17">
      <c r="A3545" s="139" t="s">
        <v>1223</v>
      </c>
      <c r="B3545" s="139" t="s">
        <v>1223</v>
      </c>
      <c r="C3545" s="139" t="s">
        <v>1223</v>
      </c>
      <c r="D3545" s="139" t="s">
        <v>1223</v>
      </c>
      <c r="E3545" s="139" t="s">
        <v>1223</v>
      </c>
      <c r="F3545" s="139" t="s">
        <v>1223</v>
      </c>
      <c r="G3545" s="139" t="s">
        <v>1223</v>
      </c>
      <c r="H3545" s="139" t="s">
        <v>1223</v>
      </c>
      <c r="I3545" s="139" t="s">
        <v>1223</v>
      </c>
      <c r="J3545" s="139" t="s">
        <v>1223</v>
      </c>
      <c r="K3545" s="139" t="s">
        <v>1223</v>
      </c>
      <c r="L3545" s="139" t="s">
        <v>1223</v>
      </c>
      <c r="M3545" s="139" t="s">
        <v>1223</v>
      </c>
      <c r="N3545" s="139" t="s">
        <v>1223</v>
      </c>
      <c r="O3545" s="139" t="s">
        <v>1223</v>
      </c>
      <c r="P3545" s="139" t="s">
        <v>1223</v>
      </c>
      <c r="Q3545" s="141" t="s">
        <v>1280</v>
      </c>
    </row>
    <row r="3546" spans="1:17">
      <c r="A3546" s="139" t="s">
        <v>1223</v>
      </c>
      <c r="B3546" s="139" t="s">
        <v>1223</v>
      </c>
      <c r="C3546" s="139" t="s">
        <v>1223</v>
      </c>
      <c r="D3546" s="139" t="s">
        <v>1223</v>
      </c>
      <c r="E3546" s="139" t="s">
        <v>1223</v>
      </c>
      <c r="F3546" s="139" t="s">
        <v>1223</v>
      </c>
      <c r="G3546" s="139" t="s">
        <v>1223</v>
      </c>
      <c r="H3546" s="139" t="s">
        <v>1223</v>
      </c>
      <c r="I3546" s="139" t="s">
        <v>1223</v>
      </c>
      <c r="J3546" s="139" t="s">
        <v>1223</v>
      </c>
      <c r="K3546" s="139" t="s">
        <v>1223</v>
      </c>
      <c r="L3546" s="139" t="s">
        <v>1223</v>
      </c>
      <c r="M3546" s="139" t="s">
        <v>1223</v>
      </c>
      <c r="N3546" s="139" t="s">
        <v>1223</v>
      </c>
      <c r="O3546" s="139" t="s">
        <v>1223</v>
      </c>
      <c r="P3546" s="139" t="s">
        <v>1223</v>
      </c>
      <c r="Q3546" s="141" t="s">
        <v>1281</v>
      </c>
    </row>
    <row r="3547" spans="1:17">
      <c r="A3547" s="139" t="s">
        <v>1223</v>
      </c>
      <c r="B3547" s="139" t="s">
        <v>1223</v>
      </c>
      <c r="C3547" s="139" t="s">
        <v>1223</v>
      </c>
      <c r="D3547" s="139" t="s">
        <v>1223</v>
      </c>
      <c r="E3547" s="139" t="s">
        <v>1223</v>
      </c>
      <c r="F3547" s="139" t="s">
        <v>1223</v>
      </c>
      <c r="G3547" s="139" t="s">
        <v>1223</v>
      </c>
      <c r="H3547" s="139" t="s">
        <v>1223</v>
      </c>
      <c r="I3547" s="139" t="s">
        <v>1223</v>
      </c>
      <c r="J3547" s="139" t="s">
        <v>1223</v>
      </c>
      <c r="K3547" s="139" t="s">
        <v>1223</v>
      </c>
      <c r="L3547" s="139" t="s">
        <v>1223</v>
      </c>
      <c r="M3547" s="139" t="s">
        <v>1223</v>
      </c>
      <c r="N3547" s="139" t="s">
        <v>1223</v>
      </c>
      <c r="O3547" s="139" t="s">
        <v>1223</v>
      </c>
      <c r="P3547" s="139" t="s">
        <v>1223</v>
      </c>
      <c r="Q3547" s="141" t="s">
        <v>1282</v>
      </c>
    </row>
    <row r="3548" spans="1:17">
      <c r="A3548" s="139" t="s">
        <v>1223</v>
      </c>
      <c r="B3548" s="139" t="s">
        <v>1223</v>
      </c>
      <c r="C3548" s="139" t="s">
        <v>1223</v>
      </c>
      <c r="D3548" s="139" t="s">
        <v>1223</v>
      </c>
      <c r="E3548" s="139" t="s">
        <v>1223</v>
      </c>
      <c r="F3548" s="139" t="s">
        <v>1223</v>
      </c>
      <c r="G3548" s="139" t="s">
        <v>1223</v>
      </c>
      <c r="H3548" s="139" t="s">
        <v>1223</v>
      </c>
      <c r="I3548" s="139" t="s">
        <v>1223</v>
      </c>
      <c r="J3548" s="139" t="s">
        <v>1223</v>
      </c>
      <c r="K3548" s="139" t="s">
        <v>1223</v>
      </c>
      <c r="L3548" s="139" t="s">
        <v>1223</v>
      </c>
      <c r="M3548" s="139" t="s">
        <v>1223</v>
      </c>
      <c r="N3548" s="139" t="s">
        <v>1223</v>
      </c>
      <c r="O3548" s="139" t="s">
        <v>1223</v>
      </c>
      <c r="P3548" s="139" t="s">
        <v>1223</v>
      </c>
      <c r="Q3548" s="141" t="s">
        <v>1283</v>
      </c>
    </row>
    <row r="3549" spans="1:17">
      <c r="A3549" s="139" t="s">
        <v>1223</v>
      </c>
      <c r="B3549" s="139" t="s">
        <v>1223</v>
      </c>
      <c r="C3549" s="139" t="s">
        <v>1223</v>
      </c>
      <c r="D3549" s="139" t="s">
        <v>1223</v>
      </c>
      <c r="E3549" s="139" t="s">
        <v>1223</v>
      </c>
      <c r="F3549" s="139" t="s">
        <v>1223</v>
      </c>
      <c r="G3549" s="139" t="s">
        <v>1223</v>
      </c>
      <c r="H3549" s="139" t="s">
        <v>1223</v>
      </c>
      <c r="I3549" s="139" t="s">
        <v>1223</v>
      </c>
      <c r="J3549" s="139" t="s">
        <v>1223</v>
      </c>
      <c r="K3549" s="139" t="s">
        <v>1223</v>
      </c>
      <c r="L3549" s="139" t="s">
        <v>1223</v>
      </c>
      <c r="M3549" s="139" t="s">
        <v>1223</v>
      </c>
      <c r="N3549" s="139" t="s">
        <v>1223</v>
      </c>
      <c r="O3549" s="139" t="s">
        <v>1223</v>
      </c>
      <c r="P3549" s="139" t="s">
        <v>1223</v>
      </c>
      <c r="Q3549" s="141" t="s">
        <v>1284</v>
      </c>
    </row>
    <row r="3550" spans="1:17">
      <c r="A3550" s="139" t="s">
        <v>1223</v>
      </c>
      <c r="B3550" s="139" t="s">
        <v>1223</v>
      </c>
      <c r="C3550" s="139" t="s">
        <v>1223</v>
      </c>
      <c r="D3550" s="139" t="s">
        <v>1223</v>
      </c>
      <c r="E3550" s="139" t="s">
        <v>1223</v>
      </c>
      <c r="F3550" s="139" t="s">
        <v>1223</v>
      </c>
      <c r="G3550" s="139" t="s">
        <v>1223</v>
      </c>
      <c r="H3550" s="139" t="s">
        <v>1223</v>
      </c>
      <c r="I3550" s="139" t="s">
        <v>1223</v>
      </c>
      <c r="J3550" s="139" t="s">
        <v>1223</v>
      </c>
      <c r="K3550" s="139" t="s">
        <v>1223</v>
      </c>
      <c r="L3550" s="139" t="s">
        <v>1223</v>
      </c>
      <c r="M3550" s="139" t="s">
        <v>1223</v>
      </c>
      <c r="N3550" s="139" t="s">
        <v>1223</v>
      </c>
      <c r="O3550" s="139" t="s">
        <v>1223</v>
      </c>
      <c r="P3550" s="139" t="s">
        <v>1223</v>
      </c>
      <c r="Q3550" s="141" t="s">
        <v>1285</v>
      </c>
    </row>
    <row r="3551" spans="1:17">
      <c r="A3551" s="139" t="s">
        <v>1223</v>
      </c>
      <c r="B3551" s="139" t="s">
        <v>1223</v>
      </c>
      <c r="C3551" s="139" t="s">
        <v>1223</v>
      </c>
      <c r="D3551" s="139" t="s">
        <v>1223</v>
      </c>
      <c r="E3551" s="139" t="s">
        <v>1223</v>
      </c>
      <c r="F3551" s="139" t="s">
        <v>1223</v>
      </c>
      <c r="G3551" s="139" t="s">
        <v>1223</v>
      </c>
      <c r="H3551" s="139" t="s">
        <v>1223</v>
      </c>
      <c r="I3551" s="139"/>
      <c r="J3551" s="139"/>
      <c r="K3551" s="139"/>
      <c r="L3551" s="139"/>
      <c r="M3551" s="139"/>
      <c r="N3551" s="139"/>
      <c r="O3551" s="139"/>
      <c r="P3551" s="139"/>
      <c r="Q3551" s="141" t="s">
        <v>1286</v>
      </c>
    </row>
    <row r="3552" spans="1:17" ht="15">
      <c r="A3552" s="137" t="s">
        <v>1294</v>
      </c>
      <c r="B3552" s="137"/>
      <c r="C3552" s="137"/>
      <c r="D3552" s="137"/>
      <c r="E3552" s="137"/>
      <c r="F3552" s="137"/>
      <c r="G3552" s="137"/>
      <c r="H3552" s="137"/>
      <c r="I3552" s="137"/>
      <c r="J3552" s="137"/>
      <c r="K3552" s="137"/>
      <c r="L3552" s="137"/>
      <c r="M3552" s="137"/>
      <c r="N3552" s="137"/>
      <c r="O3552" s="137"/>
      <c r="P3552" s="137"/>
      <c r="Q3552" s="137"/>
    </row>
    <row r="3553" spans="1:17">
      <c r="A3553" s="139" t="s">
        <v>1223</v>
      </c>
      <c r="B3553" s="139" t="s">
        <v>1223</v>
      </c>
      <c r="C3553" s="139" t="s">
        <v>1223</v>
      </c>
      <c r="D3553" s="139" t="s">
        <v>1223</v>
      </c>
      <c r="E3553" s="139" t="s">
        <v>1223</v>
      </c>
      <c r="F3553" s="139" t="s">
        <v>1223</v>
      </c>
      <c r="G3553" s="139" t="s">
        <v>1223</v>
      </c>
      <c r="H3553" s="139" t="s">
        <v>1223</v>
      </c>
      <c r="I3553" s="139" t="s">
        <v>1223</v>
      </c>
      <c r="J3553" s="139" t="s">
        <v>1223</v>
      </c>
      <c r="K3553" s="139" t="s">
        <v>1223</v>
      </c>
      <c r="L3553" s="139" t="s">
        <v>1223</v>
      </c>
      <c r="M3553" s="139" t="s">
        <v>1223</v>
      </c>
      <c r="N3553" s="139" t="s">
        <v>1223</v>
      </c>
      <c r="O3553" s="139" t="s">
        <v>1223</v>
      </c>
      <c r="P3553" s="139" t="s">
        <v>1223</v>
      </c>
      <c r="Q3553" s="141" t="s">
        <v>1224</v>
      </c>
    </row>
    <row r="3554" spans="1:17">
      <c r="A3554" s="139" t="s">
        <v>1223</v>
      </c>
      <c r="B3554" s="139" t="s">
        <v>1223</v>
      </c>
      <c r="C3554" s="139" t="s">
        <v>1223</v>
      </c>
      <c r="D3554" s="139" t="s">
        <v>1223</v>
      </c>
      <c r="E3554" s="139" t="s">
        <v>1223</v>
      </c>
      <c r="F3554" s="139" t="s">
        <v>1223</v>
      </c>
      <c r="G3554" s="139" t="s">
        <v>1223</v>
      </c>
      <c r="H3554" s="139" t="s">
        <v>1223</v>
      </c>
      <c r="I3554" s="139" t="s">
        <v>1223</v>
      </c>
      <c r="J3554" s="139" t="s">
        <v>1223</v>
      </c>
      <c r="K3554" s="139" t="s">
        <v>1223</v>
      </c>
      <c r="L3554" s="139" t="s">
        <v>1223</v>
      </c>
      <c r="M3554" s="139" t="s">
        <v>1223</v>
      </c>
      <c r="N3554" s="139" t="s">
        <v>1223</v>
      </c>
      <c r="O3554" s="139" t="s">
        <v>1223</v>
      </c>
      <c r="P3554" s="139" t="s">
        <v>1223</v>
      </c>
      <c r="Q3554" s="141" t="s">
        <v>1225</v>
      </c>
    </row>
    <row r="3555" spans="1:17">
      <c r="A3555" s="139" t="s">
        <v>1223</v>
      </c>
      <c r="B3555" s="139" t="s">
        <v>1223</v>
      </c>
      <c r="C3555" s="139" t="s">
        <v>1223</v>
      </c>
      <c r="D3555" s="139" t="s">
        <v>1223</v>
      </c>
      <c r="E3555" s="139" t="s">
        <v>1223</v>
      </c>
      <c r="F3555" s="139" t="s">
        <v>1223</v>
      </c>
      <c r="G3555" s="139" t="s">
        <v>1223</v>
      </c>
      <c r="H3555" s="139" t="s">
        <v>1223</v>
      </c>
      <c r="I3555" s="139" t="s">
        <v>1223</v>
      </c>
      <c r="J3555" s="139" t="s">
        <v>1223</v>
      </c>
      <c r="K3555" s="139" t="s">
        <v>1223</v>
      </c>
      <c r="L3555" s="139" t="s">
        <v>1223</v>
      </c>
      <c r="M3555" s="139" t="s">
        <v>1223</v>
      </c>
      <c r="N3555" s="139" t="s">
        <v>1223</v>
      </c>
      <c r="O3555" s="139" t="s">
        <v>1223</v>
      </c>
      <c r="P3555" s="139" t="s">
        <v>1223</v>
      </c>
      <c r="Q3555" s="141" t="s">
        <v>1226</v>
      </c>
    </row>
    <row r="3556" spans="1:17">
      <c r="A3556" s="139" t="s">
        <v>1223</v>
      </c>
      <c r="B3556" s="139" t="s">
        <v>1223</v>
      </c>
      <c r="C3556" s="139" t="s">
        <v>1223</v>
      </c>
      <c r="D3556" s="139" t="s">
        <v>1223</v>
      </c>
      <c r="E3556" s="139" t="s">
        <v>1223</v>
      </c>
      <c r="F3556" s="139" t="s">
        <v>1223</v>
      </c>
      <c r="G3556" s="139" t="s">
        <v>1223</v>
      </c>
      <c r="H3556" s="139" t="s">
        <v>1223</v>
      </c>
      <c r="I3556" s="139" t="s">
        <v>1223</v>
      </c>
      <c r="J3556" s="139" t="s">
        <v>1223</v>
      </c>
      <c r="K3556" s="139" t="s">
        <v>1223</v>
      </c>
      <c r="L3556" s="139" t="s">
        <v>1223</v>
      </c>
      <c r="M3556" s="139" t="s">
        <v>1223</v>
      </c>
      <c r="N3556" s="139" t="s">
        <v>1223</v>
      </c>
      <c r="O3556" s="139" t="s">
        <v>1223</v>
      </c>
      <c r="P3556" s="139" t="s">
        <v>1223</v>
      </c>
      <c r="Q3556" s="141" t="s">
        <v>1227</v>
      </c>
    </row>
    <row r="3557" spans="1:17">
      <c r="A3557" s="139" t="s">
        <v>1223</v>
      </c>
      <c r="B3557" s="139" t="s">
        <v>1223</v>
      </c>
      <c r="C3557" s="139" t="s">
        <v>1223</v>
      </c>
      <c r="D3557" s="139" t="s">
        <v>1223</v>
      </c>
      <c r="E3557" s="139" t="s">
        <v>1223</v>
      </c>
      <c r="F3557" s="139" t="s">
        <v>1223</v>
      </c>
      <c r="G3557" s="139" t="s">
        <v>1223</v>
      </c>
      <c r="H3557" s="139" t="s">
        <v>1223</v>
      </c>
      <c r="I3557" s="139" t="s">
        <v>1223</v>
      </c>
      <c r="J3557" s="139" t="s">
        <v>1223</v>
      </c>
      <c r="K3557" s="139" t="s">
        <v>1223</v>
      </c>
      <c r="L3557" s="139" t="s">
        <v>1223</v>
      </c>
      <c r="M3557" s="139" t="s">
        <v>1223</v>
      </c>
      <c r="N3557" s="139" t="s">
        <v>1223</v>
      </c>
      <c r="O3557" s="139" t="s">
        <v>1223</v>
      </c>
      <c r="P3557" s="139" t="s">
        <v>1223</v>
      </c>
      <c r="Q3557" s="141" t="s">
        <v>1228</v>
      </c>
    </row>
    <row r="3558" spans="1:17">
      <c r="A3558" s="139" t="s">
        <v>1223</v>
      </c>
      <c r="B3558" s="139" t="s">
        <v>1223</v>
      </c>
      <c r="C3558" s="139" t="s">
        <v>1223</v>
      </c>
      <c r="D3558" s="139" t="s">
        <v>1223</v>
      </c>
      <c r="E3558" s="139" t="s">
        <v>1223</v>
      </c>
      <c r="F3558" s="139" t="s">
        <v>1223</v>
      </c>
      <c r="G3558" s="139" t="s">
        <v>1223</v>
      </c>
      <c r="H3558" s="139" t="s">
        <v>1223</v>
      </c>
      <c r="I3558" s="139" t="s">
        <v>1223</v>
      </c>
      <c r="J3558" s="139" t="s">
        <v>1223</v>
      </c>
      <c r="K3558" s="139" t="s">
        <v>1223</v>
      </c>
      <c r="L3558" s="139" t="s">
        <v>1223</v>
      </c>
      <c r="M3558" s="139" t="s">
        <v>1223</v>
      </c>
      <c r="N3558" s="139" t="s">
        <v>1223</v>
      </c>
      <c r="O3558" s="139" t="s">
        <v>1223</v>
      </c>
      <c r="P3558" s="139" t="s">
        <v>1223</v>
      </c>
      <c r="Q3558" s="141" t="s">
        <v>1229</v>
      </c>
    </row>
    <row r="3559" spans="1:17">
      <c r="A3559" s="139" t="s">
        <v>1223</v>
      </c>
      <c r="B3559" s="139" t="s">
        <v>1223</v>
      </c>
      <c r="C3559" s="139" t="s">
        <v>1223</v>
      </c>
      <c r="D3559" s="139" t="s">
        <v>1223</v>
      </c>
      <c r="E3559" s="139" t="s">
        <v>1223</v>
      </c>
      <c r="F3559" s="139" t="s">
        <v>1223</v>
      </c>
      <c r="G3559" s="139" t="s">
        <v>1223</v>
      </c>
      <c r="H3559" s="139" t="s">
        <v>1223</v>
      </c>
      <c r="I3559" s="139" t="s">
        <v>1223</v>
      </c>
      <c r="J3559" s="139" t="s">
        <v>1223</v>
      </c>
      <c r="K3559" s="139" t="s">
        <v>1223</v>
      </c>
      <c r="L3559" s="139" t="s">
        <v>1223</v>
      </c>
      <c r="M3559" s="139" t="s">
        <v>1223</v>
      </c>
      <c r="N3559" s="139" t="s">
        <v>1223</v>
      </c>
      <c r="O3559" s="139" t="s">
        <v>1223</v>
      </c>
      <c r="P3559" s="139" t="s">
        <v>1223</v>
      </c>
      <c r="Q3559" s="141" t="s">
        <v>1230</v>
      </c>
    </row>
    <row r="3560" spans="1:17">
      <c r="A3560" s="139" t="s">
        <v>1223</v>
      </c>
      <c r="B3560" s="139" t="s">
        <v>1223</v>
      </c>
      <c r="C3560" s="139" t="s">
        <v>1223</v>
      </c>
      <c r="D3560" s="139" t="s">
        <v>1223</v>
      </c>
      <c r="E3560" s="139" t="s">
        <v>1223</v>
      </c>
      <c r="F3560" s="139" t="s">
        <v>1223</v>
      </c>
      <c r="G3560" s="139" t="s">
        <v>1223</v>
      </c>
      <c r="H3560" s="139" t="s">
        <v>1223</v>
      </c>
      <c r="I3560" s="139" t="s">
        <v>1223</v>
      </c>
      <c r="J3560" s="139" t="s">
        <v>1223</v>
      </c>
      <c r="K3560" s="139" t="s">
        <v>1223</v>
      </c>
      <c r="L3560" s="139" t="s">
        <v>1223</v>
      </c>
      <c r="M3560" s="139" t="s">
        <v>1223</v>
      </c>
      <c r="N3560" s="139" t="s">
        <v>1223</v>
      </c>
      <c r="O3560" s="139" t="s">
        <v>1223</v>
      </c>
      <c r="P3560" s="139" t="s">
        <v>1223</v>
      </c>
      <c r="Q3560" s="141" t="s">
        <v>1231</v>
      </c>
    </row>
    <row r="3561" spans="1:17">
      <c r="A3561" s="139" t="s">
        <v>1223</v>
      </c>
      <c r="B3561" s="139" t="s">
        <v>1223</v>
      </c>
      <c r="C3561" s="139" t="s">
        <v>1223</v>
      </c>
      <c r="D3561" s="139" t="s">
        <v>1223</v>
      </c>
      <c r="E3561" s="139" t="s">
        <v>1223</v>
      </c>
      <c r="F3561" s="139" t="s">
        <v>1223</v>
      </c>
      <c r="G3561" s="139" t="s">
        <v>1223</v>
      </c>
      <c r="H3561" s="139" t="s">
        <v>1223</v>
      </c>
      <c r="I3561" s="139" t="s">
        <v>1223</v>
      </c>
      <c r="J3561" s="139" t="s">
        <v>1223</v>
      </c>
      <c r="K3561" s="139" t="s">
        <v>1223</v>
      </c>
      <c r="L3561" s="139" t="s">
        <v>1223</v>
      </c>
      <c r="M3561" s="139" t="s">
        <v>1223</v>
      </c>
      <c r="N3561" s="139" t="s">
        <v>1223</v>
      </c>
      <c r="O3561" s="139" t="s">
        <v>1223</v>
      </c>
      <c r="P3561" s="139" t="s">
        <v>1223</v>
      </c>
      <c r="Q3561" s="141" t="s">
        <v>1232</v>
      </c>
    </row>
    <row r="3562" spans="1:17">
      <c r="A3562" s="139" t="s">
        <v>1223</v>
      </c>
      <c r="B3562" s="139" t="s">
        <v>1223</v>
      </c>
      <c r="C3562" s="139" t="s">
        <v>1223</v>
      </c>
      <c r="D3562" s="139" t="s">
        <v>1223</v>
      </c>
      <c r="E3562" s="139" t="s">
        <v>1223</v>
      </c>
      <c r="F3562" s="139" t="s">
        <v>1223</v>
      </c>
      <c r="G3562" s="139" t="s">
        <v>1223</v>
      </c>
      <c r="H3562" s="139" t="s">
        <v>1223</v>
      </c>
      <c r="I3562" s="139" t="s">
        <v>1223</v>
      </c>
      <c r="J3562" s="139" t="s">
        <v>1223</v>
      </c>
      <c r="K3562" s="139" t="s">
        <v>1223</v>
      </c>
      <c r="L3562" s="139" t="s">
        <v>1223</v>
      </c>
      <c r="M3562" s="139" t="s">
        <v>1223</v>
      </c>
      <c r="N3562" s="139" t="s">
        <v>1223</v>
      </c>
      <c r="O3562" s="139" t="s">
        <v>1223</v>
      </c>
      <c r="P3562" s="139" t="s">
        <v>1223</v>
      </c>
      <c r="Q3562" s="141" t="s">
        <v>1233</v>
      </c>
    </row>
    <row r="3563" spans="1:17">
      <c r="A3563" s="139" t="s">
        <v>1223</v>
      </c>
      <c r="B3563" s="139" t="s">
        <v>1223</v>
      </c>
      <c r="C3563" s="139" t="s">
        <v>1223</v>
      </c>
      <c r="D3563" s="139" t="s">
        <v>1223</v>
      </c>
      <c r="E3563" s="139" t="s">
        <v>1223</v>
      </c>
      <c r="F3563" s="139" t="s">
        <v>1223</v>
      </c>
      <c r="G3563" s="139" t="s">
        <v>1223</v>
      </c>
      <c r="H3563" s="139" t="s">
        <v>1223</v>
      </c>
      <c r="I3563" s="139" t="s">
        <v>1223</v>
      </c>
      <c r="J3563" s="139" t="s">
        <v>1223</v>
      </c>
      <c r="K3563" s="139" t="s">
        <v>1223</v>
      </c>
      <c r="L3563" s="139" t="s">
        <v>1223</v>
      </c>
      <c r="M3563" s="139" t="s">
        <v>1223</v>
      </c>
      <c r="N3563" s="139" t="s">
        <v>1223</v>
      </c>
      <c r="O3563" s="139" t="s">
        <v>1223</v>
      </c>
      <c r="P3563" s="139" t="s">
        <v>1223</v>
      </c>
      <c r="Q3563" s="141" t="s">
        <v>1234</v>
      </c>
    </row>
    <row r="3564" spans="1:17">
      <c r="A3564" s="139" t="s">
        <v>1223</v>
      </c>
      <c r="B3564" s="139" t="s">
        <v>1223</v>
      </c>
      <c r="C3564" s="139" t="s">
        <v>1223</v>
      </c>
      <c r="D3564" s="139" t="s">
        <v>1223</v>
      </c>
      <c r="E3564" s="139" t="s">
        <v>1223</v>
      </c>
      <c r="F3564" s="139" t="s">
        <v>1223</v>
      </c>
      <c r="G3564" s="139" t="s">
        <v>1223</v>
      </c>
      <c r="H3564" s="139" t="s">
        <v>1223</v>
      </c>
      <c r="I3564" s="139" t="s">
        <v>1223</v>
      </c>
      <c r="J3564" s="139" t="s">
        <v>1223</v>
      </c>
      <c r="K3564" s="139" t="s">
        <v>1223</v>
      </c>
      <c r="L3564" s="139" t="s">
        <v>1223</v>
      </c>
      <c r="M3564" s="139" t="s">
        <v>1223</v>
      </c>
      <c r="N3564" s="139" t="s">
        <v>1223</v>
      </c>
      <c r="O3564" s="139" t="s">
        <v>1223</v>
      </c>
      <c r="P3564" s="139" t="s">
        <v>1223</v>
      </c>
      <c r="Q3564" s="141" t="s">
        <v>1235</v>
      </c>
    </row>
    <row r="3565" spans="1:17">
      <c r="A3565" s="139" t="s">
        <v>1223</v>
      </c>
      <c r="B3565" s="139" t="s">
        <v>1223</v>
      </c>
      <c r="C3565" s="139" t="s">
        <v>1223</v>
      </c>
      <c r="D3565" s="139" t="s">
        <v>1223</v>
      </c>
      <c r="E3565" s="139" t="s">
        <v>1223</v>
      </c>
      <c r="F3565" s="139" t="s">
        <v>1223</v>
      </c>
      <c r="G3565" s="139" t="s">
        <v>1223</v>
      </c>
      <c r="H3565" s="139" t="s">
        <v>1223</v>
      </c>
      <c r="I3565" s="139" t="s">
        <v>1223</v>
      </c>
      <c r="J3565" s="139" t="s">
        <v>1223</v>
      </c>
      <c r="K3565" s="139" t="s">
        <v>1223</v>
      </c>
      <c r="L3565" s="139" t="s">
        <v>1223</v>
      </c>
      <c r="M3565" s="139" t="s">
        <v>1223</v>
      </c>
      <c r="N3565" s="139" t="s">
        <v>1223</v>
      </c>
      <c r="O3565" s="139" t="s">
        <v>1223</v>
      </c>
      <c r="P3565" s="139" t="s">
        <v>1223</v>
      </c>
      <c r="Q3565" s="141" t="s">
        <v>1236</v>
      </c>
    </row>
    <row r="3566" spans="1:17">
      <c r="A3566" s="139" t="s">
        <v>1223</v>
      </c>
      <c r="B3566" s="139" t="s">
        <v>1223</v>
      </c>
      <c r="C3566" s="139" t="s">
        <v>1223</v>
      </c>
      <c r="D3566" s="139" t="s">
        <v>1223</v>
      </c>
      <c r="E3566" s="139" t="s">
        <v>1223</v>
      </c>
      <c r="F3566" s="139" t="s">
        <v>1223</v>
      </c>
      <c r="G3566" s="139" t="s">
        <v>1223</v>
      </c>
      <c r="H3566" s="139" t="s">
        <v>1223</v>
      </c>
      <c r="I3566" s="139" t="s">
        <v>1223</v>
      </c>
      <c r="J3566" s="139" t="s">
        <v>1223</v>
      </c>
      <c r="K3566" s="139" t="s">
        <v>1223</v>
      </c>
      <c r="L3566" s="139" t="s">
        <v>1223</v>
      </c>
      <c r="M3566" s="139" t="s">
        <v>1223</v>
      </c>
      <c r="N3566" s="139" t="s">
        <v>1223</v>
      </c>
      <c r="O3566" s="139" t="s">
        <v>1223</v>
      </c>
      <c r="P3566" s="139" t="s">
        <v>1223</v>
      </c>
      <c r="Q3566" s="141" t="s">
        <v>1237</v>
      </c>
    </row>
    <row r="3567" spans="1:17">
      <c r="A3567" s="139" t="s">
        <v>1223</v>
      </c>
      <c r="B3567" s="139" t="s">
        <v>1223</v>
      </c>
      <c r="C3567" s="139" t="s">
        <v>1223</v>
      </c>
      <c r="D3567" s="139" t="s">
        <v>1223</v>
      </c>
      <c r="E3567" s="139" t="s">
        <v>1223</v>
      </c>
      <c r="F3567" s="139" t="s">
        <v>1223</v>
      </c>
      <c r="G3567" s="139" t="s">
        <v>1223</v>
      </c>
      <c r="H3567" s="139" t="s">
        <v>1223</v>
      </c>
      <c r="I3567" s="139" t="s">
        <v>1223</v>
      </c>
      <c r="J3567" s="139" t="s">
        <v>1223</v>
      </c>
      <c r="K3567" s="139" t="s">
        <v>1223</v>
      </c>
      <c r="L3567" s="139" t="s">
        <v>1223</v>
      </c>
      <c r="M3567" s="139" t="s">
        <v>1223</v>
      </c>
      <c r="N3567" s="139" t="s">
        <v>1223</v>
      </c>
      <c r="O3567" s="139" t="s">
        <v>1223</v>
      </c>
      <c r="P3567" s="139" t="s">
        <v>1223</v>
      </c>
      <c r="Q3567" s="141" t="s">
        <v>1238</v>
      </c>
    </row>
    <row r="3568" spans="1:17">
      <c r="A3568" s="139" t="s">
        <v>1223</v>
      </c>
      <c r="B3568" s="139" t="s">
        <v>1223</v>
      </c>
      <c r="C3568" s="139" t="s">
        <v>1223</v>
      </c>
      <c r="D3568" s="139" t="s">
        <v>1223</v>
      </c>
      <c r="E3568" s="139" t="s">
        <v>1223</v>
      </c>
      <c r="F3568" s="139" t="s">
        <v>1223</v>
      </c>
      <c r="G3568" s="139" t="s">
        <v>1223</v>
      </c>
      <c r="H3568" s="139" t="s">
        <v>1223</v>
      </c>
      <c r="I3568" s="139" t="s">
        <v>1223</v>
      </c>
      <c r="J3568" s="139" t="s">
        <v>1223</v>
      </c>
      <c r="K3568" s="139" t="s">
        <v>1223</v>
      </c>
      <c r="L3568" s="139" t="s">
        <v>1223</v>
      </c>
      <c r="M3568" s="139" t="s">
        <v>1330</v>
      </c>
      <c r="N3568" s="139" t="s">
        <v>1223</v>
      </c>
      <c r="O3568" s="139" t="s">
        <v>1223</v>
      </c>
      <c r="P3568" s="139" t="s">
        <v>1223</v>
      </c>
      <c r="Q3568" s="141" t="s">
        <v>1239</v>
      </c>
    </row>
    <row r="3569" spans="1:17">
      <c r="A3569" s="139" t="s">
        <v>1223</v>
      </c>
      <c r="B3569" s="139" t="s">
        <v>1223</v>
      </c>
      <c r="C3569" s="139" t="s">
        <v>1223</v>
      </c>
      <c r="D3569" s="139" t="s">
        <v>1223</v>
      </c>
      <c r="E3569" s="139" t="s">
        <v>1223</v>
      </c>
      <c r="F3569" s="139" t="s">
        <v>1223</v>
      </c>
      <c r="G3569" s="139" t="s">
        <v>1223</v>
      </c>
      <c r="H3569" s="139" t="s">
        <v>1223</v>
      </c>
      <c r="I3569" s="139" t="s">
        <v>1223</v>
      </c>
      <c r="J3569" s="139" t="s">
        <v>1223</v>
      </c>
      <c r="K3569" s="139" t="s">
        <v>1223</v>
      </c>
      <c r="L3569" s="139" t="s">
        <v>1223</v>
      </c>
      <c r="M3569" s="139" t="s">
        <v>1223</v>
      </c>
      <c r="N3569" s="139" t="s">
        <v>1223</v>
      </c>
      <c r="O3569" s="139" t="s">
        <v>1223</v>
      </c>
      <c r="P3569" s="139" t="s">
        <v>1223</v>
      </c>
      <c r="Q3569" s="141" t="s">
        <v>1240</v>
      </c>
    </row>
    <row r="3570" spans="1:17">
      <c r="A3570" s="139" t="s">
        <v>1223</v>
      </c>
      <c r="B3570" s="139" t="s">
        <v>1223</v>
      </c>
      <c r="C3570" s="139" t="s">
        <v>1223</v>
      </c>
      <c r="D3570" s="139" t="s">
        <v>1223</v>
      </c>
      <c r="E3570" s="139" t="s">
        <v>1223</v>
      </c>
      <c r="F3570" s="139" t="s">
        <v>1223</v>
      </c>
      <c r="G3570" s="139" t="s">
        <v>1223</v>
      </c>
      <c r="H3570" s="139" t="s">
        <v>1223</v>
      </c>
      <c r="I3570" s="139" t="s">
        <v>1223</v>
      </c>
      <c r="J3570" s="139" t="s">
        <v>1223</v>
      </c>
      <c r="K3570" s="139" t="s">
        <v>1223</v>
      </c>
      <c r="L3570" s="139" t="s">
        <v>1223</v>
      </c>
      <c r="M3570" s="139" t="s">
        <v>1223</v>
      </c>
      <c r="N3570" s="139" t="s">
        <v>1223</v>
      </c>
      <c r="O3570" s="139" t="s">
        <v>1223</v>
      </c>
      <c r="P3570" s="139" t="s">
        <v>1223</v>
      </c>
      <c r="Q3570" s="141" t="s">
        <v>1241</v>
      </c>
    </row>
    <row r="3571" spans="1:17">
      <c r="A3571" s="139" t="s">
        <v>1223</v>
      </c>
      <c r="B3571" s="139" t="s">
        <v>1223</v>
      </c>
      <c r="C3571" s="139" t="s">
        <v>1223</v>
      </c>
      <c r="D3571" s="139" t="s">
        <v>1223</v>
      </c>
      <c r="E3571" s="139" t="s">
        <v>1223</v>
      </c>
      <c r="F3571" s="139" t="s">
        <v>1223</v>
      </c>
      <c r="G3571" s="139" t="s">
        <v>1223</v>
      </c>
      <c r="H3571" s="139" t="s">
        <v>1223</v>
      </c>
      <c r="I3571" s="139" t="s">
        <v>1223</v>
      </c>
      <c r="J3571" s="139" t="s">
        <v>1223</v>
      </c>
      <c r="K3571" s="139" t="s">
        <v>1223</v>
      </c>
      <c r="L3571" s="139" t="s">
        <v>1223</v>
      </c>
      <c r="M3571" s="139" t="s">
        <v>1223</v>
      </c>
      <c r="N3571" s="139" t="s">
        <v>1223</v>
      </c>
      <c r="O3571" s="139" t="s">
        <v>1223</v>
      </c>
      <c r="P3571" s="139" t="s">
        <v>1223</v>
      </c>
      <c r="Q3571" s="141" t="s">
        <v>1242</v>
      </c>
    </row>
    <row r="3572" spans="1:17">
      <c r="A3572" s="139" t="s">
        <v>1223</v>
      </c>
      <c r="B3572" s="139" t="s">
        <v>1223</v>
      </c>
      <c r="C3572" s="139" t="s">
        <v>1223</v>
      </c>
      <c r="D3572" s="139" t="s">
        <v>1223</v>
      </c>
      <c r="E3572" s="139" t="s">
        <v>1223</v>
      </c>
      <c r="F3572" s="139" t="s">
        <v>1223</v>
      </c>
      <c r="G3572" s="139" t="s">
        <v>1223</v>
      </c>
      <c r="H3572" s="139" t="s">
        <v>1223</v>
      </c>
      <c r="I3572" s="139" t="s">
        <v>1223</v>
      </c>
      <c r="J3572" s="139" t="s">
        <v>1223</v>
      </c>
      <c r="K3572" s="139" t="s">
        <v>1223</v>
      </c>
      <c r="L3572" s="139" t="s">
        <v>1223</v>
      </c>
      <c r="M3572" s="139" t="s">
        <v>1223</v>
      </c>
      <c r="N3572" s="139" t="s">
        <v>1223</v>
      </c>
      <c r="O3572" s="139" t="s">
        <v>1223</v>
      </c>
      <c r="P3572" s="139" t="s">
        <v>1223</v>
      </c>
      <c r="Q3572" s="141" t="s">
        <v>1243</v>
      </c>
    </row>
    <row r="3573" spans="1:17">
      <c r="A3573" s="139" t="s">
        <v>1223</v>
      </c>
      <c r="B3573" s="139" t="s">
        <v>1223</v>
      </c>
      <c r="C3573" s="139" t="s">
        <v>1223</v>
      </c>
      <c r="D3573" s="139" t="s">
        <v>1223</v>
      </c>
      <c r="E3573" s="139" t="s">
        <v>1223</v>
      </c>
      <c r="F3573" s="139" t="s">
        <v>1223</v>
      </c>
      <c r="G3573" s="139" t="s">
        <v>1223</v>
      </c>
      <c r="H3573" s="139" t="s">
        <v>1223</v>
      </c>
      <c r="I3573" s="139" t="s">
        <v>1223</v>
      </c>
      <c r="J3573" s="139" t="s">
        <v>1223</v>
      </c>
      <c r="K3573" s="139" t="s">
        <v>1223</v>
      </c>
      <c r="L3573" s="139" t="s">
        <v>1223</v>
      </c>
      <c r="M3573" s="139" t="s">
        <v>1223</v>
      </c>
      <c r="N3573" s="139" t="s">
        <v>1223</v>
      </c>
      <c r="O3573" s="139" t="s">
        <v>1223</v>
      </c>
      <c r="P3573" s="139" t="s">
        <v>1223</v>
      </c>
      <c r="Q3573" s="141" t="s">
        <v>1244</v>
      </c>
    </row>
    <row r="3574" spans="1:17">
      <c r="A3574" s="139" t="s">
        <v>1223</v>
      </c>
      <c r="B3574" s="139" t="s">
        <v>1223</v>
      </c>
      <c r="C3574" s="139" t="s">
        <v>1223</v>
      </c>
      <c r="D3574" s="139" t="s">
        <v>1223</v>
      </c>
      <c r="E3574" s="139" t="s">
        <v>1223</v>
      </c>
      <c r="F3574" s="139" t="s">
        <v>1223</v>
      </c>
      <c r="G3574" s="139" t="s">
        <v>1223</v>
      </c>
      <c r="H3574" s="139" t="s">
        <v>1223</v>
      </c>
      <c r="I3574" s="139" t="s">
        <v>1223</v>
      </c>
      <c r="J3574" s="139" t="s">
        <v>1223</v>
      </c>
      <c r="K3574" s="139" t="s">
        <v>1223</v>
      </c>
      <c r="L3574" s="139" t="s">
        <v>1223</v>
      </c>
      <c r="M3574" s="139" t="s">
        <v>1223</v>
      </c>
      <c r="N3574" s="139" t="s">
        <v>1223</v>
      </c>
      <c r="O3574" s="139" t="s">
        <v>1223</v>
      </c>
      <c r="P3574" s="139" t="s">
        <v>1223</v>
      </c>
      <c r="Q3574" s="141" t="s">
        <v>1245</v>
      </c>
    </row>
    <row r="3575" spans="1:17">
      <c r="A3575" s="139" t="s">
        <v>1223</v>
      </c>
      <c r="B3575" s="139" t="s">
        <v>1223</v>
      </c>
      <c r="C3575" s="139" t="s">
        <v>1223</v>
      </c>
      <c r="D3575" s="139" t="s">
        <v>1223</v>
      </c>
      <c r="E3575" s="139" t="s">
        <v>1223</v>
      </c>
      <c r="F3575" s="139" t="s">
        <v>1223</v>
      </c>
      <c r="G3575" s="139" t="s">
        <v>1223</v>
      </c>
      <c r="H3575" s="139" t="s">
        <v>1223</v>
      </c>
      <c r="I3575" s="139" t="s">
        <v>1223</v>
      </c>
      <c r="J3575" s="139" t="s">
        <v>1223</v>
      </c>
      <c r="K3575" s="139" t="s">
        <v>1223</v>
      </c>
      <c r="L3575" s="139" t="s">
        <v>1223</v>
      </c>
      <c r="M3575" s="139" t="s">
        <v>1223</v>
      </c>
      <c r="N3575" s="139" t="s">
        <v>1223</v>
      </c>
      <c r="O3575" s="139" t="s">
        <v>1223</v>
      </c>
      <c r="P3575" s="139" t="s">
        <v>1223</v>
      </c>
      <c r="Q3575" s="141" t="s">
        <v>1246</v>
      </c>
    </row>
    <row r="3576" spans="1:17">
      <c r="A3576" s="139" t="s">
        <v>1223</v>
      </c>
      <c r="B3576" s="139" t="s">
        <v>1223</v>
      </c>
      <c r="C3576" s="139" t="s">
        <v>1223</v>
      </c>
      <c r="D3576" s="139" t="s">
        <v>1223</v>
      </c>
      <c r="E3576" s="139" t="s">
        <v>1223</v>
      </c>
      <c r="F3576" s="139" t="s">
        <v>1223</v>
      </c>
      <c r="G3576" s="139" t="s">
        <v>1223</v>
      </c>
      <c r="H3576" s="139" t="s">
        <v>1223</v>
      </c>
      <c r="I3576" s="139" t="s">
        <v>1223</v>
      </c>
      <c r="J3576" s="139" t="s">
        <v>1223</v>
      </c>
      <c r="K3576" s="139" t="s">
        <v>1223</v>
      </c>
      <c r="L3576" s="139" t="s">
        <v>1223</v>
      </c>
      <c r="M3576" s="139" t="s">
        <v>1223</v>
      </c>
      <c r="N3576" s="139" t="s">
        <v>1223</v>
      </c>
      <c r="O3576" s="139" t="s">
        <v>1223</v>
      </c>
      <c r="P3576" s="139" t="s">
        <v>1223</v>
      </c>
      <c r="Q3576" s="141" t="s">
        <v>1247</v>
      </c>
    </row>
    <row r="3577" spans="1:17">
      <c r="A3577" s="139" t="s">
        <v>1223</v>
      </c>
      <c r="B3577" s="139" t="s">
        <v>1223</v>
      </c>
      <c r="C3577" s="139" t="s">
        <v>1223</v>
      </c>
      <c r="D3577" s="139" t="s">
        <v>1223</v>
      </c>
      <c r="E3577" s="139" t="s">
        <v>1223</v>
      </c>
      <c r="F3577" s="139" t="s">
        <v>1223</v>
      </c>
      <c r="G3577" s="139" t="s">
        <v>1223</v>
      </c>
      <c r="H3577" s="139" t="s">
        <v>1223</v>
      </c>
      <c r="I3577" s="139" t="s">
        <v>1223</v>
      </c>
      <c r="J3577" s="139" t="s">
        <v>1223</v>
      </c>
      <c r="K3577" s="139" t="s">
        <v>1223</v>
      </c>
      <c r="L3577" s="139" t="s">
        <v>1223</v>
      </c>
      <c r="M3577" s="139" t="s">
        <v>1223</v>
      </c>
      <c r="N3577" s="139" t="s">
        <v>1223</v>
      </c>
      <c r="O3577" s="139" t="s">
        <v>1223</v>
      </c>
      <c r="P3577" s="139" t="s">
        <v>1223</v>
      </c>
      <c r="Q3577" s="141" t="s">
        <v>1248</v>
      </c>
    </row>
    <row r="3578" spans="1:17">
      <c r="A3578" s="139" t="s">
        <v>1223</v>
      </c>
      <c r="B3578" s="139" t="s">
        <v>1223</v>
      </c>
      <c r="C3578" s="139" t="s">
        <v>1223</v>
      </c>
      <c r="D3578" s="139" t="s">
        <v>1223</v>
      </c>
      <c r="E3578" s="139" t="s">
        <v>1223</v>
      </c>
      <c r="F3578" s="139" t="s">
        <v>1223</v>
      </c>
      <c r="G3578" s="139" t="s">
        <v>1223</v>
      </c>
      <c r="H3578" s="139" t="s">
        <v>1223</v>
      </c>
      <c r="I3578" s="139" t="s">
        <v>1223</v>
      </c>
      <c r="J3578" s="139" t="s">
        <v>1223</v>
      </c>
      <c r="K3578" s="139" t="s">
        <v>1223</v>
      </c>
      <c r="L3578" s="139" t="s">
        <v>1223</v>
      </c>
      <c r="M3578" s="139" t="s">
        <v>1223</v>
      </c>
      <c r="N3578" s="139" t="s">
        <v>1223</v>
      </c>
      <c r="O3578" s="139" t="s">
        <v>1223</v>
      </c>
      <c r="P3578" s="139" t="s">
        <v>1223</v>
      </c>
      <c r="Q3578" s="141" t="s">
        <v>1249</v>
      </c>
    </row>
    <row r="3579" spans="1:17">
      <c r="A3579" s="139" t="s">
        <v>1223</v>
      </c>
      <c r="B3579" s="139" t="s">
        <v>1223</v>
      </c>
      <c r="C3579" s="139" t="s">
        <v>1223</v>
      </c>
      <c r="D3579" s="139" t="s">
        <v>1223</v>
      </c>
      <c r="E3579" s="139" t="s">
        <v>1223</v>
      </c>
      <c r="F3579" s="139" t="s">
        <v>1223</v>
      </c>
      <c r="G3579" s="139" t="s">
        <v>1223</v>
      </c>
      <c r="H3579" s="139" t="s">
        <v>1223</v>
      </c>
      <c r="I3579" s="139" t="s">
        <v>1223</v>
      </c>
      <c r="J3579" s="139" t="s">
        <v>1223</v>
      </c>
      <c r="K3579" s="139" t="s">
        <v>1223</v>
      </c>
      <c r="L3579" s="139" t="s">
        <v>1223</v>
      </c>
      <c r="M3579" s="139" t="s">
        <v>1223</v>
      </c>
      <c r="N3579" s="139" t="s">
        <v>1223</v>
      </c>
      <c r="O3579" s="139" t="s">
        <v>1223</v>
      </c>
      <c r="P3579" s="139" t="s">
        <v>1223</v>
      </c>
      <c r="Q3579" s="141" t="s">
        <v>1250</v>
      </c>
    </row>
    <row r="3580" spans="1:17">
      <c r="A3580" s="139" t="s">
        <v>1223</v>
      </c>
      <c r="B3580" s="139" t="s">
        <v>1223</v>
      </c>
      <c r="C3580" s="139" t="s">
        <v>1223</v>
      </c>
      <c r="D3580" s="139" t="s">
        <v>1223</v>
      </c>
      <c r="E3580" s="139" t="s">
        <v>1223</v>
      </c>
      <c r="F3580" s="139" t="s">
        <v>1223</v>
      </c>
      <c r="G3580" s="139" t="s">
        <v>1223</v>
      </c>
      <c r="H3580" s="139" t="s">
        <v>1223</v>
      </c>
      <c r="I3580" s="139" t="s">
        <v>1223</v>
      </c>
      <c r="J3580" s="139" t="s">
        <v>1223</v>
      </c>
      <c r="K3580" s="139" t="s">
        <v>1223</v>
      </c>
      <c r="L3580" s="139" t="s">
        <v>1223</v>
      </c>
      <c r="M3580" s="139" t="s">
        <v>1223</v>
      </c>
      <c r="N3580" s="139" t="s">
        <v>1223</v>
      </c>
      <c r="O3580" s="139" t="s">
        <v>1223</v>
      </c>
      <c r="P3580" s="139" t="s">
        <v>1223</v>
      </c>
      <c r="Q3580" s="141" t="s">
        <v>1251</v>
      </c>
    </row>
    <row r="3581" spans="1:17">
      <c r="A3581" s="139" t="s">
        <v>1223</v>
      </c>
      <c r="B3581" s="139" t="s">
        <v>1223</v>
      </c>
      <c r="C3581" s="139" t="s">
        <v>1223</v>
      </c>
      <c r="D3581" s="139" t="s">
        <v>1223</v>
      </c>
      <c r="E3581" s="139" t="s">
        <v>1223</v>
      </c>
      <c r="F3581" s="139" t="s">
        <v>1223</v>
      </c>
      <c r="G3581" s="139" t="s">
        <v>1223</v>
      </c>
      <c r="H3581" s="139" t="s">
        <v>1223</v>
      </c>
      <c r="I3581" s="139" t="s">
        <v>1223</v>
      </c>
      <c r="J3581" s="139" t="s">
        <v>1223</v>
      </c>
      <c r="K3581" s="139" t="s">
        <v>1223</v>
      </c>
      <c r="L3581" s="139" t="s">
        <v>1223</v>
      </c>
      <c r="M3581" s="139" t="s">
        <v>1223</v>
      </c>
      <c r="N3581" s="139" t="s">
        <v>1223</v>
      </c>
      <c r="O3581" s="139" t="s">
        <v>1223</v>
      </c>
      <c r="P3581" s="139" t="s">
        <v>1223</v>
      </c>
      <c r="Q3581" s="141" t="s">
        <v>1252</v>
      </c>
    </row>
    <row r="3582" spans="1:17">
      <c r="A3582" s="139" t="s">
        <v>1223</v>
      </c>
      <c r="B3582" s="139" t="s">
        <v>1223</v>
      </c>
      <c r="C3582" s="139" t="s">
        <v>1223</v>
      </c>
      <c r="D3582" s="139" t="s">
        <v>1223</v>
      </c>
      <c r="E3582" s="139" t="s">
        <v>1223</v>
      </c>
      <c r="F3582" s="139" t="s">
        <v>1223</v>
      </c>
      <c r="G3582" s="139" t="s">
        <v>1223</v>
      </c>
      <c r="H3582" s="139" t="s">
        <v>1223</v>
      </c>
      <c r="I3582" s="139" t="s">
        <v>1223</v>
      </c>
      <c r="J3582" s="139" t="s">
        <v>1223</v>
      </c>
      <c r="K3582" s="139" t="s">
        <v>1223</v>
      </c>
      <c r="L3582" s="139" t="s">
        <v>1223</v>
      </c>
      <c r="M3582" s="139" t="s">
        <v>1223</v>
      </c>
      <c r="N3582" s="139" t="s">
        <v>1223</v>
      </c>
      <c r="O3582" s="139" t="s">
        <v>1223</v>
      </c>
      <c r="P3582" s="139" t="s">
        <v>1223</v>
      </c>
      <c r="Q3582" s="141" t="s">
        <v>1253</v>
      </c>
    </row>
    <row r="3583" spans="1:17">
      <c r="A3583" s="139" t="s">
        <v>1223</v>
      </c>
      <c r="B3583" s="139" t="s">
        <v>1223</v>
      </c>
      <c r="C3583" s="139" t="s">
        <v>1223</v>
      </c>
      <c r="D3583" s="139" t="s">
        <v>1223</v>
      </c>
      <c r="E3583" s="139" t="s">
        <v>1223</v>
      </c>
      <c r="F3583" s="139" t="s">
        <v>1223</v>
      </c>
      <c r="G3583" s="139" t="s">
        <v>1223</v>
      </c>
      <c r="H3583" s="139" t="s">
        <v>1223</v>
      </c>
      <c r="I3583" s="139" t="s">
        <v>1223</v>
      </c>
      <c r="J3583" s="139" t="s">
        <v>1223</v>
      </c>
      <c r="K3583" s="139" t="s">
        <v>1223</v>
      </c>
      <c r="L3583" s="139" t="s">
        <v>1223</v>
      </c>
      <c r="M3583" s="139" t="s">
        <v>1223</v>
      </c>
      <c r="N3583" s="139" t="s">
        <v>1223</v>
      </c>
      <c r="O3583" s="139" t="s">
        <v>1223</v>
      </c>
      <c r="P3583" s="139" t="s">
        <v>1223</v>
      </c>
      <c r="Q3583" s="141" t="s">
        <v>1254</v>
      </c>
    </row>
    <row r="3584" spans="1:17">
      <c r="A3584" s="139" t="s">
        <v>1223</v>
      </c>
      <c r="B3584" s="139" t="s">
        <v>1223</v>
      </c>
      <c r="C3584" s="139" t="s">
        <v>1223</v>
      </c>
      <c r="D3584" s="139" t="s">
        <v>1223</v>
      </c>
      <c r="E3584" s="139" t="s">
        <v>1223</v>
      </c>
      <c r="F3584" s="139" t="s">
        <v>1223</v>
      </c>
      <c r="G3584" s="139" t="s">
        <v>1223</v>
      </c>
      <c r="H3584" s="139" t="s">
        <v>1223</v>
      </c>
      <c r="I3584" s="139" t="s">
        <v>1223</v>
      </c>
      <c r="J3584" s="139" t="s">
        <v>1223</v>
      </c>
      <c r="K3584" s="139" t="s">
        <v>1223</v>
      </c>
      <c r="L3584" s="139" t="s">
        <v>1223</v>
      </c>
      <c r="M3584" s="139" t="s">
        <v>1223</v>
      </c>
      <c r="N3584" s="139" t="s">
        <v>1223</v>
      </c>
      <c r="O3584" s="139" t="s">
        <v>1223</v>
      </c>
      <c r="P3584" s="139" t="s">
        <v>1223</v>
      </c>
      <c r="Q3584" s="141" t="s">
        <v>1255</v>
      </c>
    </row>
    <row r="3585" spans="1:17">
      <c r="A3585" s="139" t="s">
        <v>1223</v>
      </c>
      <c r="B3585" s="139" t="s">
        <v>1223</v>
      </c>
      <c r="C3585" s="139" t="s">
        <v>1223</v>
      </c>
      <c r="D3585" s="139" t="s">
        <v>1223</v>
      </c>
      <c r="E3585" s="139" t="s">
        <v>1223</v>
      </c>
      <c r="F3585" s="139" t="s">
        <v>1223</v>
      </c>
      <c r="G3585" s="139" t="s">
        <v>1223</v>
      </c>
      <c r="H3585" s="139" t="s">
        <v>1223</v>
      </c>
      <c r="I3585" s="139" t="s">
        <v>1223</v>
      </c>
      <c r="J3585" s="139" t="s">
        <v>1223</v>
      </c>
      <c r="K3585" s="139" t="s">
        <v>1223</v>
      </c>
      <c r="L3585" s="139" t="s">
        <v>1223</v>
      </c>
      <c r="M3585" s="139" t="s">
        <v>1223</v>
      </c>
      <c r="N3585" s="139" t="s">
        <v>1223</v>
      </c>
      <c r="O3585" s="139" t="s">
        <v>1223</v>
      </c>
      <c r="P3585" s="139" t="s">
        <v>1223</v>
      </c>
      <c r="Q3585" s="141" t="s">
        <v>1256</v>
      </c>
    </row>
    <row r="3586" spans="1:17">
      <c r="A3586" s="139" t="s">
        <v>1223</v>
      </c>
      <c r="B3586" s="139" t="s">
        <v>1223</v>
      </c>
      <c r="C3586" s="139" t="s">
        <v>1223</v>
      </c>
      <c r="D3586" s="139" t="s">
        <v>1223</v>
      </c>
      <c r="E3586" s="139" t="s">
        <v>1223</v>
      </c>
      <c r="F3586" s="139" t="s">
        <v>1223</v>
      </c>
      <c r="G3586" s="139" t="s">
        <v>1223</v>
      </c>
      <c r="H3586" s="139" t="s">
        <v>1223</v>
      </c>
      <c r="I3586" s="139" t="s">
        <v>1223</v>
      </c>
      <c r="J3586" s="139" t="s">
        <v>1223</v>
      </c>
      <c r="K3586" s="139" t="s">
        <v>1223</v>
      </c>
      <c r="L3586" s="139" t="s">
        <v>1223</v>
      </c>
      <c r="M3586" s="139" t="s">
        <v>1223</v>
      </c>
      <c r="N3586" s="139" t="s">
        <v>1223</v>
      </c>
      <c r="O3586" s="139" t="s">
        <v>1223</v>
      </c>
      <c r="P3586" s="139" t="s">
        <v>1223</v>
      </c>
      <c r="Q3586" s="141" t="s">
        <v>1257</v>
      </c>
    </row>
    <row r="3587" spans="1:17">
      <c r="A3587" s="139" t="s">
        <v>1223</v>
      </c>
      <c r="B3587" s="139" t="s">
        <v>1223</v>
      </c>
      <c r="C3587" s="139" t="s">
        <v>1223</v>
      </c>
      <c r="D3587" s="139" t="s">
        <v>1223</v>
      </c>
      <c r="E3587" s="139" t="s">
        <v>1223</v>
      </c>
      <c r="F3587" s="139" t="s">
        <v>1223</v>
      </c>
      <c r="G3587" s="139" t="s">
        <v>1223</v>
      </c>
      <c r="H3587" s="139" t="s">
        <v>1223</v>
      </c>
      <c r="I3587" s="139" t="s">
        <v>1223</v>
      </c>
      <c r="J3587" s="139" t="s">
        <v>1223</v>
      </c>
      <c r="K3587" s="139" t="s">
        <v>1223</v>
      </c>
      <c r="L3587" s="139" t="s">
        <v>1223</v>
      </c>
      <c r="M3587" s="139" t="s">
        <v>1223</v>
      </c>
      <c r="N3587" s="139" t="s">
        <v>1223</v>
      </c>
      <c r="O3587" s="139" t="s">
        <v>1223</v>
      </c>
      <c r="P3587" s="139" t="s">
        <v>1223</v>
      </c>
      <c r="Q3587" s="141" t="s">
        <v>1258</v>
      </c>
    </row>
    <row r="3588" spans="1:17">
      <c r="A3588" s="139" t="s">
        <v>1223</v>
      </c>
      <c r="B3588" s="139" t="s">
        <v>1223</v>
      </c>
      <c r="C3588" s="139" t="s">
        <v>1223</v>
      </c>
      <c r="D3588" s="139" t="s">
        <v>1223</v>
      </c>
      <c r="E3588" s="139" t="s">
        <v>1223</v>
      </c>
      <c r="F3588" s="139" t="s">
        <v>1223</v>
      </c>
      <c r="G3588" s="139" t="s">
        <v>1223</v>
      </c>
      <c r="H3588" s="139" t="s">
        <v>1223</v>
      </c>
      <c r="I3588" s="139" t="s">
        <v>1223</v>
      </c>
      <c r="J3588" s="139" t="s">
        <v>1223</v>
      </c>
      <c r="K3588" s="139" t="s">
        <v>1223</v>
      </c>
      <c r="L3588" s="139" t="s">
        <v>1223</v>
      </c>
      <c r="M3588" s="139" t="s">
        <v>1223</v>
      </c>
      <c r="N3588" s="139" t="s">
        <v>1223</v>
      </c>
      <c r="O3588" s="139" t="s">
        <v>1223</v>
      </c>
      <c r="P3588" s="139" t="s">
        <v>1223</v>
      </c>
      <c r="Q3588" s="141" t="s">
        <v>1259</v>
      </c>
    </row>
    <row r="3589" spans="1:17">
      <c r="A3589" s="139" t="s">
        <v>1223</v>
      </c>
      <c r="B3589" s="139" t="s">
        <v>1223</v>
      </c>
      <c r="C3589" s="139" t="s">
        <v>1223</v>
      </c>
      <c r="D3589" s="139" t="s">
        <v>1223</v>
      </c>
      <c r="E3589" s="139" t="s">
        <v>1223</v>
      </c>
      <c r="F3589" s="139" t="s">
        <v>1223</v>
      </c>
      <c r="G3589" s="139" t="s">
        <v>1223</v>
      </c>
      <c r="H3589" s="139" t="s">
        <v>1223</v>
      </c>
      <c r="I3589" s="139" t="s">
        <v>1223</v>
      </c>
      <c r="J3589" s="139" t="s">
        <v>1223</v>
      </c>
      <c r="K3589" s="139" t="s">
        <v>1223</v>
      </c>
      <c r="L3589" s="139" t="s">
        <v>1223</v>
      </c>
      <c r="M3589" s="139" t="s">
        <v>1223</v>
      </c>
      <c r="N3589" s="139" t="s">
        <v>1223</v>
      </c>
      <c r="O3589" s="139" t="s">
        <v>1223</v>
      </c>
      <c r="P3589" s="139" t="s">
        <v>1223</v>
      </c>
      <c r="Q3589" s="141" t="s">
        <v>1260</v>
      </c>
    </row>
    <row r="3590" spans="1:17">
      <c r="A3590" s="139" t="s">
        <v>1223</v>
      </c>
      <c r="B3590" s="139" t="s">
        <v>1223</v>
      </c>
      <c r="C3590" s="139" t="s">
        <v>1223</v>
      </c>
      <c r="D3590" s="139" t="s">
        <v>1223</v>
      </c>
      <c r="E3590" s="139" t="s">
        <v>1223</v>
      </c>
      <c r="F3590" s="139" t="s">
        <v>1223</v>
      </c>
      <c r="G3590" s="139" t="s">
        <v>1223</v>
      </c>
      <c r="H3590" s="139" t="s">
        <v>1223</v>
      </c>
      <c r="I3590" s="139" t="s">
        <v>1223</v>
      </c>
      <c r="J3590" s="139" t="s">
        <v>1223</v>
      </c>
      <c r="K3590" s="139" t="s">
        <v>1223</v>
      </c>
      <c r="L3590" s="139" t="s">
        <v>1223</v>
      </c>
      <c r="M3590" s="139" t="s">
        <v>1223</v>
      </c>
      <c r="N3590" s="139" t="s">
        <v>1223</v>
      </c>
      <c r="O3590" s="139" t="s">
        <v>1223</v>
      </c>
      <c r="P3590" s="139" t="s">
        <v>1223</v>
      </c>
      <c r="Q3590" s="141" t="s">
        <v>1261</v>
      </c>
    </row>
    <row r="3591" spans="1:17">
      <c r="A3591" s="139" t="s">
        <v>1223</v>
      </c>
      <c r="B3591" s="139" t="s">
        <v>1223</v>
      </c>
      <c r="C3591" s="139" t="s">
        <v>1223</v>
      </c>
      <c r="D3591" s="139" t="s">
        <v>1223</v>
      </c>
      <c r="E3591" s="139" t="s">
        <v>1223</v>
      </c>
      <c r="F3591" s="139" t="s">
        <v>1223</v>
      </c>
      <c r="G3591" s="139" t="s">
        <v>1223</v>
      </c>
      <c r="H3591" s="139" t="s">
        <v>1223</v>
      </c>
      <c r="I3591" s="139" t="s">
        <v>1223</v>
      </c>
      <c r="J3591" s="139" t="s">
        <v>1223</v>
      </c>
      <c r="K3591" s="139" t="s">
        <v>1223</v>
      </c>
      <c r="L3591" s="139" t="s">
        <v>1223</v>
      </c>
      <c r="M3591" s="139" t="s">
        <v>1223</v>
      </c>
      <c r="N3591" s="139" t="s">
        <v>1223</v>
      </c>
      <c r="O3591" s="139" t="s">
        <v>1223</v>
      </c>
      <c r="P3591" s="139" t="s">
        <v>1223</v>
      </c>
      <c r="Q3591" s="141" t="s">
        <v>1262</v>
      </c>
    </row>
    <row r="3592" spans="1:17">
      <c r="A3592" s="139" t="s">
        <v>1223</v>
      </c>
      <c r="B3592" s="139" t="s">
        <v>1223</v>
      </c>
      <c r="C3592" s="139" t="s">
        <v>1223</v>
      </c>
      <c r="D3592" s="139" t="s">
        <v>1223</v>
      </c>
      <c r="E3592" s="139" t="s">
        <v>1223</v>
      </c>
      <c r="F3592" s="139" t="s">
        <v>1223</v>
      </c>
      <c r="G3592" s="139" t="s">
        <v>1223</v>
      </c>
      <c r="H3592" s="139" t="s">
        <v>1223</v>
      </c>
      <c r="I3592" s="139" t="s">
        <v>1223</v>
      </c>
      <c r="J3592" s="139" t="s">
        <v>1223</v>
      </c>
      <c r="K3592" s="139" t="s">
        <v>1223</v>
      </c>
      <c r="L3592" s="139" t="s">
        <v>1223</v>
      </c>
      <c r="M3592" s="139" t="s">
        <v>1223</v>
      </c>
      <c r="N3592" s="139" t="s">
        <v>1223</v>
      </c>
      <c r="O3592" s="139" t="s">
        <v>1223</v>
      </c>
      <c r="P3592" s="139" t="s">
        <v>1223</v>
      </c>
      <c r="Q3592" s="141" t="s">
        <v>1263</v>
      </c>
    </row>
    <row r="3593" spans="1:17">
      <c r="A3593" s="139" t="s">
        <v>1223</v>
      </c>
      <c r="B3593" s="139" t="s">
        <v>1223</v>
      </c>
      <c r="C3593" s="139" t="s">
        <v>1223</v>
      </c>
      <c r="D3593" s="139" t="s">
        <v>1223</v>
      </c>
      <c r="E3593" s="139" t="s">
        <v>1223</v>
      </c>
      <c r="F3593" s="139" t="s">
        <v>1223</v>
      </c>
      <c r="G3593" s="139" t="s">
        <v>1223</v>
      </c>
      <c r="H3593" s="139" t="s">
        <v>1223</v>
      </c>
      <c r="I3593" s="139" t="s">
        <v>1223</v>
      </c>
      <c r="J3593" s="139" t="s">
        <v>1223</v>
      </c>
      <c r="K3593" s="139" t="s">
        <v>1223</v>
      </c>
      <c r="L3593" s="139" t="s">
        <v>1223</v>
      </c>
      <c r="M3593" s="139" t="s">
        <v>1223</v>
      </c>
      <c r="N3593" s="139" t="s">
        <v>1223</v>
      </c>
      <c r="O3593" s="139" t="s">
        <v>1223</v>
      </c>
      <c r="P3593" s="139" t="s">
        <v>1223</v>
      </c>
      <c r="Q3593" s="141" t="s">
        <v>1264</v>
      </c>
    </row>
    <row r="3594" spans="1:17">
      <c r="A3594" s="139" t="s">
        <v>1223</v>
      </c>
      <c r="B3594" s="139" t="s">
        <v>1223</v>
      </c>
      <c r="C3594" s="139" t="s">
        <v>1223</v>
      </c>
      <c r="D3594" s="139" t="s">
        <v>1223</v>
      </c>
      <c r="E3594" s="139" t="s">
        <v>1223</v>
      </c>
      <c r="F3594" s="139" t="s">
        <v>1223</v>
      </c>
      <c r="G3594" s="139" t="s">
        <v>1223</v>
      </c>
      <c r="H3594" s="139" t="s">
        <v>1223</v>
      </c>
      <c r="I3594" s="139" t="s">
        <v>1223</v>
      </c>
      <c r="J3594" s="139" t="s">
        <v>1223</v>
      </c>
      <c r="K3594" s="139" t="s">
        <v>1223</v>
      </c>
      <c r="L3594" s="139" t="s">
        <v>1223</v>
      </c>
      <c r="M3594" s="139" t="s">
        <v>1223</v>
      </c>
      <c r="N3594" s="139" t="s">
        <v>1223</v>
      </c>
      <c r="O3594" s="139" t="s">
        <v>1223</v>
      </c>
      <c r="P3594" s="139" t="s">
        <v>1223</v>
      </c>
      <c r="Q3594" s="141" t="s">
        <v>1265</v>
      </c>
    </row>
    <row r="3595" spans="1:17">
      <c r="A3595" s="139" t="s">
        <v>1223</v>
      </c>
      <c r="B3595" s="139" t="s">
        <v>1223</v>
      </c>
      <c r="C3595" s="139" t="s">
        <v>1223</v>
      </c>
      <c r="D3595" s="139" t="s">
        <v>1223</v>
      </c>
      <c r="E3595" s="139" t="s">
        <v>1223</v>
      </c>
      <c r="F3595" s="139" t="s">
        <v>1223</v>
      </c>
      <c r="G3595" s="139" t="s">
        <v>1223</v>
      </c>
      <c r="H3595" s="139" t="s">
        <v>1223</v>
      </c>
      <c r="I3595" s="139" t="s">
        <v>1223</v>
      </c>
      <c r="J3595" s="139" t="s">
        <v>1223</v>
      </c>
      <c r="K3595" s="139" t="s">
        <v>1223</v>
      </c>
      <c r="L3595" s="139" t="s">
        <v>1223</v>
      </c>
      <c r="M3595" s="139" t="s">
        <v>1223</v>
      </c>
      <c r="N3595" s="139" t="s">
        <v>1223</v>
      </c>
      <c r="O3595" s="139" t="s">
        <v>1223</v>
      </c>
      <c r="P3595" s="139" t="s">
        <v>1223</v>
      </c>
      <c r="Q3595" s="141" t="s">
        <v>1266</v>
      </c>
    </row>
    <row r="3596" spans="1:17">
      <c r="A3596" s="139" t="s">
        <v>1223</v>
      </c>
      <c r="B3596" s="139" t="s">
        <v>1223</v>
      </c>
      <c r="C3596" s="139" t="s">
        <v>1223</v>
      </c>
      <c r="D3596" s="139" t="s">
        <v>1223</v>
      </c>
      <c r="E3596" s="139" t="s">
        <v>1223</v>
      </c>
      <c r="F3596" s="139" t="s">
        <v>1223</v>
      </c>
      <c r="G3596" s="139" t="s">
        <v>1223</v>
      </c>
      <c r="H3596" s="139" t="s">
        <v>1223</v>
      </c>
      <c r="I3596" s="139" t="s">
        <v>1223</v>
      </c>
      <c r="J3596" s="139" t="s">
        <v>1223</v>
      </c>
      <c r="K3596" s="139" t="s">
        <v>1223</v>
      </c>
      <c r="L3596" s="139" t="s">
        <v>1223</v>
      </c>
      <c r="M3596" s="139" t="s">
        <v>1223</v>
      </c>
      <c r="N3596" s="139" t="s">
        <v>1223</v>
      </c>
      <c r="O3596" s="139" t="s">
        <v>1223</v>
      </c>
      <c r="P3596" s="139" t="s">
        <v>1223</v>
      </c>
      <c r="Q3596" s="141" t="s">
        <v>1267</v>
      </c>
    </row>
    <row r="3597" spans="1:17">
      <c r="A3597" s="139" t="s">
        <v>1223</v>
      </c>
      <c r="B3597" s="139" t="s">
        <v>1223</v>
      </c>
      <c r="C3597" s="139" t="s">
        <v>1223</v>
      </c>
      <c r="D3597" s="139" t="s">
        <v>1223</v>
      </c>
      <c r="E3597" s="139" t="s">
        <v>1223</v>
      </c>
      <c r="F3597" s="139" t="s">
        <v>1223</v>
      </c>
      <c r="G3597" s="139" t="s">
        <v>1223</v>
      </c>
      <c r="H3597" s="139" t="s">
        <v>1223</v>
      </c>
      <c r="I3597" s="139" t="s">
        <v>1223</v>
      </c>
      <c r="J3597" s="139" t="s">
        <v>1223</v>
      </c>
      <c r="K3597" s="139" t="s">
        <v>1223</v>
      </c>
      <c r="L3597" s="139" t="s">
        <v>1223</v>
      </c>
      <c r="M3597" s="139" t="s">
        <v>1223</v>
      </c>
      <c r="N3597" s="139" t="s">
        <v>1223</v>
      </c>
      <c r="O3597" s="139" t="s">
        <v>1223</v>
      </c>
      <c r="P3597" s="139" t="s">
        <v>1223</v>
      </c>
      <c r="Q3597" s="141" t="s">
        <v>1268</v>
      </c>
    </row>
    <row r="3598" spans="1:17">
      <c r="A3598" s="139" t="s">
        <v>1223</v>
      </c>
      <c r="B3598" s="139" t="s">
        <v>1223</v>
      </c>
      <c r="C3598" s="139" t="s">
        <v>1223</v>
      </c>
      <c r="D3598" s="139" t="s">
        <v>1223</v>
      </c>
      <c r="E3598" s="139" t="s">
        <v>1223</v>
      </c>
      <c r="F3598" s="139" t="s">
        <v>1223</v>
      </c>
      <c r="G3598" s="139" t="s">
        <v>1223</v>
      </c>
      <c r="H3598" s="139" t="s">
        <v>1223</v>
      </c>
      <c r="I3598" s="139" t="s">
        <v>1223</v>
      </c>
      <c r="J3598" s="139" t="s">
        <v>1223</v>
      </c>
      <c r="K3598" s="139" t="s">
        <v>1223</v>
      </c>
      <c r="L3598" s="139" t="s">
        <v>1223</v>
      </c>
      <c r="M3598" s="139" t="s">
        <v>1223</v>
      </c>
      <c r="N3598" s="139" t="s">
        <v>1223</v>
      </c>
      <c r="O3598" s="139" t="s">
        <v>1223</v>
      </c>
      <c r="P3598" s="139" t="s">
        <v>1223</v>
      </c>
      <c r="Q3598" s="141" t="s">
        <v>1269</v>
      </c>
    </row>
    <row r="3599" spans="1:17">
      <c r="A3599" s="139" t="s">
        <v>1223</v>
      </c>
      <c r="B3599" s="139" t="s">
        <v>1223</v>
      </c>
      <c r="C3599" s="139" t="s">
        <v>1223</v>
      </c>
      <c r="D3599" s="139" t="s">
        <v>1223</v>
      </c>
      <c r="E3599" s="139" t="s">
        <v>1223</v>
      </c>
      <c r="F3599" s="139" t="s">
        <v>1223</v>
      </c>
      <c r="G3599" s="139" t="s">
        <v>1223</v>
      </c>
      <c r="H3599" s="139" t="s">
        <v>1223</v>
      </c>
      <c r="I3599" s="139" t="s">
        <v>1223</v>
      </c>
      <c r="J3599" s="139" t="s">
        <v>1223</v>
      </c>
      <c r="K3599" s="139" t="s">
        <v>1223</v>
      </c>
      <c r="L3599" s="139" t="s">
        <v>1223</v>
      </c>
      <c r="M3599" s="139" t="s">
        <v>1223</v>
      </c>
      <c r="N3599" s="139" t="s">
        <v>1223</v>
      </c>
      <c r="O3599" s="139" t="s">
        <v>1223</v>
      </c>
      <c r="P3599" s="139" t="s">
        <v>1223</v>
      </c>
      <c r="Q3599" s="141" t="s">
        <v>1270</v>
      </c>
    </row>
    <row r="3600" spans="1:17">
      <c r="A3600" s="139" t="s">
        <v>1223</v>
      </c>
      <c r="B3600" s="139" t="s">
        <v>1223</v>
      </c>
      <c r="C3600" s="139" t="s">
        <v>1223</v>
      </c>
      <c r="D3600" s="139" t="s">
        <v>1223</v>
      </c>
      <c r="E3600" s="139" t="s">
        <v>1223</v>
      </c>
      <c r="F3600" s="139" t="s">
        <v>1223</v>
      </c>
      <c r="G3600" s="139" t="s">
        <v>1223</v>
      </c>
      <c r="H3600" s="139" t="s">
        <v>1223</v>
      </c>
      <c r="I3600" s="139" t="s">
        <v>1223</v>
      </c>
      <c r="J3600" s="139" t="s">
        <v>1223</v>
      </c>
      <c r="K3600" s="139" t="s">
        <v>1223</v>
      </c>
      <c r="L3600" s="139" t="s">
        <v>1223</v>
      </c>
      <c r="M3600" s="139" t="s">
        <v>1223</v>
      </c>
      <c r="N3600" s="139" t="s">
        <v>1223</v>
      </c>
      <c r="O3600" s="139" t="s">
        <v>1223</v>
      </c>
      <c r="P3600" s="139" t="s">
        <v>1223</v>
      </c>
      <c r="Q3600" s="141" t="s">
        <v>1271</v>
      </c>
    </row>
    <row r="3601" spans="1:17">
      <c r="A3601" s="139" t="s">
        <v>1223</v>
      </c>
      <c r="B3601" s="139" t="s">
        <v>1223</v>
      </c>
      <c r="C3601" s="139" t="s">
        <v>1223</v>
      </c>
      <c r="D3601" s="139" t="s">
        <v>1223</v>
      </c>
      <c r="E3601" s="139" t="s">
        <v>1223</v>
      </c>
      <c r="F3601" s="139" t="s">
        <v>1223</v>
      </c>
      <c r="G3601" s="139" t="s">
        <v>1223</v>
      </c>
      <c r="H3601" s="139" t="s">
        <v>1223</v>
      </c>
      <c r="I3601" s="139" t="s">
        <v>1223</v>
      </c>
      <c r="J3601" s="139" t="s">
        <v>1223</v>
      </c>
      <c r="K3601" s="139" t="s">
        <v>1223</v>
      </c>
      <c r="L3601" s="139" t="s">
        <v>1223</v>
      </c>
      <c r="M3601" s="139" t="s">
        <v>1223</v>
      </c>
      <c r="N3601" s="139" t="s">
        <v>1223</v>
      </c>
      <c r="O3601" s="139" t="s">
        <v>1223</v>
      </c>
      <c r="P3601" s="139" t="s">
        <v>1223</v>
      </c>
      <c r="Q3601" s="141" t="s">
        <v>1272</v>
      </c>
    </row>
    <row r="3602" spans="1:17">
      <c r="A3602" s="139" t="s">
        <v>1223</v>
      </c>
      <c r="B3602" s="139" t="s">
        <v>1223</v>
      </c>
      <c r="C3602" s="139" t="s">
        <v>1223</v>
      </c>
      <c r="D3602" s="139" t="s">
        <v>1223</v>
      </c>
      <c r="E3602" s="139" t="s">
        <v>1223</v>
      </c>
      <c r="F3602" s="139" t="s">
        <v>1223</v>
      </c>
      <c r="G3602" s="139" t="s">
        <v>1223</v>
      </c>
      <c r="H3602" s="139" t="s">
        <v>1223</v>
      </c>
      <c r="I3602" s="139" t="s">
        <v>1223</v>
      </c>
      <c r="J3602" s="139" t="s">
        <v>1223</v>
      </c>
      <c r="K3602" s="139" t="s">
        <v>1223</v>
      </c>
      <c r="L3602" s="139" t="s">
        <v>1223</v>
      </c>
      <c r="M3602" s="139" t="s">
        <v>1223</v>
      </c>
      <c r="N3602" s="139" t="s">
        <v>1223</v>
      </c>
      <c r="O3602" s="139" t="s">
        <v>1223</v>
      </c>
      <c r="P3602" s="139" t="s">
        <v>1223</v>
      </c>
      <c r="Q3602" s="141" t="s">
        <v>1273</v>
      </c>
    </row>
    <row r="3603" spans="1:17">
      <c r="A3603" s="139" t="s">
        <v>1223</v>
      </c>
      <c r="B3603" s="139" t="s">
        <v>1223</v>
      </c>
      <c r="C3603" s="139" t="s">
        <v>1223</v>
      </c>
      <c r="D3603" s="139" t="s">
        <v>1223</v>
      </c>
      <c r="E3603" s="139" t="s">
        <v>1223</v>
      </c>
      <c r="F3603" s="139" t="s">
        <v>1223</v>
      </c>
      <c r="G3603" s="139" t="s">
        <v>1223</v>
      </c>
      <c r="H3603" s="139" t="s">
        <v>1223</v>
      </c>
      <c r="I3603" s="139" t="s">
        <v>1223</v>
      </c>
      <c r="J3603" s="139" t="s">
        <v>1223</v>
      </c>
      <c r="K3603" s="139" t="s">
        <v>1223</v>
      </c>
      <c r="L3603" s="139" t="s">
        <v>1223</v>
      </c>
      <c r="M3603" s="139" t="s">
        <v>1223</v>
      </c>
      <c r="N3603" s="139" t="s">
        <v>1223</v>
      </c>
      <c r="O3603" s="139" t="s">
        <v>1223</v>
      </c>
      <c r="P3603" s="139" t="s">
        <v>1223</v>
      </c>
      <c r="Q3603" s="141" t="s">
        <v>1274</v>
      </c>
    </row>
    <row r="3604" spans="1:17">
      <c r="A3604" s="139" t="s">
        <v>1223</v>
      </c>
      <c r="B3604" s="139" t="s">
        <v>1223</v>
      </c>
      <c r="C3604" s="139" t="s">
        <v>1223</v>
      </c>
      <c r="D3604" s="139" t="s">
        <v>1223</v>
      </c>
      <c r="E3604" s="139" t="s">
        <v>1223</v>
      </c>
      <c r="F3604" s="139" t="s">
        <v>1223</v>
      </c>
      <c r="G3604" s="139" t="s">
        <v>1223</v>
      </c>
      <c r="H3604" s="139" t="s">
        <v>1223</v>
      </c>
      <c r="I3604" s="139" t="s">
        <v>1223</v>
      </c>
      <c r="J3604" s="139" t="s">
        <v>1223</v>
      </c>
      <c r="K3604" s="139" t="s">
        <v>1223</v>
      </c>
      <c r="L3604" s="139" t="s">
        <v>1223</v>
      </c>
      <c r="M3604" s="139" t="s">
        <v>1223</v>
      </c>
      <c r="N3604" s="139" t="s">
        <v>1223</v>
      </c>
      <c r="O3604" s="139" t="s">
        <v>1223</v>
      </c>
      <c r="P3604" s="139" t="s">
        <v>1223</v>
      </c>
      <c r="Q3604" s="141" t="s">
        <v>1275</v>
      </c>
    </row>
    <row r="3605" spans="1:17">
      <c r="A3605" s="139" t="s">
        <v>1223</v>
      </c>
      <c r="B3605" s="139" t="s">
        <v>1223</v>
      </c>
      <c r="C3605" s="139" t="s">
        <v>1223</v>
      </c>
      <c r="D3605" s="139" t="s">
        <v>1223</v>
      </c>
      <c r="E3605" s="139" t="s">
        <v>1223</v>
      </c>
      <c r="F3605" s="139" t="s">
        <v>1223</v>
      </c>
      <c r="G3605" s="139" t="s">
        <v>1223</v>
      </c>
      <c r="H3605" s="139" t="s">
        <v>1223</v>
      </c>
      <c r="I3605" s="139" t="s">
        <v>1223</v>
      </c>
      <c r="J3605" s="139" t="s">
        <v>1223</v>
      </c>
      <c r="K3605" s="139" t="s">
        <v>1223</v>
      </c>
      <c r="L3605" s="139" t="s">
        <v>1223</v>
      </c>
      <c r="M3605" s="139" t="s">
        <v>1223</v>
      </c>
      <c r="N3605" s="139" t="s">
        <v>1223</v>
      </c>
      <c r="O3605" s="139" t="s">
        <v>1223</v>
      </c>
      <c r="P3605" s="139" t="s">
        <v>1223</v>
      </c>
      <c r="Q3605" s="141" t="s">
        <v>1276</v>
      </c>
    </row>
    <row r="3606" spans="1:17">
      <c r="A3606" s="139" t="s">
        <v>1223</v>
      </c>
      <c r="B3606" s="139" t="s">
        <v>1223</v>
      </c>
      <c r="C3606" s="139" t="s">
        <v>1223</v>
      </c>
      <c r="D3606" s="139" t="s">
        <v>1223</v>
      </c>
      <c r="E3606" s="139" t="s">
        <v>1223</v>
      </c>
      <c r="F3606" s="139" t="s">
        <v>1223</v>
      </c>
      <c r="G3606" s="139" t="s">
        <v>1223</v>
      </c>
      <c r="H3606" s="139" t="s">
        <v>1223</v>
      </c>
      <c r="I3606" s="139" t="s">
        <v>1223</v>
      </c>
      <c r="J3606" s="139" t="s">
        <v>1223</v>
      </c>
      <c r="K3606" s="139" t="s">
        <v>1223</v>
      </c>
      <c r="L3606" s="139" t="s">
        <v>1223</v>
      </c>
      <c r="M3606" s="139" t="s">
        <v>1223</v>
      </c>
      <c r="N3606" s="139" t="s">
        <v>1223</v>
      </c>
      <c r="O3606" s="139" t="s">
        <v>1223</v>
      </c>
      <c r="P3606" s="139" t="s">
        <v>1223</v>
      </c>
      <c r="Q3606" s="141" t="s">
        <v>1277</v>
      </c>
    </row>
    <row r="3607" spans="1:17">
      <c r="A3607" s="139" t="s">
        <v>1223</v>
      </c>
      <c r="B3607" s="139" t="s">
        <v>1223</v>
      </c>
      <c r="C3607" s="139" t="s">
        <v>1223</v>
      </c>
      <c r="D3607" s="139" t="s">
        <v>1223</v>
      </c>
      <c r="E3607" s="139" t="s">
        <v>1223</v>
      </c>
      <c r="F3607" s="139" t="s">
        <v>1223</v>
      </c>
      <c r="G3607" s="139" t="s">
        <v>1223</v>
      </c>
      <c r="H3607" s="139" t="s">
        <v>1223</v>
      </c>
      <c r="I3607" s="139" t="s">
        <v>1223</v>
      </c>
      <c r="J3607" s="139" t="s">
        <v>1223</v>
      </c>
      <c r="K3607" s="139" t="s">
        <v>1223</v>
      </c>
      <c r="L3607" s="139" t="s">
        <v>1223</v>
      </c>
      <c r="M3607" s="139" t="s">
        <v>1223</v>
      </c>
      <c r="N3607" s="139" t="s">
        <v>1223</v>
      </c>
      <c r="O3607" s="139" t="s">
        <v>1223</v>
      </c>
      <c r="P3607" s="139" t="s">
        <v>1223</v>
      </c>
      <c r="Q3607" s="141" t="s">
        <v>1278</v>
      </c>
    </row>
    <row r="3608" spans="1:17">
      <c r="A3608" s="139" t="s">
        <v>1223</v>
      </c>
      <c r="B3608" s="139" t="s">
        <v>1223</v>
      </c>
      <c r="C3608" s="139" t="s">
        <v>1223</v>
      </c>
      <c r="D3608" s="139" t="s">
        <v>1223</v>
      </c>
      <c r="E3608" s="139" t="s">
        <v>1223</v>
      </c>
      <c r="F3608" s="139" t="s">
        <v>1223</v>
      </c>
      <c r="G3608" s="139" t="s">
        <v>1223</v>
      </c>
      <c r="H3608" s="139" t="s">
        <v>1223</v>
      </c>
      <c r="I3608" s="139" t="s">
        <v>1223</v>
      </c>
      <c r="J3608" s="139" t="s">
        <v>1223</v>
      </c>
      <c r="K3608" s="139" t="s">
        <v>1223</v>
      </c>
      <c r="L3608" s="139" t="s">
        <v>1223</v>
      </c>
      <c r="M3608" s="139" t="s">
        <v>1223</v>
      </c>
      <c r="N3608" s="139" t="s">
        <v>1223</v>
      </c>
      <c r="O3608" s="139" t="s">
        <v>1223</v>
      </c>
      <c r="P3608" s="139" t="s">
        <v>1223</v>
      </c>
      <c r="Q3608" s="141" t="s">
        <v>1279</v>
      </c>
    </row>
    <row r="3609" spans="1:17">
      <c r="A3609" s="139" t="s">
        <v>1223</v>
      </c>
      <c r="B3609" s="139" t="s">
        <v>1223</v>
      </c>
      <c r="C3609" s="139" t="s">
        <v>1223</v>
      </c>
      <c r="D3609" s="139" t="s">
        <v>1223</v>
      </c>
      <c r="E3609" s="139" t="s">
        <v>1223</v>
      </c>
      <c r="F3609" s="139" t="s">
        <v>1223</v>
      </c>
      <c r="G3609" s="139" t="s">
        <v>1223</v>
      </c>
      <c r="H3609" s="139" t="s">
        <v>1223</v>
      </c>
      <c r="I3609" s="139" t="s">
        <v>1223</v>
      </c>
      <c r="J3609" s="139" t="s">
        <v>1223</v>
      </c>
      <c r="K3609" s="139" t="s">
        <v>1223</v>
      </c>
      <c r="L3609" s="139" t="s">
        <v>1223</v>
      </c>
      <c r="M3609" s="139" t="s">
        <v>1223</v>
      </c>
      <c r="N3609" s="139" t="s">
        <v>1223</v>
      </c>
      <c r="O3609" s="139" t="s">
        <v>1223</v>
      </c>
      <c r="P3609" s="139" t="s">
        <v>1223</v>
      </c>
      <c r="Q3609" s="141" t="s">
        <v>1280</v>
      </c>
    </row>
    <row r="3610" spans="1:17">
      <c r="A3610" s="139" t="s">
        <v>1223</v>
      </c>
      <c r="B3610" s="139" t="s">
        <v>1223</v>
      </c>
      <c r="C3610" s="139" t="s">
        <v>1223</v>
      </c>
      <c r="D3610" s="139" t="s">
        <v>1223</v>
      </c>
      <c r="E3610" s="139" t="s">
        <v>1223</v>
      </c>
      <c r="F3610" s="139" t="s">
        <v>1223</v>
      </c>
      <c r="G3610" s="139" t="s">
        <v>1223</v>
      </c>
      <c r="H3610" s="139" t="s">
        <v>1223</v>
      </c>
      <c r="I3610" s="139" t="s">
        <v>1223</v>
      </c>
      <c r="J3610" s="139" t="s">
        <v>1223</v>
      </c>
      <c r="K3610" s="139" t="s">
        <v>1223</v>
      </c>
      <c r="L3610" s="139" t="s">
        <v>1223</v>
      </c>
      <c r="M3610" s="139" t="s">
        <v>1223</v>
      </c>
      <c r="N3610" s="139" t="s">
        <v>1223</v>
      </c>
      <c r="O3610" s="139" t="s">
        <v>1223</v>
      </c>
      <c r="P3610" s="139" t="s">
        <v>1223</v>
      </c>
      <c r="Q3610" s="141" t="s">
        <v>1281</v>
      </c>
    </row>
    <row r="3611" spans="1:17">
      <c r="A3611" s="139" t="s">
        <v>1223</v>
      </c>
      <c r="B3611" s="139" t="s">
        <v>1223</v>
      </c>
      <c r="C3611" s="139" t="s">
        <v>1223</v>
      </c>
      <c r="D3611" s="139" t="s">
        <v>1223</v>
      </c>
      <c r="E3611" s="139" t="s">
        <v>1223</v>
      </c>
      <c r="F3611" s="139" t="s">
        <v>1223</v>
      </c>
      <c r="G3611" s="139" t="s">
        <v>1223</v>
      </c>
      <c r="H3611" s="139" t="s">
        <v>1223</v>
      </c>
      <c r="I3611" s="139" t="s">
        <v>1223</v>
      </c>
      <c r="J3611" s="139" t="s">
        <v>1223</v>
      </c>
      <c r="K3611" s="139" t="s">
        <v>1223</v>
      </c>
      <c r="L3611" s="139" t="s">
        <v>1223</v>
      </c>
      <c r="M3611" s="139" t="s">
        <v>1223</v>
      </c>
      <c r="N3611" s="139" t="s">
        <v>1223</v>
      </c>
      <c r="O3611" s="139" t="s">
        <v>1223</v>
      </c>
      <c r="P3611" s="139" t="s">
        <v>1223</v>
      </c>
      <c r="Q3611" s="141" t="s">
        <v>1282</v>
      </c>
    </row>
    <row r="3612" spans="1:17">
      <c r="A3612" s="139" t="s">
        <v>1223</v>
      </c>
      <c r="B3612" s="139" t="s">
        <v>1223</v>
      </c>
      <c r="C3612" s="139" t="s">
        <v>1223</v>
      </c>
      <c r="D3612" s="139" t="s">
        <v>1223</v>
      </c>
      <c r="E3612" s="139" t="s">
        <v>1223</v>
      </c>
      <c r="F3612" s="139" t="s">
        <v>1223</v>
      </c>
      <c r="G3612" s="139" t="s">
        <v>1223</v>
      </c>
      <c r="H3612" s="139" t="s">
        <v>1223</v>
      </c>
      <c r="I3612" s="139" t="s">
        <v>1223</v>
      </c>
      <c r="J3612" s="139" t="s">
        <v>1223</v>
      </c>
      <c r="K3612" s="139" t="s">
        <v>1223</v>
      </c>
      <c r="L3612" s="139" t="s">
        <v>1223</v>
      </c>
      <c r="M3612" s="139" t="s">
        <v>1223</v>
      </c>
      <c r="N3612" s="139" t="s">
        <v>1223</v>
      </c>
      <c r="O3612" s="139" t="s">
        <v>1223</v>
      </c>
      <c r="P3612" s="139" t="s">
        <v>1223</v>
      </c>
      <c r="Q3612" s="141" t="s">
        <v>1283</v>
      </c>
    </row>
    <row r="3613" spans="1:17">
      <c r="A3613" s="139" t="s">
        <v>1223</v>
      </c>
      <c r="B3613" s="139" t="s">
        <v>1223</v>
      </c>
      <c r="C3613" s="139" t="s">
        <v>1223</v>
      </c>
      <c r="D3613" s="139" t="s">
        <v>1223</v>
      </c>
      <c r="E3613" s="139" t="s">
        <v>1223</v>
      </c>
      <c r="F3613" s="139" t="s">
        <v>1223</v>
      </c>
      <c r="G3613" s="139" t="s">
        <v>1223</v>
      </c>
      <c r="H3613" s="139" t="s">
        <v>1223</v>
      </c>
      <c r="I3613" s="139" t="s">
        <v>1223</v>
      </c>
      <c r="J3613" s="139" t="s">
        <v>1223</v>
      </c>
      <c r="K3613" s="139" t="s">
        <v>1223</v>
      </c>
      <c r="L3613" s="139" t="s">
        <v>1223</v>
      </c>
      <c r="M3613" s="139" t="s">
        <v>1223</v>
      </c>
      <c r="N3613" s="139" t="s">
        <v>1223</v>
      </c>
      <c r="O3613" s="139" t="s">
        <v>1223</v>
      </c>
      <c r="P3613" s="139" t="s">
        <v>1223</v>
      </c>
      <c r="Q3613" s="141" t="s">
        <v>1284</v>
      </c>
    </row>
    <row r="3614" spans="1:17">
      <c r="A3614" s="139" t="s">
        <v>1223</v>
      </c>
      <c r="B3614" s="139" t="s">
        <v>1223</v>
      </c>
      <c r="C3614" s="139" t="s">
        <v>1223</v>
      </c>
      <c r="D3614" s="139" t="s">
        <v>1223</v>
      </c>
      <c r="E3614" s="139" t="s">
        <v>1223</v>
      </c>
      <c r="F3614" s="139" t="s">
        <v>1223</v>
      </c>
      <c r="G3614" s="139" t="s">
        <v>1223</v>
      </c>
      <c r="H3614" s="139" t="s">
        <v>1223</v>
      </c>
      <c r="I3614" s="139" t="s">
        <v>1223</v>
      </c>
      <c r="J3614" s="139" t="s">
        <v>1223</v>
      </c>
      <c r="K3614" s="139" t="s">
        <v>1223</v>
      </c>
      <c r="L3614" s="139" t="s">
        <v>1223</v>
      </c>
      <c r="M3614" s="139" t="s">
        <v>1223</v>
      </c>
      <c r="N3614" s="139" t="s">
        <v>1223</v>
      </c>
      <c r="O3614" s="139" t="s">
        <v>1223</v>
      </c>
      <c r="P3614" s="139" t="s">
        <v>1223</v>
      </c>
      <c r="Q3614" s="141" t="s">
        <v>1285</v>
      </c>
    </row>
    <row r="3615" spans="1:17">
      <c r="A3615" s="139" t="s">
        <v>1223</v>
      </c>
      <c r="B3615" s="139" t="s">
        <v>1223</v>
      </c>
      <c r="C3615" s="139" t="s">
        <v>1223</v>
      </c>
      <c r="D3615" s="139" t="s">
        <v>1223</v>
      </c>
      <c r="E3615" s="139" t="s">
        <v>1223</v>
      </c>
      <c r="F3615" s="139" t="s">
        <v>1223</v>
      </c>
      <c r="G3615" s="139" t="s">
        <v>1223</v>
      </c>
      <c r="H3615" s="139" t="s">
        <v>1223</v>
      </c>
      <c r="I3615" s="139"/>
      <c r="J3615" s="139"/>
      <c r="K3615" s="139"/>
      <c r="L3615" s="139"/>
      <c r="M3615" s="139"/>
      <c r="N3615" s="139"/>
      <c r="O3615" s="139"/>
      <c r="P3615" s="139"/>
      <c r="Q3615" s="141" t="s">
        <v>1286</v>
      </c>
    </row>
    <row r="3616" spans="1:17" ht="15">
      <c r="A3616" s="137" t="s">
        <v>1295</v>
      </c>
      <c r="B3616" s="137"/>
      <c r="C3616" s="137"/>
      <c r="D3616" s="137"/>
      <c r="E3616" s="137"/>
      <c r="F3616" s="137"/>
      <c r="G3616" s="137"/>
      <c r="H3616" s="137"/>
      <c r="I3616" s="137"/>
      <c r="J3616" s="137"/>
      <c r="K3616" s="137"/>
      <c r="L3616" s="137"/>
      <c r="M3616" s="137"/>
      <c r="N3616" s="137"/>
      <c r="O3616" s="137"/>
      <c r="P3616" s="137"/>
      <c r="Q3616" s="137"/>
    </row>
    <row r="3617" spans="1:17">
      <c r="A3617" s="139" t="s">
        <v>1223</v>
      </c>
      <c r="B3617" s="139" t="s">
        <v>1223</v>
      </c>
      <c r="C3617" s="139" t="s">
        <v>1223</v>
      </c>
      <c r="D3617" s="139" t="s">
        <v>1223</v>
      </c>
      <c r="E3617" s="139" t="s">
        <v>1223</v>
      </c>
      <c r="F3617" s="139" t="s">
        <v>1223</v>
      </c>
      <c r="G3617" s="139" t="s">
        <v>1223</v>
      </c>
      <c r="H3617" s="139" t="s">
        <v>1223</v>
      </c>
      <c r="I3617" s="139" t="s">
        <v>1223</v>
      </c>
      <c r="J3617" s="139" t="s">
        <v>1223</v>
      </c>
      <c r="K3617" s="139" t="s">
        <v>1223</v>
      </c>
      <c r="L3617" s="139" t="s">
        <v>1223</v>
      </c>
      <c r="M3617" s="139" t="s">
        <v>1223</v>
      </c>
      <c r="N3617" s="139" t="s">
        <v>1223</v>
      </c>
      <c r="O3617" s="139" t="s">
        <v>1223</v>
      </c>
      <c r="P3617" s="139" t="s">
        <v>1223</v>
      </c>
      <c r="Q3617" s="141" t="s">
        <v>1224</v>
      </c>
    </row>
    <row r="3618" spans="1:17">
      <c r="A3618" s="139" t="s">
        <v>1223</v>
      </c>
      <c r="B3618" s="139" t="s">
        <v>1223</v>
      </c>
      <c r="C3618" s="139" t="s">
        <v>1223</v>
      </c>
      <c r="D3618" s="139" t="s">
        <v>1223</v>
      </c>
      <c r="E3618" s="139" t="s">
        <v>1223</v>
      </c>
      <c r="F3618" s="139" t="s">
        <v>1223</v>
      </c>
      <c r="G3618" s="139" t="s">
        <v>1223</v>
      </c>
      <c r="H3618" s="139" t="s">
        <v>1223</v>
      </c>
      <c r="I3618" s="139" t="s">
        <v>1223</v>
      </c>
      <c r="J3618" s="139" t="s">
        <v>1223</v>
      </c>
      <c r="K3618" s="139" t="s">
        <v>1223</v>
      </c>
      <c r="L3618" s="139" t="s">
        <v>1223</v>
      </c>
      <c r="M3618" s="139" t="s">
        <v>1223</v>
      </c>
      <c r="N3618" s="139" t="s">
        <v>1223</v>
      </c>
      <c r="O3618" s="139" t="s">
        <v>1223</v>
      </c>
      <c r="P3618" s="139" t="s">
        <v>1223</v>
      </c>
      <c r="Q3618" s="141" t="s">
        <v>1225</v>
      </c>
    </row>
    <row r="3619" spans="1:17">
      <c r="A3619" s="139" t="s">
        <v>1223</v>
      </c>
      <c r="B3619" s="139" t="s">
        <v>1223</v>
      </c>
      <c r="C3619" s="139" t="s">
        <v>1223</v>
      </c>
      <c r="D3619" s="139" t="s">
        <v>1223</v>
      </c>
      <c r="E3619" s="139" t="s">
        <v>1223</v>
      </c>
      <c r="F3619" s="139" t="s">
        <v>1223</v>
      </c>
      <c r="G3619" s="139" t="s">
        <v>1223</v>
      </c>
      <c r="H3619" s="139" t="s">
        <v>1223</v>
      </c>
      <c r="I3619" s="139" t="s">
        <v>1223</v>
      </c>
      <c r="J3619" s="139" t="s">
        <v>1223</v>
      </c>
      <c r="K3619" s="139" t="s">
        <v>1223</v>
      </c>
      <c r="L3619" s="139" t="s">
        <v>1223</v>
      </c>
      <c r="M3619" s="139" t="s">
        <v>1223</v>
      </c>
      <c r="N3619" s="139" t="s">
        <v>1223</v>
      </c>
      <c r="O3619" s="139" t="s">
        <v>1223</v>
      </c>
      <c r="P3619" s="139" t="s">
        <v>1223</v>
      </c>
      <c r="Q3619" s="141" t="s">
        <v>1226</v>
      </c>
    </row>
    <row r="3620" spans="1:17">
      <c r="A3620" s="139" t="s">
        <v>1223</v>
      </c>
      <c r="B3620" s="139" t="s">
        <v>1223</v>
      </c>
      <c r="C3620" s="139" t="s">
        <v>1223</v>
      </c>
      <c r="D3620" s="139" t="s">
        <v>1223</v>
      </c>
      <c r="E3620" s="139" t="s">
        <v>1223</v>
      </c>
      <c r="F3620" s="139" t="s">
        <v>1223</v>
      </c>
      <c r="G3620" s="139" t="s">
        <v>1223</v>
      </c>
      <c r="H3620" s="139" t="s">
        <v>1223</v>
      </c>
      <c r="I3620" s="139" t="s">
        <v>1223</v>
      </c>
      <c r="J3620" s="139" t="s">
        <v>1223</v>
      </c>
      <c r="K3620" s="139" t="s">
        <v>1223</v>
      </c>
      <c r="L3620" s="139" t="s">
        <v>1223</v>
      </c>
      <c r="M3620" s="139" t="s">
        <v>1223</v>
      </c>
      <c r="N3620" s="139" t="s">
        <v>1223</v>
      </c>
      <c r="O3620" s="139" t="s">
        <v>1223</v>
      </c>
      <c r="P3620" s="139" t="s">
        <v>1223</v>
      </c>
      <c r="Q3620" s="141" t="s">
        <v>1227</v>
      </c>
    </row>
    <row r="3621" spans="1:17">
      <c r="A3621" s="139" t="s">
        <v>1223</v>
      </c>
      <c r="B3621" s="139" t="s">
        <v>1223</v>
      </c>
      <c r="C3621" s="139" t="s">
        <v>1223</v>
      </c>
      <c r="D3621" s="139" t="s">
        <v>1223</v>
      </c>
      <c r="E3621" s="139" t="s">
        <v>1223</v>
      </c>
      <c r="F3621" s="139" t="s">
        <v>1223</v>
      </c>
      <c r="G3621" s="139" t="s">
        <v>1223</v>
      </c>
      <c r="H3621" s="139" t="s">
        <v>1223</v>
      </c>
      <c r="I3621" s="139" t="s">
        <v>1223</v>
      </c>
      <c r="J3621" s="139" t="s">
        <v>1223</v>
      </c>
      <c r="K3621" s="139" t="s">
        <v>1223</v>
      </c>
      <c r="L3621" s="139" t="s">
        <v>1223</v>
      </c>
      <c r="M3621" s="139" t="s">
        <v>1223</v>
      </c>
      <c r="N3621" s="139" t="s">
        <v>1223</v>
      </c>
      <c r="O3621" s="139" t="s">
        <v>1223</v>
      </c>
      <c r="P3621" s="139" t="s">
        <v>1223</v>
      </c>
      <c r="Q3621" s="141" t="s">
        <v>1228</v>
      </c>
    </row>
    <row r="3622" spans="1:17">
      <c r="A3622" s="139" t="s">
        <v>1223</v>
      </c>
      <c r="B3622" s="139" t="s">
        <v>1223</v>
      </c>
      <c r="C3622" s="139" t="s">
        <v>1223</v>
      </c>
      <c r="D3622" s="139" t="s">
        <v>1223</v>
      </c>
      <c r="E3622" s="139" t="s">
        <v>1223</v>
      </c>
      <c r="F3622" s="139" t="s">
        <v>1223</v>
      </c>
      <c r="G3622" s="139" t="s">
        <v>1223</v>
      </c>
      <c r="H3622" s="139" t="s">
        <v>1223</v>
      </c>
      <c r="I3622" s="139" t="s">
        <v>1223</v>
      </c>
      <c r="J3622" s="139" t="s">
        <v>1223</v>
      </c>
      <c r="K3622" s="139" t="s">
        <v>1223</v>
      </c>
      <c r="L3622" s="139" t="s">
        <v>1223</v>
      </c>
      <c r="M3622" s="139" t="s">
        <v>1223</v>
      </c>
      <c r="N3622" s="139" t="s">
        <v>1223</v>
      </c>
      <c r="O3622" s="139" t="s">
        <v>1223</v>
      </c>
      <c r="P3622" s="139" t="s">
        <v>1223</v>
      </c>
      <c r="Q3622" s="141" t="s">
        <v>1229</v>
      </c>
    </row>
    <row r="3623" spans="1:17">
      <c r="A3623" s="139" t="s">
        <v>1223</v>
      </c>
      <c r="B3623" s="139" t="s">
        <v>1223</v>
      </c>
      <c r="C3623" s="139" t="s">
        <v>1223</v>
      </c>
      <c r="D3623" s="139" t="s">
        <v>1223</v>
      </c>
      <c r="E3623" s="139" t="s">
        <v>1223</v>
      </c>
      <c r="F3623" s="139" t="s">
        <v>1223</v>
      </c>
      <c r="G3623" s="139" t="s">
        <v>1223</v>
      </c>
      <c r="H3623" s="139" t="s">
        <v>1223</v>
      </c>
      <c r="I3623" s="139" t="s">
        <v>1223</v>
      </c>
      <c r="J3623" s="139" t="s">
        <v>1223</v>
      </c>
      <c r="K3623" s="139" t="s">
        <v>1223</v>
      </c>
      <c r="L3623" s="139" t="s">
        <v>1223</v>
      </c>
      <c r="M3623" s="139" t="s">
        <v>1223</v>
      </c>
      <c r="N3623" s="139" t="s">
        <v>1223</v>
      </c>
      <c r="O3623" s="139" t="s">
        <v>1223</v>
      </c>
      <c r="P3623" s="139" t="s">
        <v>1223</v>
      </c>
      <c r="Q3623" s="141" t="s">
        <v>1230</v>
      </c>
    </row>
    <row r="3624" spans="1:17">
      <c r="A3624" s="139" t="s">
        <v>1223</v>
      </c>
      <c r="B3624" s="139" t="s">
        <v>1223</v>
      </c>
      <c r="C3624" s="139" t="s">
        <v>1223</v>
      </c>
      <c r="D3624" s="139" t="s">
        <v>1223</v>
      </c>
      <c r="E3624" s="139" t="s">
        <v>1223</v>
      </c>
      <c r="F3624" s="139" t="s">
        <v>1223</v>
      </c>
      <c r="G3624" s="139" t="s">
        <v>1223</v>
      </c>
      <c r="H3624" s="139" t="s">
        <v>1223</v>
      </c>
      <c r="I3624" s="139" t="s">
        <v>1223</v>
      </c>
      <c r="J3624" s="139" t="s">
        <v>1223</v>
      </c>
      <c r="K3624" s="139" t="s">
        <v>1223</v>
      </c>
      <c r="L3624" s="139" t="s">
        <v>1223</v>
      </c>
      <c r="M3624" s="139" t="s">
        <v>1223</v>
      </c>
      <c r="N3624" s="139" t="s">
        <v>1223</v>
      </c>
      <c r="O3624" s="139" t="s">
        <v>1223</v>
      </c>
      <c r="P3624" s="139" t="s">
        <v>1223</v>
      </c>
      <c r="Q3624" s="141" t="s">
        <v>1231</v>
      </c>
    </row>
    <row r="3625" spans="1:17">
      <c r="A3625" s="139" t="s">
        <v>1223</v>
      </c>
      <c r="B3625" s="139" t="s">
        <v>1223</v>
      </c>
      <c r="C3625" s="139" t="s">
        <v>1223</v>
      </c>
      <c r="D3625" s="139" t="s">
        <v>1223</v>
      </c>
      <c r="E3625" s="139" t="s">
        <v>1223</v>
      </c>
      <c r="F3625" s="139" t="s">
        <v>1223</v>
      </c>
      <c r="G3625" s="139" t="s">
        <v>1223</v>
      </c>
      <c r="H3625" s="139" t="s">
        <v>1223</v>
      </c>
      <c r="I3625" s="139" t="s">
        <v>1223</v>
      </c>
      <c r="J3625" s="139" t="s">
        <v>1223</v>
      </c>
      <c r="K3625" s="139" t="s">
        <v>1223</v>
      </c>
      <c r="L3625" s="139" t="s">
        <v>1223</v>
      </c>
      <c r="M3625" s="139" t="s">
        <v>1223</v>
      </c>
      <c r="N3625" s="139" t="s">
        <v>1223</v>
      </c>
      <c r="O3625" s="139" t="s">
        <v>1223</v>
      </c>
      <c r="P3625" s="139" t="s">
        <v>1223</v>
      </c>
      <c r="Q3625" s="141" t="s">
        <v>1232</v>
      </c>
    </row>
    <row r="3626" spans="1:17">
      <c r="A3626" s="139" t="s">
        <v>1223</v>
      </c>
      <c r="B3626" s="139" t="s">
        <v>1223</v>
      </c>
      <c r="C3626" s="139" t="s">
        <v>1223</v>
      </c>
      <c r="D3626" s="139" t="s">
        <v>1223</v>
      </c>
      <c r="E3626" s="139" t="s">
        <v>1223</v>
      </c>
      <c r="F3626" s="139" t="s">
        <v>1223</v>
      </c>
      <c r="G3626" s="139" t="s">
        <v>1223</v>
      </c>
      <c r="H3626" s="139" t="s">
        <v>1223</v>
      </c>
      <c r="I3626" s="139" t="s">
        <v>1223</v>
      </c>
      <c r="J3626" s="139" t="s">
        <v>1223</v>
      </c>
      <c r="K3626" s="139" t="s">
        <v>1223</v>
      </c>
      <c r="L3626" s="139" t="s">
        <v>1223</v>
      </c>
      <c r="M3626" s="139" t="s">
        <v>1223</v>
      </c>
      <c r="N3626" s="139" t="s">
        <v>1223</v>
      </c>
      <c r="O3626" s="139" t="s">
        <v>1223</v>
      </c>
      <c r="P3626" s="139" t="s">
        <v>1223</v>
      </c>
      <c r="Q3626" s="141" t="s">
        <v>1233</v>
      </c>
    </row>
    <row r="3627" spans="1:17">
      <c r="A3627" s="139" t="s">
        <v>1223</v>
      </c>
      <c r="B3627" s="139" t="s">
        <v>1223</v>
      </c>
      <c r="C3627" s="139" t="s">
        <v>1223</v>
      </c>
      <c r="D3627" s="139" t="s">
        <v>1223</v>
      </c>
      <c r="E3627" s="139" t="s">
        <v>1223</v>
      </c>
      <c r="F3627" s="139" t="s">
        <v>1223</v>
      </c>
      <c r="G3627" s="139" t="s">
        <v>1223</v>
      </c>
      <c r="H3627" s="139" t="s">
        <v>1223</v>
      </c>
      <c r="I3627" s="139" t="s">
        <v>1223</v>
      </c>
      <c r="J3627" s="139" t="s">
        <v>1223</v>
      </c>
      <c r="K3627" s="139" t="s">
        <v>1223</v>
      </c>
      <c r="L3627" s="139" t="s">
        <v>1223</v>
      </c>
      <c r="M3627" s="139" t="s">
        <v>1223</v>
      </c>
      <c r="N3627" s="139" t="s">
        <v>1223</v>
      </c>
      <c r="O3627" s="139" t="s">
        <v>1223</v>
      </c>
      <c r="P3627" s="139" t="s">
        <v>1223</v>
      </c>
      <c r="Q3627" s="141" t="s">
        <v>1234</v>
      </c>
    </row>
    <row r="3628" spans="1:17">
      <c r="A3628" s="139" t="s">
        <v>1223</v>
      </c>
      <c r="B3628" s="139" t="s">
        <v>1223</v>
      </c>
      <c r="C3628" s="139" t="s">
        <v>1223</v>
      </c>
      <c r="D3628" s="139" t="s">
        <v>1223</v>
      </c>
      <c r="E3628" s="139" t="s">
        <v>1223</v>
      </c>
      <c r="F3628" s="139" t="s">
        <v>1223</v>
      </c>
      <c r="G3628" s="139" t="s">
        <v>1223</v>
      </c>
      <c r="H3628" s="139" t="s">
        <v>1223</v>
      </c>
      <c r="I3628" s="139" t="s">
        <v>1223</v>
      </c>
      <c r="J3628" s="139" t="s">
        <v>1223</v>
      </c>
      <c r="K3628" s="139" t="s">
        <v>1223</v>
      </c>
      <c r="L3628" s="139" t="s">
        <v>1223</v>
      </c>
      <c r="M3628" s="139" t="s">
        <v>1223</v>
      </c>
      <c r="N3628" s="139" t="s">
        <v>1223</v>
      </c>
      <c r="O3628" s="139" t="s">
        <v>1223</v>
      </c>
      <c r="P3628" s="139" t="s">
        <v>1223</v>
      </c>
      <c r="Q3628" s="141" t="s">
        <v>1235</v>
      </c>
    </row>
    <row r="3629" spans="1:17">
      <c r="A3629" s="139" t="s">
        <v>1223</v>
      </c>
      <c r="B3629" s="139" t="s">
        <v>1223</v>
      </c>
      <c r="C3629" s="139" t="s">
        <v>1223</v>
      </c>
      <c r="D3629" s="139" t="s">
        <v>1223</v>
      </c>
      <c r="E3629" s="139" t="s">
        <v>1223</v>
      </c>
      <c r="F3629" s="139" t="s">
        <v>1223</v>
      </c>
      <c r="G3629" s="139" t="s">
        <v>1223</v>
      </c>
      <c r="H3629" s="139" t="s">
        <v>1223</v>
      </c>
      <c r="I3629" s="139" t="s">
        <v>1223</v>
      </c>
      <c r="J3629" s="139" t="s">
        <v>1223</v>
      </c>
      <c r="K3629" s="139" t="s">
        <v>1223</v>
      </c>
      <c r="L3629" s="139" t="s">
        <v>1223</v>
      </c>
      <c r="M3629" s="139" t="s">
        <v>1223</v>
      </c>
      <c r="N3629" s="139" t="s">
        <v>1223</v>
      </c>
      <c r="O3629" s="139" t="s">
        <v>1223</v>
      </c>
      <c r="P3629" s="139" t="s">
        <v>1223</v>
      </c>
      <c r="Q3629" s="141" t="s">
        <v>1236</v>
      </c>
    </row>
    <row r="3630" spans="1:17">
      <c r="A3630" s="139" t="s">
        <v>1223</v>
      </c>
      <c r="B3630" s="139" t="s">
        <v>1223</v>
      </c>
      <c r="C3630" s="139" t="s">
        <v>1223</v>
      </c>
      <c r="D3630" s="139" t="s">
        <v>1223</v>
      </c>
      <c r="E3630" s="139" t="s">
        <v>1223</v>
      </c>
      <c r="F3630" s="139" t="s">
        <v>1223</v>
      </c>
      <c r="G3630" s="139" t="s">
        <v>1223</v>
      </c>
      <c r="H3630" s="139" t="s">
        <v>1223</v>
      </c>
      <c r="I3630" s="139" t="s">
        <v>1223</v>
      </c>
      <c r="J3630" s="139" t="s">
        <v>1223</v>
      </c>
      <c r="K3630" s="139" t="s">
        <v>1223</v>
      </c>
      <c r="L3630" s="139" t="s">
        <v>1223</v>
      </c>
      <c r="M3630" s="139" t="s">
        <v>1223</v>
      </c>
      <c r="N3630" s="139" t="s">
        <v>1223</v>
      </c>
      <c r="O3630" s="139" t="s">
        <v>1223</v>
      </c>
      <c r="P3630" s="139" t="s">
        <v>1223</v>
      </c>
      <c r="Q3630" s="141" t="s">
        <v>1237</v>
      </c>
    </row>
    <row r="3631" spans="1:17">
      <c r="A3631" s="139" t="s">
        <v>1223</v>
      </c>
      <c r="B3631" s="139" t="s">
        <v>1223</v>
      </c>
      <c r="C3631" s="139" t="s">
        <v>1223</v>
      </c>
      <c r="D3631" s="139" t="s">
        <v>1223</v>
      </c>
      <c r="E3631" s="139" t="s">
        <v>1223</v>
      </c>
      <c r="F3631" s="139" t="s">
        <v>1223</v>
      </c>
      <c r="G3631" s="139" t="s">
        <v>1223</v>
      </c>
      <c r="H3631" s="139" t="s">
        <v>1223</v>
      </c>
      <c r="I3631" s="139" t="s">
        <v>1223</v>
      </c>
      <c r="J3631" s="139" t="s">
        <v>1223</v>
      </c>
      <c r="K3631" s="139" t="s">
        <v>1223</v>
      </c>
      <c r="L3631" s="139" t="s">
        <v>1223</v>
      </c>
      <c r="M3631" s="139" t="s">
        <v>1223</v>
      </c>
      <c r="N3631" s="139" t="s">
        <v>1223</v>
      </c>
      <c r="O3631" s="139" t="s">
        <v>1223</v>
      </c>
      <c r="P3631" s="139" t="s">
        <v>1223</v>
      </c>
      <c r="Q3631" s="141" t="s">
        <v>1238</v>
      </c>
    </row>
    <row r="3632" spans="1:17">
      <c r="A3632" s="139" t="s">
        <v>1223</v>
      </c>
      <c r="B3632" s="139" t="s">
        <v>1223</v>
      </c>
      <c r="C3632" s="139" t="s">
        <v>1223</v>
      </c>
      <c r="D3632" s="139" t="s">
        <v>1223</v>
      </c>
      <c r="E3632" s="139" t="s">
        <v>1223</v>
      </c>
      <c r="F3632" s="139" t="s">
        <v>1223</v>
      </c>
      <c r="G3632" s="139" t="s">
        <v>1223</v>
      </c>
      <c r="H3632" s="139" t="s">
        <v>1223</v>
      </c>
      <c r="I3632" s="139" t="s">
        <v>1223</v>
      </c>
      <c r="J3632" s="139" t="s">
        <v>1223</v>
      </c>
      <c r="K3632" s="139" t="s">
        <v>1223</v>
      </c>
      <c r="L3632" s="139" t="s">
        <v>1223</v>
      </c>
      <c r="M3632" s="139" t="s">
        <v>1330</v>
      </c>
      <c r="N3632" s="139" t="s">
        <v>1223</v>
      </c>
      <c r="O3632" s="139" t="s">
        <v>1223</v>
      </c>
      <c r="P3632" s="139" t="s">
        <v>1223</v>
      </c>
      <c r="Q3632" s="141" t="s">
        <v>1239</v>
      </c>
    </row>
    <row r="3633" spans="1:19" s="3" customFormat="1">
      <c r="A3633" s="139" t="s">
        <v>1223</v>
      </c>
      <c r="B3633" s="139" t="s">
        <v>1223</v>
      </c>
      <c r="C3633" s="139" t="s">
        <v>1223</v>
      </c>
      <c r="D3633" s="139" t="s">
        <v>1223</v>
      </c>
      <c r="E3633" s="139" t="s">
        <v>1223</v>
      </c>
      <c r="F3633" s="139" t="s">
        <v>1223</v>
      </c>
      <c r="G3633" s="139" t="s">
        <v>1223</v>
      </c>
      <c r="H3633" s="139" t="s">
        <v>1223</v>
      </c>
      <c r="I3633" s="139" t="s">
        <v>1223</v>
      </c>
      <c r="J3633" s="139" t="s">
        <v>1223</v>
      </c>
      <c r="K3633" s="139" t="s">
        <v>1223</v>
      </c>
      <c r="L3633" s="139" t="s">
        <v>1223</v>
      </c>
      <c r="M3633" s="139" t="s">
        <v>1223</v>
      </c>
      <c r="N3633" s="139" t="s">
        <v>1223</v>
      </c>
      <c r="O3633" s="139" t="s">
        <v>1223</v>
      </c>
      <c r="P3633" s="139" t="s">
        <v>1223</v>
      </c>
      <c r="Q3633" s="141" t="s">
        <v>1240</v>
      </c>
      <c r="R3633"/>
      <c r="S3633"/>
    </row>
    <row r="3634" spans="1:19" s="3" customFormat="1">
      <c r="A3634" s="139" t="s">
        <v>1223</v>
      </c>
      <c r="B3634" s="139" t="s">
        <v>1223</v>
      </c>
      <c r="C3634" s="139" t="s">
        <v>1223</v>
      </c>
      <c r="D3634" s="139" t="s">
        <v>1223</v>
      </c>
      <c r="E3634" s="139" t="s">
        <v>1223</v>
      </c>
      <c r="F3634" s="139" t="s">
        <v>1223</v>
      </c>
      <c r="G3634" s="139" t="s">
        <v>1223</v>
      </c>
      <c r="H3634" s="139" t="s">
        <v>1223</v>
      </c>
      <c r="I3634" s="139" t="s">
        <v>1223</v>
      </c>
      <c r="J3634" s="139" t="s">
        <v>1223</v>
      </c>
      <c r="K3634" s="139" t="s">
        <v>1223</v>
      </c>
      <c r="L3634" s="139" t="s">
        <v>1223</v>
      </c>
      <c r="M3634" s="139" t="s">
        <v>1223</v>
      </c>
      <c r="N3634" s="139" t="s">
        <v>1223</v>
      </c>
      <c r="O3634" s="139" t="s">
        <v>1223</v>
      </c>
      <c r="P3634" s="139" t="s">
        <v>1223</v>
      </c>
      <c r="Q3634" s="141" t="s">
        <v>1241</v>
      </c>
      <c r="R3634"/>
      <c r="S3634"/>
    </row>
    <row r="3635" spans="1:19" s="3" customFormat="1">
      <c r="A3635" s="139" t="s">
        <v>1223</v>
      </c>
      <c r="B3635" s="139" t="s">
        <v>1223</v>
      </c>
      <c r="C3635" s="139" t="s">
        <v>1223</v>
      </c>
      <c r="D3635" s="139" t="s">
        <v>1223</v>
      </c>
      <c r="E3635" s="139" t="s">
        <v>1223</v>
      </c>
      <c r="F3635" s="139" t="s">
        <v>1223</v>
      </c>
      <c r="G3635" s="139" t="s">
        <v>1223</v>
      </c>
      <c r="H3635" s="139" t="s">
        <v>1223</v>
      </c>
      <c r="I3635" s="139" t="s">
        <v>1223</v>
      </c>
      <c r="J3635" s="139" t="s">
        <v>1223</v>
      </c>
      <c r="K3635" s="139" t="s">
        <v>1223</v>
      </c>
      <c r="L3635" s="139" t="s">
        <v>1223</v>
      </c>
      <c r="M3635" s="139" t="s">
        <v>1223</v>
      </c>
      <c r="N3635" s="139" t="s">
        <v>1223</v>
      </c>
      <c r="O3635" s="139" t="s">
        <v>1223</v>
      </c>
      <c r="P3635" s="139" t="s">
        <v>1223</v>
      </c>
      <c r="Q3635" s="141" t="s">
        <v>1242</v>
      </c>
      <c r="R3635"/>
      <c r="S3635"/>
    </row>
    <row r="3636" spans="1:19" s="3" customFormat="1">
      <c r="A3636" s="139" t="s">
        <v>1223</v>
      </c>
      <c r="B3636" s="139" t="s">
        <v>1223</v>
      </c>
      <c r="C3636" s="139" t="s">
        <v>1223</v>
      </c>
      <c r="D3636" s="139" t="s">
        <v>1223</v>
      </c>
      <c r="E3636" s="139" t="s">
        <v>1223</v>
      </c>
      <c r="F3636" s="139" t="s">
        <v>1223</v>
      </c>
      <c r="G3636" s="139" t="s">
        <v>1223</v>
      </c>
      <c r="H3636" s="139" t="s">
        <v>1223</v>
      </c>
      <c r="I3636" s="139" t="s">
        <v>1223</v>
      </c>
      <c r="J3636" s="139" t="s">
        <v>1223</v>
      </c>
      <c r="K3636" s="139" t="s">
        <v>1223</v>
      </c>
      <c r="L3636" s="139" t="s">
        <v>1223</v>
      </c>
      <c r="M3636" s="139" t="s">
        <v>1223</v>
      </c>
      <c r="N3636" s="139" t="s">
        <v>1223</v>
      </c>
      <c r="O3636" s="139" t="s">
        <v>1223</v>
      </c>
      <c r="P3636" s="139" t="s">
        <v>1223</v>
      </c>
      <c r="Q3636" s="141" t="s">
        <v>1243</v>
      </c>
      <c r="R3636"/>
      <c r="S3636"/>
    </row>
    <row r="3637" spans="1:19" s="3" customFormat="1">
      <c r="A3637" s="139" t="s">
        <v>1223</v>
      </c>
      <c r="B3637" s="139" t="s">
        <v>1223</v>
      </c>
      <c r="C3637" s="139" t="s">
        <v>1223</v>
      </c>
      <c r="D3637" s="139" t="s">
        <v>1223</v>
      </c>
      <c r="E3637" s="139" t="s">
        <v>1223</v>
      </c>
      <c r="F3637" s="139" t="s">
        <v>1223</v>
      </c>
      <c r="G3637" s="139" t="s">
        <v>1223</v>
      </c>
      <c r="H3637" s="139" t="s">
        <v>1223</v>
      </c>
      <c r="I3637" s="139" t="s">
        <v>1223</v>
      </c>
      <c r="J3637" s="139" t="s">
        <v>1223</v>
      </c>
      <c r="K3637" s="139" t="s">
        <v>1223</v>
      </c>
      <c r="L3637" s="139" t="s">
        <v>1223</v>
      </c>
      <c r="M3637" s="139" t="s">
        <v>1223</v>
      </c>
      <c r="N3637" s="139" t="s">
        <v>1223</v>
      </c>
      <c r="O3637" s="139" t="s">
        <v>1223</v>
      </c>
      <c r="P3637" s="139" t="s">
        <v>1223</v>
      </c>
      <c r="Q3637" s="141" t="s">
        <v>1244</v>
      </c>
      <c r="R3637"/>
      <c r="S3637"/>
    </row>
    <row r="3638" spans="1:19" s="3" customFormat="1">
      <c r="A3638" s="139" t="s">
        <v>1223</v>
      </c>
      <c r="B3638" s="139" t="s">
        <v>1223</v>
      </c>
      <c r="C3638" s="139" t="s">
        <v>1223</v>
      </c>
      <c r="D3638" s="139" t="s">
        <v>1223</v>
      </c>
      <c r="E3638" s="139" t="s">
        <v>1223</v>
      </c>
      <c r="F3638" s="139" t="s">
        <v>1223</v>
      </c>
      <c r="G3638" s="139" t="s">
        <v>1223</v>
      </c>
      <c r="H3638" s="139" t="s">
        <v>1223</v>
      </c>
      <c r="I3638" s="139" t="s">
        <v>1223</v>
      </c>
      <c r="J3638" s="139" t="s">
        <v>1223</v>
      </c>
      <c r="K3638" s="139" t="s">
        <v>1223</v>
      </c>
      <c r="L3638" s="139" t="s">
        <v>1223</v>
      </c>
      <c r="M3638" s="139" t="s">
        <v>1223</v>
      </c>
      <c r="N3638" s="139" t="s">
        <v>1223</v>
      </c>
      <c r="O3638" s="139" t="s">
        <v>1223</v>
      </c>
      <c r="P3638" s="139" t="s">
        <v>1223</v>
      </c>
      <c r="Q3638" s="141" t="s">
        <v>1245</v>
      </c>
      <c r="R3638"/>
      <c r="S3638"/>
    </row>
    <row r="3639" spans="1:19" s="3" customFormat="1">
      <c r="A3639" s="139" t="s">
        <v>1223</v>
      </c>
      <c r="B3639" s="139" t="s">
        <v>1223</v>
      </c>
      <c r="C3639" s="139" t="s">
        <v>1223</v>
      </c>
      <c r="D3639" s="139" t="s">
        <v>1223</v>
      </c>
      <c r="E3639" s="139" t="s">
        <v>1223</v>
      </c>
      <c r="F3639" s="139" t="s">
        <v>1223</v>
      </c>
      <c r="G3639" s="139" t="s">
        <v>1223</v>
      </c>
      <c r="H3639" s="139" t="s">
        <v>1223</v>
      </c>
      <c r="I3639" s="139" t="s">
        <v>1223</v>
      </c>
      <c r="J3639" s="139" t="s">
        <v>1223</v>
      </c>
      <c r="K3639" s="139" t="s">
        <v>1223</v>
      </c>
      <c r="L3639" s="139" t="s">
        <v>1223</v>
      </c>
      <c r="M3639" s="139" t="s">
        <v>1223</v>
      </c>
      <c r="N3639" s="139" t="s">
        <v>1223</v>
      </c>
      <c r="O3639" s="139" t="s">
        <v>1223</v>
      </c>
      <c r="P3639" s="139" t="s">
        <v>1223</v>
      </c>
      <c r="Q3639" s="141" t="s">
        <v>1246</v>
      </c>
      <c r="R3639"/>
      <c r="S3639"/>
    </row>
    <row r="3640" spans="1:19" s="3" customFormat="1">
      <c r="A3640" s="139" t="s">
        <v>1223</v>
      </c>
      <c r="B3640" s="139" t="s">
        <v>1223</v>
      </c>
      <c r="C3640" s="139" t="s">
        <v>1223</v>
      </c>
      <c r="D3640" s="139" t="s">
        <v>1223</v>
      </c>
      <c r="E3640" s="139" t="s">
        <v>1223</v>
      </c>
      <c r="F3640" s="139" t="s">
        <v>1223</v>
      </c>
      <c r="G3640" s="139" t="s">
        <v>1223</v>
      </c>
      <c r="H3640" s="139" t="s">
        <v>1223</v>
      </c>
      <c r="I3640" s="139" t="s">
        <v>1223</v>
      </c>
      <c r="J3640" s="139" t="s">
        <v>1223</v>
      </c>
      <c r="K3640" s="139" t="s">
        <v>1223</v>
      </c>
      <c r="L3640" s="139" t="s">
        <v>1223</v>
      </c>
      <c r="M3640" s="139" t="s">
        <v>1223</v>
      </c>
      <c r="N3640" s="139" t="s">
        <v>1223</v>
      </c>
      <c r="O3640" s="139" t="s">
        <v>1223</v>
      </c>
      <c r="P3640" s="139" t="s">
        <v>1223</v>
      </c>
      <c r="Q3640" s="141" t="s">
        <v>1247</v>
      </c>
      <c r="R3640"/>
      <c r="S3640"/>
    </row>
    <row r="3641" spans="1:19" s="3" customFormat="1">
      <c r="A3641" s="139" t="s">
        <v>1223</v>
      </c>
      <c r="B3641" s="139" t="s">
        <v>1223</v>
      </c>
      <c r="C3641" s="139" t="s">
        <v>1223</v>
      </c>
      <c r="D3641" s="139" t="s">
        <v>1223</v>
      </c>
      <c r="E3641" s="139" t="s">
        <v>1223</v>
      </c>
      <c r="F3641" s="139" t="s">
        <v>1223</v>
      </c>
      <c r="G3641" s="139" t="s">
        <v>1223</v>
      </c>
      <c r="H3641" s="139" t="s">
        <v>1223</v>
      </c>
      <c r="I3641" s="139" t="s">
        <v>1223</v>
      </c>
      <c r="J3641" s="139" t="s">
        <v>1223</v>
      </c>
      <c r="K3641" s="139" t="s">
        <v>1223</v>
      </c>
      <c r="L3641" s="139" t="s">
        <v>1223</v>
      </c>
      <c r="M3641" s="139" t="s">
        <v>1223</v>
      </c>
      <c r="N3641" s="139" t="s">
        <v>1223</v>
      </c>
      <c r="O3641" s="139" t="s">
        <v>1223</v>
      </c>
      <c r="P3641" s="139" t="s">
        <v>1223</v>
      </c>
      <c r="Q3641" s="141" t="s">
        <v>1248</v>
      </c>
      <c r="R3641"/>
      <c r="S3641"/>
    </row>
    <row r="3642" spans="1:19" s="3" customFormat="1">
      <c r="A3642" s="139" t="s">
        <v>1223</v>
      </c>
      <c r="B3642" s="139" t="s">
        <v>1223</v>
      </c>
      <c r="C3642" s="139" t="s">
        <v>1223</v>
      </c>
      <c r="D3642" s="139" t="s">
        <v>1223</v>
      </c>
      <c r="E3642" s="139" t="s">
        <v>1223</v>
      </c>
      <c r="F3642" s="139" t="s">
        <v>1223</v>
      </c>
      <c r="G3642" s="139" t="s">
        <v>1223</v>
      </c>
      <c r="H3642" s="139" t="s">
        <v>1223</v>
      </c>
      <c r="I3642" s="139" t="s">
        <v>1223</v>
      </c>
      <c r="J3642" s="139" t="s">
        <v>1223</v>
      </c>
      <c r="K3642" s="139" t="s">
        <v>1223</v>
      </c>
      <c r="L3642" s="139" t="s">
        <v>1223</v>
      </c>
      <c r="M3642" s="139" t="s">
        <v>1223</v>
      </c>
      <c r="N3642" s="139" t="s">
        <v>1223</v>
      </c>
      <c r="O3642" s="139" t="s">
        <v>1223</v>
      </c>
      <c r="P3642" s="139" t="s">
        <v>1223</v>
      </c>
      <c r="Q3642" s="141" t="s">
        <v>1249</v>
      </c>
      <c r="R3642"/>
      <c r="S3642"/>
    </row>
    <row r="3643" spans="1:19">
      <c r="A3643" s="139" t="s">
        <v>1223</v>
      </c>
      <c r="B3643" s="139" t="s">
        <v>1223</v>
      </c>
      <c r="C3643" s="139" t="s">
        <v>1223</v>
      </c>
      <c r="D3643" s="139" t="s">
        <v>1223</v>
      </c>
      <c r="E3643" s="139" t="s">
        <v>1223</v>
      </c>
      <c r="F3643" s="139" t="s">
        <v>1223</v>
      </c>
      <c r="G3643" s="139" t="s">
        <v>1223</v>
      </c>
      <c r="H3643" s="139" t="s">
        <v>1223</v>
      </c>
      <c r="I3643" s="139" t="s">
        <v>1223</v>
      </c>
      <c r="J3643" s="139" t="s">
        <v>1223</v>
      </c>
      <c r="K3643" s="139" t="s">
        <v>1223</v>
      </c>
      <c r="L3643" s="139" t="s">
        <v>1223</v>
      </c>
      <c r="M3643" s="139" t="s">
        <v>1223</v>
      </c>
      <c r="N3643" s="139" t="s">
        <v>1223</v>
      </c>
      <c r="O3643" s="139" t="s">
        <v>1223</v>
      </c>
      <c r="P3643" s="139" t="s">
        <v>1223</v>
      </c>
      <c r="Q3643" s="141" t="s">
        <v>1250</v>
      </c>
    </row>
    <row r="3644" spans="1:19">
      <c r="A3644" s="139" t="s">
        <v>1223</v>
      </c>
      <c r="B3644" s="139" t="s">
        <v>1223</v>
      </c>
      <c r="C3644" s="139" t="s">
        <v>1223</v>
      </c>
      <c r="D3644" s="139" t="s">
        <v>1223</v>
      </c>
      <c r="E3644" s="139" t="s">
        <v>1223</v>
      </c>
      <c r="F3644" s="139" t="s">
        <v>1223</v>
      </c>
      <c r="G3644" s="139" t="s">
        <v>1223</v>
      </c>
      <c r="H3644" s="139" t="s">
        <v>1223</v>
      </c>
      <c r="I3644" s="139" t="s">
        <v>1223</v>
      </c>
      <c r="J3644" s="139" t="s">
        <v>1223</v>
      </c>
      <c r="K3644" s="139" t="s">
        <v>1223</v>
      </c>
      <c r="L3644" s="139" t="s">
        <v>1223</v>
      </c>
      <c r="M3644" s="139" t="s">
        <v>1223</v>
      </c>
      <c r="N3644" s="139" t="s">
        <v>1223</v>
      </c>
      <c r="O3644" s="139" t="s">
        <v>1223</v>
      </c>
      <c r="P3644" s="139" t="s">
        <v>1223</v>
      </c>
      <c r="Q3644" s="141" t="s">
        <v>1251</v>
      </c>
    </row>
    <row r="3645" spans="1:19">
      <c r="A3645" s="139" t="s">
        <v>1223</v>
      </c>
      <c r="B3645" s="139" t="s">
        <v>1223</v>
      </c>
      <c r="C3645" s="139" t="s">
        <v>1223</v>
      </c>
      <c r="D3645" s="139" t="s">
        <v>1223</v>
      </c>
      <c r="E3645" s="139" t="s">
        <v>1223</v>
      </c>
      <c r="F3645" s="139" t="s">
        <v>1223</v>
      </c>
      <c r="G3645" s="139" t="s">
        <v>1223</v>
      </c>
      <c r="H3645" s="139" t="s">
        <v>1223</v>
      </c>
      <c r="I3645" s="139" t="s">
        <v>1223</v>
      </c>
      <c r="J3645" s="139" t="s">
        <v>1223</v>
      </c>
      <c r="K3645" s="139" t="s">
        <v>1223</v>
      </c>
      <c r="L3645" s="139" t="s">
        <v>1223</v>
      </c>
      <c r="M3645" s="139" t="s">
        <v>1223</v>
      </c>
      <c r="N3645" s="139" t="s">
        <v>1223</v>
      </c>
      <c r="O3645" s="139" t="s">
        <v>1223</v>
      </c>
      <c r="P3645" s="139" t="s">
        <v>1223</v>
      </c>
      <c r="Q3645" s="141" t="s">
        <v>1252</v>
      </c>
    </row>
    <row r="3646" spans="1:19">
      <c r="A3646" s="139" t="s">
        <v>1223</v>
      </c>
      <c r="B3646" s="139" t="s">
        <v>1223</v>
      </c>
      <c r="C3646" s="139" t="s">
        <v>1223</v>
      </c>
      <c r="D3646" s="139" t="s">
        <v>1223</v>
      </c>
      <c r="E3646" s="139" t="s">
        <v>1223</v>
      </c>
      <c r="F3646" s="139" t="s">
        <v>1223</v>
      </c>
      <c r="G3646" s="139" t="s">
        <v>1223</v>
      </c>
      <c r="H3646" s="139" t="s">
        <v>1223</v>
      </c>
      <c r="I3646" s="139" t="s">
        <v>1223</v>
      </c>
      <c r="J3646" s="139" t="s">
        <v>1223</v>
      </c>
      <c r="K3646" s="139" t="s">
        <v>1223</v>
      </c>
      <c r="L3646" s="139" t="s">
        <v>1223</v>
      </c>
      <c r="M3646" s="139" t="s">
        <v>1223</v>
      </c>
      <c r="N3646" s="139" t="s">
        <v>1223</v>
      </c>
      <c r="O3646" s="139" t="s">
        <v>1223</v>
      </c>
      <c r="P3646" s="139" t="s">
        <v>1223</v>
      </c>
      <c r="Q3646" s="141" t="s">
        <v>1253</v>
      </c>
    </row>
    <row r="3647" spans="1:19">
      <c r="A3647" s="139" t="s">
        <v>1223</v>
      </c>
      <c r="B3647" s="139" t="s">
        <v>1223</v>
      </c>
      <c r="C3647" s="139" t="s">
        <v>1223</v>
      </c>
      <c r="D3647" s="139" t="s">
        <v>1223</v>
      </c>
      <c r="E3647" s="139" t="s">
        <v>1223</v>
      </c>
      <c r="F3647" s="139" t="s">
        <v>1223</v>
      </c>
      <c r="G3647" s="139" t="s">
        <v>1223</v>
      </c>
      <c r="H3647" s="139" t="s">
        <v>1223</v>
      </c>
      <c r="I3647" s="139" t="s">
        <v>1223</v>
      </c>
      <c r="J3647" s="139" t="s">
        <v>1223</v>
      </c>
      <c r="K3647" s="139" t="s">
        <v>1223</v>
      </c>
      <c r="L3647" s="139" t="s">
        <v>1223</v>
      </c>
      <c r="M3647" s="139" t="s">
        <v>1223</v>
      </c>
      <c r="N3647" s="139" t="s">
        <v>1223</v>
      </c>
      <c r="O3647" s="139" t="s">
        <v>1223</v>
      </c>
      <c r="P3647" s="139" t="s">
        <v>1223</v>
      </c>
      <c r="Q3647" s="141" t="s">
        <v>1254</v>
      </c>
    </row>
    <row r="3648" spans="1:19">
      <c r="A3648" s="139" t="s">
        <v>1223</v>
      </c>
      <c r="B3648" s="139" t="s">
        <v>1223</v>
      </c>
      <c r="C3648" s="139" t="s">
        <v>1223</v>
      </c>
      <c r="D3648" s="139" t="s">
        <v>1223</v>
      </c>
      <c r="E3648" s="139" t="s">
        <v>1223</v>
      </c>
      <c r="F3648" s="139" t="s">
        <v>1223</v>
      </c>
      <c r="G3648" s="139" t="s">
        <v>1223</v>
      </c>
      <c r="H3648" s="139" t="s">
        <v>1223</v>
      </c>
      <c r="I3648" s="139" t="s">
        <v>1223</v>
      </c>
      <c r="J3648" s="139" t="s">
        <v>1223</v>
      </c>
      <c r="K3648" s="139" t="s">
        <v>1223</v>
      </c>
      <c r="L3648" s="139" t="s">
        <v>1223</v>
      </c>
      <c r="M3648" s="139" t="s">
        <v>1223</v>
      </c>
      <c r="N3648" s="139" t="s">
        <v>1223</v>
      </c>
      <c r="O3648" s="139" t="s">
        <v>1223</v>
      </c>
      <c r="P3648" s="139" t="s">
        <v>1223</v>
      </c>
      <c r="Q3648" s="141" t="s">
        <v>1255</v>
      </c>
    </row>
    <row r="3649" spans="1:23">
      <c r="A3649" s="139" t="s">
        <v>1223</v>
      </c>
      <c r="B3649" s="139" t="s">
        <v>1223</v>
      </c>
      <c r="C3649" s="139" t="s">
        <v>1223</v>
      </c>
      <c r="D3649" s="139" t="s">
        <v>1223</v>
      </c>
      <c r="E3649" s="139" t="s">
        <v>1223</v>
      </c>
      <c r="F3649" s="139" t="s">
        <v>1223</v>
      </c>
      <c r="G3649" s="139" t="s">
        <v>1223</v>
      </c>
      <c r="H3649" s="139" t="s">
        <v>1223</v>
      </c>
      <c r="I3649" s="139" t="s">
        <v>1223</v>
      </c>
      <c r="J3649" s="139" t="s">
        <v>1223</v>
      </c>
      <c r="K3649" s="139" t="s">
        <v>1223</v>
      </c>
      <c r="L3649" s="139" t="s">
        <v>1223</v>
      </c>
      <c r="M3649" s="139" t="s">
        <v>1223</v>
      </c>
      <c r="N3649" s="139" t="s">
        <v>1223</v>
      </c>
      <c r="O3649" s="139" t="s">
        <v>1223</v>
      </c>
      <c r="P3649" s="139" t="s">
        <v>1223</v>
      </c>
      <c r="Q3649" s="141" t="s">
        <v>1256</v>
      </c>
    </row>
    <row r="3650" spans="1:23">
      <c r="A3650" s="139" t="s">
        <v>1223</v>
      </c>
      <c r="B3650" s="139" t="s">
        <v>1223</v>
      </c>
      <c r="C3650" s="139" t="s">
        <v>1223</v>
      </c>
      <c r="D3650" s="139" t="s">
        <v>1223</v>
      </c>
      <c r="E3650" s="139" t="s">
        <v>1223</v>
      </c>
      <c r="F3650" s="139" t="s">
        <v>1223</v>
      </c>
      <c r="G3650" s="139" t="s">
        <v>1223</v>
      </c>
      <c r="H3650" s="139" t="s">
        <v>1223</v>
      </c>
      <c r="I3650" s="139" t="s">
        <v>1223</v>
      </c>
      <c r="J3650" s="139" t="s">
        <v>1223</v>
      </c>
      <c r="K3650" s="139" t="s">
        <v>1223</v>
      </c>
      <c r="L3650" s="139" t="s">
        <v>1223</v>
      </c>
      <c r="M3650" s="139" t="s">
        <v>1223</v>
      </c>
      <c r="N3650" s="139" t="s">
        <v>1223</v>
      </c>
      <c r="O3650" s="139" t="s">
        <v>1223</v>
      </c>
      <c r="P3650" s="139" t="s">
        <v>1223</v>
      </c>
      <c r="Q3650" s="141" t="s">
        <v>1257</v>
      </c>
    </row>
    <row r="3651" spans="1:23">
      <c r="A3651" s="139" t="s">
        <v>1223</v>
      </c>
      <c r="B3651" s="139" t="s">
        <v>1223</v>
      </c>
      <c r="C3651" s="139" t="s">
        <v>1223</v>
      </c>
      <c r="D3651" s="139" t="s">
        <v>1223</v>
      </c>
      <c r="E3651" s="139" t="s">
        <v>1223</v>
      </c>
      <c r="F3651" s="139" t="s">
        <v>1223</v>
      </c>
      <c r="G3651" s="139" t="s">
        <v>1223</v>
      </c>
      <c r="H3651" s="139" t="s">
        <v>1223</v>
      </c>
      <c r="I3651" s="139" t="s">
        <v>1223</v>
      </c>
      <c r="J3651" s="139" t="s">
        <v>1223</v>
      </c>
      <c r="K3651" s="139" t="s">
        <v>1223</v>
      </c>
      <c r="L3651" s="139" t="s">
        <v>1223</v>
      </c>
      <c r="M3651" s="139" t="s">
        <v>1223</v>
      </c>
      <c r="N3651" s="139" t="s">
        <v>1223</v>
      </c>
      <c r="O3651" s="139" t="s">
        <v>1223</v>
      </c>
      <c r="P3651" s="139" t="s">
        <v>1223</v>
      </c>
      <c r="Q3651" s="141" t="s">
        <v>1258</v>
      </c>
    </row>
    <row r="3652" spans="1:23">
      <c r="A3652" s="139" t="s">
        <v>1223</v>
      </c>
      <c r="B3652" s="139" t="s">
        <v>1223</v>
      </c>
      <c r="C3652" s="139" t="s">
        <v>1223</v>
      </c>
      <c r="D3652" s="139" t="s">
        <v>1223</v>
      </c>
      <c r="E3652" s="139" t="s">
        <v>1223</v>
      </c>
      <c r="F3652" s="139" t="s">
        <v>1223</v>
      </c>
      <c r="G3652" s="139" t="s">
        <v>1223</v>
      </c>
      <c r="H3652" s="139" t="s">
        <v>1223</v>
      </c>
      <c r="I3652" s="139" t="s">
        <v>1223</v>
      </c>
      <c r="J3652" s="139" t="s">
        <v>1223</v>
      </c>
      <c r="K3652" s="139" t="s">
        <v>1223</v>
      </c>
      <c r="L3652" s="139" t="s">
        <v>1223</v>
      </c>
      <c r="M3652" s="139" t="s">
        <v>1223</v>
      </c>
      <c r="N3652" s="139" t="s">
        <v>1223</v>
      </c>
      <c r="O3652" s="139" t="s">
        <v>1223</v>
      </c>
      <c r="P3652" s="139" t="s">
        <v>1223</v>
      </c>
      <c r="Q3652" s="141" t="s">
        <v>1259</v>
      </c>
    </row>
    <row r="3653" spans="1:23">
      <c r="A3653" s="139" t="s">
        <v>1223</v>
      </c>
      <c r="B3653" s="139" t="s">
        <v>1223</v>
      </c>
      <c r="C3653" s="139" t="s">
        <v>1223</v>
      </c>
      <c r="D3653" s="139" t="s">
        <v>1223</v>
      </c>
      <c r="E3653" s="139" t="s">
        <v>1223</v>
      </c>
      <c r="F3653" s="139" t="s">
        <v>1223</v>
      </c>
      <c r="G3653" s="139" t="s">
        <v>1223</v>
      </c>
      <c r="H3653" s="139" t="s">
        <v>1223</v>
      </c>
      <c r="I3653" s="139" t="s">
        <v>1223</v>
      </c>
      <c r="J3653" s="139" t="s">
        <v>1223</v>
      </c>
      <c r="K3653" s="139" t="s">
        <v>1223</v>
      </c>
      <c r="L3653" s="139" t="s">
        <v>1223</v>
      </c>
      <c r="M3653" s="139" t="s">
        <v>1223</v>
      </c>
      <c r="N3653" s="139" t="s">
        <v>1223</v>
      </c>
      <c r="O3653" s="139" t="s">
        <v>1223</v>
      </c>
      <c r="P3653" s="139" t="s">
        <v>1223</v>
      </c>
      <c r="Q3653" s="141" t="s">
        <v>1260</v>
      </c>
    </row>
    <row r="3654" spans="1:23">
      <c r="A3654" s="139" t="s">
        <v>1223</v>
      </c>
      <c r="B3654" s="139" t="s">
        <v>1223</v>
      </c>
      <c r="C3654" s="139" t="s">
        <v>1223</v>
      </c>
      <c r="D3654" s="139" t="s">
        <v>1223</v>
      </c>
      <c r="E3654" s="139" t="s">
        <v>1223</v>
      </c>
      <c r="F3654" s="139" t="s">
        <v>1223</v>
      </c>
      <c r="G3654" s="139" t="s">
        <v>1223</v>
      </c>
      <c r="H3654" s="139" t="s">
        <v>1223</v>
      </c>
      <c r="I3654" s="139" t="s">
        <v>1223</v>
      </c>
      <c r="J3654" s="139" t="s">
        <v>1223</v>
      </c>
      <c r="K3654" s="139" t="s">
        <v>1223</v>
      </c>
      <c r="L3654" s="139" t="s">
        <v>1223</v>
      </c>
      <c r="M3654" s="139" t="s">
        <v>1223</v>
      </c>
      <c r="N3654" s="139" t="s">
        <v>1223</v>
      </c>
      <c r="O3654" s="139" t="s">
        <v>1223</v>
      </c>
      <c r="P3654" s="139" t="s">
        <v>1223</v>
      </c>
      <c r="Q3654" s="141" t="s">
        <v>1261</v>
      </c>
    </row>
    <row r="3655" spans="1:23">
      <c r="A3655" s="139" t="s">
        <v>1223</v>
      </c>
      <c r="B3655" s="139" t="s">
        <v>1223</v>
      </c>
      <c r="C3655" s="139" t="s">
        <v>1223</v>
      </c>
      <c r="D3655" s="139" t="s">
        <v>1223</v>
      </c>
      <c r="E3655" s="139" t="s">
        <v>1223</v>
      </c>
      <c r="F3655" s="139" t="s">
        <v>1223</v>
      </c>
      <c r="G3655" s="139" t="s">
        <v>1223</v>
      </c>
      <c r="H3655" s="139" t="s">
        <v>1223</v>
      </c>
      <c r="I3655" s="139" t="s">
        <v>1223</v>
      </c>
      <c r="J3655" s="139" t="s">
        <v>1223</v>
      </c>
      <c r="K3655" s="139" t="s">
        <v>1223</v>
      </c>
      <c r="L3655" s="139" t="s">
        <v>1223</v>
      </c>
      <c r="M3655" s="139" t="s">
        <v>1223</v>
      </c>
      <c r="N3655" s="139" t="s">
        <v>1223</v>
      </c>
      <c r="O3655" s="139" t="s">
        <v>1223</v>
      </c>
      <c r="P3655" s="139" t="s">
        <v>1223</v>
      </c>
      <c r="Q3655" s="141" t="s">
        <v>1262</v>
      </c>
    </row>
    <row r="3656" spans="1:23">
      <c r="A3656" s="139" t="s">
        <v>1223</v>
      </c>
      <c r="B3656" s="139" t="s">
        <v>1223</v>
      </c>
      <c r="C3656" s="139" t="s">
        <v>1223</v>
      </c>
      <c r="D3656" s="139" t="s">
        <v>1223</v>
      </c>
      <c r="E3656" s="139" t="s">
        <v>1223</v>
      </c>
      <c r="F3656" s="139" t="s">
        <v>1223</v>
      </c>
      <c r="G3656" s="139" t="s">
        <v>1223</v>
      </c>
      <c r="H3656" s="139" t="s">
        <v>1223</v>
      </c>
      <c r="I3656" s="139" t="s">
        <v>1223</v>
      </c>
      <c r="J3656" s="139" t="s">
        <v>1223</v>
      </c>
      <c r="K3656" s="139" t="s">
        <v>1223</v>
      </c>
      <c r="L3656" s="139" t="s">
        <v>1223</v>
      </c>
      <c r="M3656" s="139" t="s">
        <v>1223</v>
      </c>
      <c r="N3656" s="139" t="s">
        <v>1223</v>
      </c>
      <c r="O3656" s="139" t="s">
        <v>1223</v>
      </c>
      <c r="P3656" s="139" t="s">
        <v>1223</v>
      </c>
      <c r="Q3656" s="141" t="s">
        <v>1263</v>
      </c>
    </row>
    <row r="3657" spans="1:23">
      <c r="A3657" s="139" t="s">
        <v>1223</v>
      </c>
      <c r="B3657" s="139" t="s">
        <v>1223</v>
      </c>
      <c r="C3657" s="139" t="s">
        <v>1223</v>
      </c>
      <c r="D3657" s="139" t="s">
        <v>1223</v>
      </c>
      <c r="E3657" s="139" t="s">
        <v>1223</v>
      </c>
      <c r="F3657" s="139" t="s">
        <v>1223</v>
      </c>
      <c r="G3657" s="139" t="s">
        <v>1223</v>
      </c>
      <c r="H3657" s="139" t="s">
        <v>1223</v>
      </c>
      <c r="I3657" s="139" t="s">
        <v>1223</v>
      </c>
      <c r="J3657" s="139" t="s">
        <v>1223</v>
      </c>
      <c r="K3657" s="139" t="s">
        <v>1223</v>
      </c>
      <c r="L3657" s="139" t="s">
        <v>1223</v>
      </c>
      <c r="M3657" s="139" t="s">
        <v>1223</v>
      </c>
      <c r="N3657" s="139" t="s">
        <v>1223</v>
      </c>
      <c r="O3657" s="139" t="s">
        <v>1223</v>
      </c>
      <c r="P3657" s="139" t="s">
        <v>1223</v>
      </c>
      <c r="Q3657" s="141" t="s">
        <v>1264</v>
      </c>
    </row>
    <row r="3658" spans="1:23">
      <c r="A3658" s="139" t="s">
        <v>1223</v>
      </c>
      <c r="B3658" s="139" t="s">
        <v>1223</v>
      </c>
      <c r="C3658" s="139" t="s">
        <v>1223</v>
      </c>
      <c r="D3658" s="139" t="s">
        <v>1223</v>
      </c>
      <c r="E3658" s="139" t="s">
        <v>1223</v>
      </c>
      <c r="F3658" s="139" t="s">
        <v>1223</v>
      </c>
      <c r="G3658" s="139" t="s">
        <v>1223</v>
      </c>
      <c r="H3658" s="139" t="s">
        <v>1223</v>
      </c>
      <c r="I3658" s="139" t="s">
        <v>1223</v>
      </c>
      <c r="J3658" s="139" t="s">
        <v>1223</v>
      </c>
      <c r="K3658" s="139" t="s">
        <v>1223</v>
      </c>
      <c r="L3658" s="139" t="s">
        <v>1223</v>
      </c>
      <c r="M3658" s="139" t="s">
        <v>1223</v>
      </c>
      <c r="N3658" s="139" t="s">
        <v>1223</v>
      </c>
      <c r="O3658" s="139" t="s">
        <v>1223</v>
      </c>
      <c r="P3658" s="139" t="s">
        <v>1223</v>
      </c>
      <c r="Q3658" s="141" t="s">
        <v>1265</v>
      </c>
    </row>
    <row r="3659" spans="1:23">
      <c r="A3659" s="139" t="s">
        <v>1223</v>
      </c>
      <c r="B3659" s="139" t="s">
        <v>1223</v>
      </c>
      <c r="C3659" s="139" t="s">
        <v>1223</v>
      </c>
      <c r="D3659" s="139" t="s">
        <v>1223</v>
      </c>
      <c r="E3659" s="139" t="s">
        <v>1223</v>
      </c>
      <c r="F3659" s="139" t="s">
        <v>1223</v>
      </c>
      <c r="G3659" s="139" t="s">
        <v>1223</v>
      </c>
      <c r="H3659" s="139" t="s">
        <v>1223</v>
      </c>
      <c r="I3659" s="139" t="s">
        <v>1223</v>
      </c>
      <c r="J3659" s="139" t="s">
        <v>1223</v>
      </c>
      <c r="K3659" s="139" t="s">
        <v>1223</v>
      </c>
      <c r="L3659" s="139" t="s">
        <v>1223</v>
      </c>
      <c r="M3659" s="139" t="s">
        <v>1223</v>
      </c>
      <c r="N3659" s="139" t="s">
        <v>1223</v>
      </c>
      <c r="O3659" s="139" t="s">
        <v>1223</v>
      </c>
      <c r="P3659" s="139" t="s">
        <v>1223</v>
      </c>
      <c r="Q3659" s="141" t="s">
        <v>1266</v>
      </c>
    </row>
    <row r="3660" spans="1:23">
      <c r="A3660" s="139" t="s">
        <v>1223</v>
      </c>
      <c r="B3660" s="139" t="s">
        <v>1223</v>
      </c>
      <c r="C3660" s="139" t="s">
        <v>1223</v>
      </c>
      <c r="D3660" s="139" t="s">
        <v>1223</v>
      </c>
      <c r="E3660" s="139" t="s">
        <v>1223</v>
      </c>
      <c r="F3660" s="139" t="s">
        <v>1223</v>
      </c>
      <c r="G3660" s="139" t="s">
        <v>1223</v>
      </c>
      <c r="H3660" s="139" t="s">
        <v>1223</v>
      </c>
      <c r="I3660" s="139" t="s">
        <v>1223</v>
      </c>
      <c r="J3660" s="139" t="s">
        <v>1223</v>
      </c>
      <c r="K3660" s="139" t="s">
        <v>1223</v>
      </c>
      <c r="L3660" s="139" t="s">
        <v>1223</v>
      </c>
      <c r="M3660" s="139" t="s">
        <v>1223</v>
      </c>
      <c r="N3660" s="139" t="s">
        <v>1223</v>
      </c>
      <c r="O3660" s="139" t="s">
        <v>1223</v>
      </c>
      <c r="P3660" s="139" t="s">
        <v>1223</v>
      </c>
      <c r="Q3660" s="141" t="s">
        <v>1267</v>
      </c>
    </row>
    <row r="3661" spans="1:23">
      <c r="A3661" s="139" t="s">
        <v>1223</v>
      </c>
      <c r="B3661" s="139" t="s">
        <v>1223</v>
      </c>
      <c r="C3661" s="139" t="s">
        <v>1223</v>
      </c>
      <c r="D3661" s="139" t="s">
        <v>1223</v>
      </c>
      <c r="E3661" s="139" t="s">
        <v>1223</v>
      </c>
      <c r="F3661" s="139" t="s">
        <v>1223</v>
      </c>
      <c r="G3661" s="139" t="s">
        <v>1223</v>
      </c>
      <c r="H3661" s="139" t="s">
        <v>1223</v>
      </c>
      <c r="I3661" s="139" t="s">
        <v>1223</v>
      </c>
      <c r="J3661" s="139" t="s">
        <v>1223</v>
      </c>
      <c r="K3661" s="139" t="s">
        <v>1223</v>
      </c>
      <c r="L3661" s="139" t="s">
        <v>1223</v>
      </c>
      <c r="M3661" s="139" t="s">
        <v>1223</v>
      </c>
      <c r="N3661" s="139" t="s">
        <v>1223</v>
      </c>
      <c r="O3661" s="139" t="s">
        <v>1223</v>
      </c>
      <c r="P3661" s="139" t="s">
        <v>1223</v>
      </c>
      <c r="Q3661" s="141" t="s">
        <v>1268</v>
      </c>
    </row>
    <row r="3662" spans="1:23">
      <c r="A3662" s="139" t="s">
        <v>1223</v>
      </c>
      <c r="B3662" s="139" t="s">
        <v>1223</v>
      </c>
      <c r="C3662" s="139" t="s">
        <v>1223</v>
      </c>
      <c r="D3662" s="139" t="s">
        <v>1223</v>
      </c>
      <c r="E3662" s="139" t="s">
        <v>1223</v>
      </c>
      <c r="F3662" s="139" t="s">
        <v>1223</v>
      </c>
      <c r="G3662" s="139" t="s">
        <v>1223</v>
      </c>
      <c r="H3662" s="139" t="s">
        <v>1223</v>
      </c>
      <c r="I3662" s="139" t="s">
        <v>1223</v>
      </c>
      <c r="J3662" s="139" t="s">
        <v>1223</v>
      </c>
      <c r="K3662" s="139" t="s">
        <v>1223</v>
      </c>
      <c r="L3662" s="139" t="s">
        <v>1223</v>
      </c>
      <c r="M3662" s="139" t="s">
        <v>1223</v>
      </c>
      <c r="N3662" s="139" t="s">
        <v>1223</v>
      </c>
      <c r="O3662" s="139" t="s">
        <v>1223</v>
      </c>
      <c r="P3662" s="139" t="s">
        <v>1223</v>
      </c>
      <c r="Q3662" s="141" t="s">
        <v>1269</v>
      </c>
    </row>
    <row r="3663" spans="1:23" ht="19.5" thickBot="1">
      <c r="A3663" s="139" t="s">
        <v>1223</v>
      </c>
      <c r="B3663" s="139" t="s">
        <v>1223</v>
      </c>
      <c r="C3663" s="139" t="s">
        <v>1223</v>
      </c>
      <c r="D3663" s="139" t="s">
        <v>1223</v>
      </c>
      <c r="E3663" s="139" t="s">
        <v>1223</v>
      </c>
      <c r="F3663" s="139" t="s">
        <v>1223</v>
      </c>
      <c r="G3663" s="139" t="s">
        <v>1223</v>
      </c>
      <c r="H3663" s="139" t="s">
        <v>1223</v>
      </c>
      <c r="I3663" s="139" t="s">
        <v>1223</v>
      </c>
      <c r="J3663" s="139" t="s">
        <v>1223</v>
      </c>
      <c r="K3663" s="139" t="s">
        <v>1223</v>
      </c>
      <c r="L3663" s="139" t="s">
        <v>1223</v>
      </c>
      <c r="M3663" s="139" t="s">
        <v>1223</v>
      </c>
      <c r="N3663" s="139" t="s">
        <v>1223</v>
      </c>
      <c r="O3663" s="139" t="s">
        <v>1223</v>
      </c>
      <c r="P3663" s="139" t="s">
        <v>1223</v>
      </c>
      <c r="Q3663" s="141" t="s">
        <v>1270</v>
      </c>
      <c r="T3663" s="182" t="s">
        <v>1508</v>
      </c>
      <c r="U3663" s="183"/>
      <c r="V3663" s="181"/>
    </row>
    <row r="3664" spans="1:23" ht="18.75">
      <c r="A3664" s="139" t="s">
        <v>1223</v>
      </c>
      <c r="B3664" s="139" t="s">
        <v>1223</v>
      </c>
      <c r="C3664" s="139" t="s">
        <v>1223</v>
      </c>
      <c r="D3664" s="139" t="s">
        <v>1223</v>
      </c>
      <c r="E3664" s="139" t="s">
        <v>1223</v>
      </c>
      <c r="F3664" s="139" t="s">
        <v>1223</v>
      </c>
      <c r="G3664" s="139" t="s">
        <v>1223</v>
      </c>
      <c r="H3664" s="139" t="s">
        <v>1223</v>
      </c>
      <c r="I3664" s="139" t="s">
        <v>1223</v>
      </c>
      <c r="J3664" s="139" t="s">
        <v>1223</v>
      </c>
      <c r="K3664" s="139" t="s">
        <v>1223</v>
      </c>
      <c r="L3664" s="139" t="s">
        <v>1223</v>
      </c>
      <c r="M3664" s="139" t="s">
        <v>1223</v>
      </c>
      <c r="N3664" s="139" t="s">
        <v>1223</v>
      </c>
      <c r="O3664" s="139" t="s">
        <v>1223</v>
      </c>
      <c r="P3664" s="139" t="s">
        <v>1223</v>
      </c>
      <c r="Q3664" s="141" t="s">
        <v>1271</v>
      </c>
      <c r="T3664" s="184">
        <v>0</v>
      </c>
      <c r="U3664" s="183"/>
      <c r="V3664" s="181" t="s">
        <v>1474</v>
      </c>
      <c r="W3664" t="s">
        <v>1510</v>
      </c>
    </row>
    <row r="3665" spans="1:24" ht="18.75">
      <c r="A3665" s="139" t="s">
        <v>1223</v>
      </c>
      <c r="B3665" s="139" t="s">
        <v>1223</v>
      </c>
      <c r="C3665" s="139" t="s">
        <v>1223</v>
      </c>
      <c r="D3665" s="139" t="s">
        <v>1223</v>
      </c>
      <c r="E3665" s="139" t="s">
        <v>1223</v>
      </c>
      <c r="F3665" s="139" t="s">
        <v>1223</v>
      </c>
      <c r="G3665" s="139" t="s">
        <v>1223</v>
      </c>
      <c r="H3665" s="139" t="s">
        <v>1223</v>
      </c>
      <c r="I3665" s="139" t="s">
        <v>1223</v>
      </c>
      <c r="J3665" s="139" t="s">
        <v>1223</v>
      </c>
      <c r="K3665" s="139" t="s">
        <v>1223</v>
      </c>
      <c r="L3665" s="139" t="s">
        <v>1223</v>
      </c>
      <c r="M3665" s="139" t="s">
        <v>1223</v>
      </c>
      <c r="N3665" s="139" t="s">
        <v>1223</v>
      </c>
      <c r="O3665" s="139" t="s">
        <v>1223</v>
      </c>
      <c r="P3665" s="139" t="s">
        <v>1223</v>
      </c>
      <c r="Q3665" s="141" t="s">
        <v>1272</v>
      </c>
      <c r="T3665" s="185">
        <v>0</v>
      </c>
      <c r="U3665" s="183"/>
      <c r="V3665" s="181" t="s">
        <v>1475</v>
      </c>
      <c r="X3665" t="s">
        <v>1509</v>
      </c>
    </row>
    <row r="3666" spans="1:24" ht="18.75">
      <c r="A3666" s="139" t="s">
        <v>1223</v>
      </c>
      <c r="B3666" s="139" t="s">
        <v>1223</v>
      </c>
      <c r="C3666" s="139" t="s">
        <v>1223</v>
      </c>
      <c r="D3666" s="139" t="s">
        <v>1223</v>
      </c>
      <c r="E3666" s="139" t="s">
        <v>1223</v>
      </c>
      <c r="F3666" s="139" t="s">
        <v>1223</v>
      </c>
      <c r="G3666" s="139" t="s">
        <v>1223</v>
      </c>
      <c r="H3666" s="139" t="s">
        <v>1223</v>
      </c>
      <c r="I3666" s="139" t="s">
        <v>1223</v>
      </c>
      <c r="J3666" s="139" t="s">
        <v>1223</v>
      </c>
      <c r="K3666" s="139" t="s">
        <v>1223</v>
      </c>
      <c r="L3666" s="139" t="s">
        <v>1223</v>
      </c>
      <c r="M3666" s="139" t="s">
        <v>1223</v>
      </c>
      <c r="N3666" s="139" t="s">
        <v>1223</v>
      </c>
      <c r="O3666" s="139" t="s">
        <v>1223</v>
      </c>
      <c r="P3666" s="139" t="s">
        <v>1223</v>
      </c>
      <c r="Q3666" s="141" t="s">
        <v>1273</v>
      </c>
      <c r="T3666" s="185">
        <v>0</v>
      </c>
      <c r="U3666" s="183"/>
      <c r="V3666" s="181" t="s">
        <v>1476</v>
      </c>
      <c r="X3666" t="s">
        <v>1511</v>
      </c>
    </row>
    <row r="3667" spans="1:24" ht="18.75">
      <c r="A3667" s="139" t="s">
        <v>1223</v>
      </c>
      <c r="B3667" s="139" t="s">
        <v>1223</v>
      </c>
      <c r="C3667" s="139" t="s">
        <v>1223</v>
      </c>
      <c r="D3667" s="139" t="s">
        <v>1223</v>
      </c>
      <c r="E3667" s="139" t="s">
        <v>1223</v>
      </c>
      <c r="F3667" s="139" t="s">
        <v>1223</v>
      </c>
      <c r="G3667" s="139" t="s">
        <v>1223</v>
      </c>
      <c r="H3667" s="139" t="s">
        <v>1223</v>
      </c>
      <c r="I3667" s="139" t="s">
        <v>1223</v>
      </c>
      <c r="J3667" s="139" t="s">
        <v>1223</v>
      </c>
      <c r="K3667" s="139" t="s">
        <v>1223</v>
      </c>
      <c r="L3667" s="139" t="s">
        <v>1223</v>
      </c>
      <c r="M3667" s="139" t="s">
        <v>1223</v>
      </c>
      <c r="N3667" s="139" t="s">
        <v>1223</v>
      </c>
      <c r="O3667" s="139" t="s">
        <v>1223</v>
      </c>
      <c r="P3667" s="139" t="s">
        <v>1223</v>
      </c>
      <c r="Q3667" s="141" t="s">
        <v>1274</v>
      </c>
      <c r="T3667" s="185">
        <v>0</v>
      </c>
      <c r="U3667" s="183"/>
      <c r="V3667" s="181" t="s">
        <v>1477</v>
      </c>
      <c r="X3667" t="s">
        <v>1512</v>
      </c>
    </row>
    <row r="3668" spans="1:24" ht="18.75">
      <c r="A3668" s="139" t="s">
        <v>1223</v>
      </c>
      <c r="B3668" s="139" t="s">
        <v>1223</v>
      </c>
      <c r="C3668" s="139" t="s">
        <v>1223</v>
      </c>
      <c r="D3668" s="139" t="s">
        <v>1223</v>
      </c>
      <c r="E3668" s="139" t="s">
        <v>1223</v>
      </c>
      <c r="F3668" s="139" t="s">
        <v>1223</v>
      </c>
      <c r="G3668" s="139" t="s">
        <v>1223</v>
      </c>
      <c r="H3668" s="139" t="s">
        <v>1223</v>
      </c>
      <c r="I3668" s="139" t="s">
        <v>1223</v>
      </c>
      <c r="J3668" s="139" t="s">
        <v>1223</v>
      </c>
      <c r="K3668" s="139" t="s">
        <v>1223</v>
      </c>
      <c r="L3668" s="139" t="s">
        <v>1223</v>
      </c>
      <c r="M3668" s="139" t="s">
        <v>1223</v>
      </c>
      <c r="N3668" s="139" t="s">
        <v>1223</v>
      </c>
      <c r="O3668" s="139" t="s">
        <v>1223</v>
      </c>
      <c r="P3668" s="139" t="s">
        <v>1223</v>
      </c>
      <c r="Q3668" s="141" t="s">
        <v>1275</v>
      </c>
      <c r="T3668" s="185">
        <v>0</v>
      </c>
      <c r="U3668" s="183"/>
      <c r="V3668" s="181" t="s">
        <v>1478</v>
      </c>
    </row>
    <row r="3669" spans="1:24" ht="18.75">
      <c r="A3669" s="139" t="s">
        <v>1223</v>
      </c>
      <c r="B3669" s="139" t="s">
        <v>1223</v>
      </c>
      <c r="C3669" s="139" t="s">
        <v>1223</v>
      </c>
      <c r="D3669" s="139" t="s">
        <v>1223</v>
      </c>
      <c r="E3669" s="139" t="s">
        <v>1223</v>
      </c>
      <c r="F3669" s="139" t="s">
        <v>1223</v>
      </c>
      <c r="G3669" s="139" t="s">
        <v>1223</v>
      </c>
      <c r="H3669" s="139" t="s">
        <v>1223</v>
      </c>
      <c r="I3669" s="139" t="s">
        <v>1223</v>
      </c>
      <c r="J3669" s="139" t="s">
        <v>1223</v>
      </c>
      <c r="K3669" s="139" t="s">
        <v>1223</v>
      </c>
      <c r="L3669" s="139" t="s">
        <v>1223</v>
      </c>
      <c r="M3669" s="139" t="s">
        <v>1223</v>
      </c>
      <c r="N3669" s="139" t="s">
        <v>1223</v>
      </c>
      <c r="O3669" s="139" t="s">
        <v>1223</v>
      </c>
      <c r="P3669" s="139" t="s">
        <v>1223</v>
      </c>
      <c r="Q3669" s="141" t="s">
        <v>1276</v>
      </c>
      <c r="T3669" s="185">
        <v>0</v>
      </c>
      <c r="U3669" s="183"/>
      <c r="V3669" s="181" t="s">
        <v>1479</v>
      </c>
    </row>
    <row r="3670" spans="1:24" ht="18.75">
      <c r="A3670" s="139" t="s">
        <v>1223</v>
      </c>
      <c r="B3670" s="139" t="s">
        <v>1223</v>
      </c>
      <c r="C3670" s="139" t="s">
        <v>1223</v>
      </c>
      <c r="D3670" s="139" t="s">
        <v>1223</v>
      </c>
      <c r="E3670" s="139" t="s">
        <v>1223</v>
      </c>
      <c r="F3670" s="139" t="s">
        <v>1223</v>
      </c>
      <c r="G3670" s="139" t="s">
        <v>1223</v>
      </c>
      <c r="H3670" s="139" t="s">
        <v>1223</v>
      </c>
      <c r="I3670" s="139" t="s">
        <v>1223</v>
      </c>
      <c r="J3670" s="139" t="s">
        <v>1223</v>
      </c>
      <c r="K3670" s="139" t="s">
        <v>1223</v>
      </c>
      <c r="L3670" s="139" t="s">
        <v>1223</v>
      </c>
      <c r="M3670" s="139" t="s">
        <v>1223</v>
      </c>
      <c r="N3670" s="139" t="s">
        <v>1223</v>
      </c>
      <c r="O3670" s="139" t="s">
        <v>1223</v>
      </c>
      <c r="P3670" s="139" t="s">
        <v>1223</v>
      </c>
      <c r="Q3670" s="141" t="s">
        <v>1277</v>
      </c>
      <c r="T3670" s="185">
        <v>0</v>
      </c>
      <c r="U3670" s="183"/>
      <c r="V3670" s="181" t="s">
        <v>1480</v>
      </c>
    </row>
    <row r="3671" spans="1:24" ht="18.75">
      <c r="A3671" s="139" t="s">
        <v>1223</v>
      </c>
      <c r="B3671" s="139" t="s">
        <v>1223</v>
      </c>
      <c r="C3671" s="139" t="s">
        <v>1223</v>
      </c>
      <c r="D3671" s="139" t="s">
        <v>1223</v>
      </c>
      <c r="E3671" s="139" t="s">
        <v>1223</v>
      </c>
      <c r="F3671" s="139" t="s">
        <v>1223</v>
      </c>
      <c r="G3671" s="139" t="s">
        <v>1223</v>
      </c>
      <c r="H3671" s="139" t="s">
        <v>1223</v>
      </c>
      <c r="I3671" s="139" t="s">
        <v>1223</v>
      </c>
      <c r="J3671" s="139" t="s">
        <v>1223</v>
      </c>
      <c r="K3671" s="139" t="s">
        <v>1223</v>
      </c>
      <c r="L3671" s="139" t="s">
        <v>1223</v>
      </c>
      <c r="M3671" s="139" t="s">
        <v>1223</v>
      </c>
      <c r="N3671" s="139" t="s">
        <v>1223</v>
      </c>
      <c r="O3671" s="139" t="s">
        <v>1223</v>
      </c>
      <c r="P3671" s="139" t="s">
        <v>1223</v>
      </c>
      <c r="Q3671" s="141" t="s">
        <v>1278</v>
      </c>
      <c r="T3671" s="185">
        <v>0</v>
      </c>
      <c r="U3671" s="183"/>
      <c r="V3671" s="181" t="s">
        <v>1481</v>
      </c>
    </row>
    <row r="3672" spans="1:24" ht="18.75">
      <c r="A3672" s="139" t="s">
        <v>1223</v>
      </c>
      <c r="B3672" s="139" t="s">
        <v>1223</v>
      </c>
      <c r="C3672" s="139" t="s">
        <v>1223</v>
      </c>
      <c r="D3672" s="139" t="s">
        <v>1223</v>
      </c>
      <c r="E3672" s="139" t="s">
        <v>1223</v>
      </c>
      <c r="F3672" s="139" t="s">
        <v>1223</v>
      </c>
      <c r="G3672" s="139" t="s">
        <v>1223</v>
      </c>
      <c r="H3672" s="139" t="s">
        <v>1223</v>
      </c>
      <c r="I3672" s="139" t="s">
        <v>1223</v>
      </c>
      <c r="J3672" s="139" t="s">
        <v>1223</v>
      </c>
      <c r="K3672" s="139" t="s">
        <v>1223</v>
      </c>
      <c r="L3672" s="139" t="s">
        <v>1223</v>
      </c>
      <c r="M3672" s="139" t="s">
        <v>1223</v>
      </c>
      <c r="N3672" s="139" t="s">
        <v>1223</v>
      </c>
      <c r="O3672" s="139" t="s">
        <v>1223</v>
      </c>
      <c r="P3672" s="139" t="s">
        <v>1223</v>
      </c>
      <c r="Q3672" s="141" t="s">
        <v>1279</v>
      </c>
      <c r="T3672" s="185">
        <v>0</v>
      </c>
      <c r="U3672" s="183"/>
      <c r="V3672" s="181" t="s">
        <v>1482</v>
      </c>
    </row>
    <row r="3673" spans="1:24" ht="18.75">
      <c r="A3673" s="139" t="s">
        <v>1223</v>
      </c>
      <c r="B3673" s="139" t="s">
        <v>1223</v>
      </c>
      <c r="C3673" s="139" t="s">
        <v>1223</v>
      </c>
      <c r="D3673" s="139" t="s">
        <v>1223</v>
      </c>
      <c r="E3673" s="139" t="s">
        <v>1223</v>
      </c>
      <c r="F3673" s="139" t="s">
        <v>1223</v>
      </c>
      <c r="G3673" s="139" t="s">
        <v>1223</v>
      </c>
      <c r="H3673" s="139" t="s">
        <v>1223</v>
      </c>
      <c r="I3673" s="139" t="s">
        <v>1223</v>
      </c>
      <c r="J3673" s="139" t="s">
        <v>1223</v>
      </c>
      <c r="K3673" s="139" t="s">
        <v>1223</v>
      </c>
      <c r="L3673" s="139" t="s">
        <v>1223</v>
      </c>
      <c r="M3673" s="139" t="s">
        <v>1223</v>
      </c>
      <c r="N3673" s="139" t="s">
        <v>1223</v>
      </c>
      <c r="O3673" s="139" t="s">
        <v>1223</v>
      </c>
      <c r="P3673" s="139" t="s">
        <v>1223</v>
      </c>
      <c r="Q3673" s="141" t="s">
        <v>1280</v>
      </c>
      <c r="T3673" s="185">
        <v>0</v>
      </c>
      <c r="U3673" s="183"/>
      <c r="V3673" s="181" t="s">
        <v>1483</v>
      </c>
    </row>
    <row r="3674" spans="1:24" ht="18.75">
      <c r="A3674" s="139" t="s">
        <v>1223</v>
      </c>
      <c r="B3674" s="139" t="s">
        <v>1223</v>
      </c>
      <c r="C3674" s="139" t="s">
        <v>1223</v>
      </c>
      <c r="D3674" s="139" t="s">
        <v>1223</v>
      </c>
      <c r="E3674" s="139" t="s">
        <v>1223</v>
      </c>
      <c r="F3674" s="139" t="s">
        <v>1223</v>
      </c>
      <c r="G3674" s="139" t="s">
        <v>1223</v>
      </c>
      <c r="H3674" s="139" t="s">
        <v>1223</v>
      </c>
      <c r="I3674" s="139" t="s">
        <v>1223</v>
      </c>
      <c r="J3674" s="139" t="s">
        <v>1223</v>
      </c>
      <c r="K3674" s="139" t="s">
        <v>1223</v>
      </c>
      <c r="L3674" s="139" t="s">
        <v>1223</v>
      </c>
      <c r="M3674" s="139" t="s">
        <v>1223</v>
      </c>
      <c r="N3674" s="139" t="s">
        <v>1223</v>
      </c>
      <c r="O3674" s="139" t="s">
        <v>1223</v>
      </c>
      <c r="P3674" s="139" t="s">
        <v>1223</v>
      </c>
      <c r="Q3674" s="141" t="s">
        <v>1281</v>
      </c>
      <c r="T3674" s="185">
        <v>0</v>
      </c>
      <c r="U3674" s="183"/>
      <c r="V3674" s="181" t="s">
        <v>1484</v>
      </c>
    </row>
    <row r="3675" spans="1:24" ht="18.75">
      <c r="A3675" s="139" t="s">
        <v>1223</v>
      </c>
      <c r="B3675" s="139" t="s">
        <v>1223</v>
      </c>
      <c r="C3675" s="139" t="s">
        <v>1223</v>
      </c>
      <c r="D3675" s="139" t="s">
        <v>1223</v>
      </c>
      <c r="E3675" s="139" t="s">
        <v>1223</v>
      </c>
      <c r="F3675" s="139" t="s">
        <v>1223</v>
      </c>
      <c r="G3675" s="139" t="s">
        <v>1223</v>
      </c>
      <c r="H3675" s="139" t="s">
        <v>1223</v>
      </c>
      <c r="I3675" s="139" t="s">
        <v>1223</v>
      </c>
      <c r="J3675" s="139" t="s">
        <v>1223</v>
      </c>
      <c r="K3675" s="139" t="s">
        <v>1223</v>
      </c>
      <c r="L3675" s="139" t="s">
        <v>1223</v>
      </c>
      <c r="M3675" s="139" t="s">
        <v>1223</v>
      </c>
      <c r="N3675" s="139" t="s">
        <v>1223</v>
      </c>
      <c r="O3675" s="139" t="s">
        <v>1223</v>
      </c>
      <c r="P3675" s="139" t="s">
        <v>1223</v>
      </c>
      <c r="Q3675" s="141" t="s">
        <v>1282</v>
      </c>
      <c r="T3675" s="185">
        <v>0</v>
      </c>
      <c r="U3675" s="183"/>
      <c r="V3675" s="181" t="s">
        <v>1485</v>
      </c>
    </row>
    <row r="3676" spans="1:24" ht="18.75">
      <c r="A3676" s="139" t="s">
        <v>1223</v>
      </c>
      <c r="B3676" s="139" t="s">
        <v>1223</v>
      </c>
      <c r="C3676" s="139" t="s">
        <v>1223</v>
      </c>
      <c r="D3676" s="139" t="s">
        <v>1223</v>
      </c>
      <c r="E3676" s="139" t="s">
        <v>1223</v>
      </c>
      <c r="F3676" s="139" t="s">
        <v>1223</v>
      </c>
      <c r="G3676" s="139" t="s">
        <v>1223</v>
      </c>
      <c r="H3676" s="139" t="s">
        <v>1223</v>
      </c>
      <c r="I3676" s="139" t="s">
        <v>1223</v>
      </c>
      <c r="J3676" s="139" t="s">
        <v>1223</v>
      </c>
      <c r="K3676" s="139" t="s">
        <v>1223</v>
      </c>
      <c r="L3676" s="139" t="s">
        <v>1223</v>
      </c>
      <c r="M3676" s="139" t="s">
        <v>1223</v>
      </c>
      <c r="N3676" s="139" t="s">
        <v>1223</v>
      </c>
      <c r="O3676" s="139" t="s">
        <v>1223</v>
      </c>
      <c r="P3676" s="139" t="s">
        <v>1223</v>
      </c>
      <c r="Q3676" s="141" t="s">
        <v>1283</v>
      </c>
      <c r="T3676" s="185">
        <v>0</v>
      </c>
      <c r="U3676" s="183"/>
      <c r="V3676" s="181" t="s">
        <v>1486</v>
      </c>
    </row>
    <row r="3677" spans="1:24" ht="18.75">
      <c r="A3677" s="139" t="s">
        <v>1223</v>
      </c>
      <c r="B3677" s="139" t="s">
        <v>1223</v>
      </c>
      <c r="C3677" s="139" t="s">
        <v>1223</v>
      </c>
      <c r="D3677" s="139" t="s">
        <v>1223</v>
      </c>
      <c r="E3677" s="139" t="s">
        <v>1223</v>
      </c>
      <c r="F3677" s="139" t="s">
        <v>1223</v>
      </c>
      <c r="G3677" s="139" t="s">
        <v>1223</v>
      </c>
      <c r="H3677" s="139" t="s">
        <v>1223</v>
      </c>
      <c r="I3677" s="139" t="s">
        <v>1223</v>
      </c>
      <c r="J3677" s="139" t="s">
        <v>1223</v>
      </c>
      <c r="K3677" s="139" t="s">
        <v>1223</v>
      </c>
      <c r="L3677" s="139" t="s">
        <v>1223</v>
      </c>
      <c r="M3677" s="139" t="s">
        <v>1223</v>
      </c>
      <c r="N3677" s="139" t="s">
        <v>1223</v>
      </c>
      <c r="O3677" s="139" t="s">
        <v>1223</v>
      </c>
      <c r="P3677" s="139" t="s">
        <v>1223</v>
      </c>
      <c r="Q3677" s="141" t="s">
        <v>1284</v>
      </c>
      <c r="T3677" s="185">
        <v>0</v>
      </c>
      <c r="U3677" s="183"/>
      <c r="V3677" s="181" t="s">
        <v>1487</v>
      </c>
    </row>
    <row r="3678" spans="1:24" ht="18.75">
      <c r="A3678" s="139" t="s">
        <v>1223</v>
      </c>
      <c r="B3678" s="139" t="s">
        <v>1223</v>
      </c>
      <c r="C3678" s="139" t="s">
        <v>1223</v>
      </c>
      <c r="D3678" s="139" t="s">
        <v>1223</v>
      </c>
      <c r="E3678" s="139" t="s">
        <v>1223</v>
      </c>
      <c r="F3678" s="139" t="s">
        <v>1223</v>
      </c>
      <c r="G3678" s="139" t="s">
        <v>1223</v>
      </c>
      <c r="H3678" s="139" t="s">
        <v>1223</v>
      </c>
      <c r="I3678" s="139" t="s">
        <v>1223</v>
      </c>
      <c r="J3678" s="139" t="s">
        <v>1223</v>
      </c>
      <c r="K3678" s="139" t="s">
        <v>1223</v>
      </c>
      <c r="L3678" s="139" t="s">
        <v>1223</v>
      </c>
      <c r="M3678" s="139" t="s">
        <v>1223</v>
      </c>
      <c r="N3678" s="139" t="s">
        <v>1223</v>
      </c>
      <c r="O3678" s="139" t="s">
        <v>1223</v>
      </c>
      <c r="P3678" s="139" t="s">
        <v>1223</v>
      </c>
      <c r="Q3678" s="141" t="s">
        <v>1285</v>
      </c>
      <c r="T3678" s="185">
        <v>0</v>
      </c>
      <c r="U3678" s="183"/>
      <c r="V3678" s="181" t="s">
        <v>1488</v>
      </c>
    </row>
    <row r="3679" spans="1:24" ht="19.5" thickBot="1">
      <c r="A3679" s="139" t="s">
        <v>1223</v>
      </c>
      <c r="B3679" s="139" t="s">
        <v>1223</v>
      </c>
      <c r="C3679" s="139" t="s">
        <v>1223</v>
      </c>
      <c r="D3679" s="139" t="s">
        <v>1223</v>
      </c>
      <c r="E3679" s="139" t="s">
        <v>1223</v>
      </c>
      <c r="F3679" s="139" t="s">
        <v>1223</v>
      </c>
      <c r="G3679" s="139" t="s">
        <v>1223</v>
      </c>
      <c r="H3679" s="139" t="s">
        <v>1223</v>
      </c>
      <c r="I3679" s="139"/>
      <c r="J3679" s="139"/>
      <c r="K3679" s="139"/>
      <c r="L3679" s="139"/>
      <c r="M3679" s="139"/>
      <c r="N3679" s="139"/>
      <c r="O3679" s="139"/>
      <c r="P3679" s="139"/>
      <c r="Q3679" s="141" t="s">
        <v>1286</v>
      </c>
      <c r="T3679" s="186">
        <v>0</v>
      </c>
      <c r="U3679" s="183"/>
      <c r="V3679" s="181" t="s">
        <v>1489</v>
      </c>
    </row>
    <row r="3680" spans="1:24" ht="18.75">
      <c r="A3680" s="36" t="s">
        <v>277</v>
      </c>
      <c r="B3680" s="54">
        <f>B3141+1</f>
        <v>20</v>
      </c>
      <c r="C3680" s="36" t="s">
        <v>769</v>
      </c>
      <c r="D3680" s="36"/>
      <c r="E3680" s="36"/>
      <c r="F3680" s="36"/>
      <c r="G3680" s="36"/>
      <c r="H3680" s="36"/>
      <c r="I3680" s="36"/>
      <c r="J3680" s="36"/>
      <c r="K3680" s="36"/>
      <c r="L3680" s="36"/>
      <c r="M3680" s="36"/>
      <c r="N3680" s="36"/>
      <c r="O3680" s="36"/>
      <c r="P3680" s="36"/>
      <c r="T3680" s="187"/>
      <c r="U3680" s="187"/>
      <c r="V3680" s="187"/>
    </row>
    <row r="3681" spans="1:17" ht="18.75">
      <c r="A3681" s="95" t="s">
        <v>26</v>
      </c>
      <c r="B3681" s="95" t="s">
        <v>32</v>
      </c>
      <c r="C3681" s="95"/>
      <c r="D3681" s="95"/>
      <c r="E3681" s="96"/>
      <c r="F3681" s="96" t="s">
        <v>770</v>
      </c>
      <c r="G3681" s="96"/>
      <c r="H3681" s="110"/>
      <c r="I3681" s="110"/>
      <c r="K3681" s="40"/>
      <c r="L3681" s="40"/>
      <c r="M3681" s="40"/>
      <c r="N3681" s="40"/>
      <c r="O3681" s="40"/>
      <c r="P3681" s="40"/>
      <c r="Q3681" s="3"/>
    </row>
    <row r="3682" spans="1:17" ht="18.75">
      <c r="A3682" s="104">
        <v>0</v>
      </c>
      <c r="B3682" s="105">
        <v>0</v>
      </c>
      <c r="C3682" s="105">
        <v>0</v>
      </c>
      <c r="D3682" s="95" t="s">
        <v>32</v>
      </c>
      <c r="E3682" s="96"/>
      <c r="F3682" s="96" t="s">
        <v>771</v>
      </c>
      <c r="G3682" s="110"/>
      <c r="H3682" s="110"/>
      <c r="I3682" s="110"/>
      <c r="K3682" s="40"/>
      <c r="L3682" s="40"/>
      <c r="M3682" s="40"/>
      <c r="N3682" s="40"/>
      <c r="O3682" s="40"/>
      <c r="P3682" s="40"/>
      <c r="Q3682" s="3"/>
    </row>
    <row r="3683" spans="1:17" ht="18.75">
      <c r="A3683" s="106">
        <v>0</v>
      </c>
      <c r="B3683" s="107">
        <v>0</v>
      </c>
      <c r="C3683" s="107">
        <v>0</v>
      </c>
      <c r="D3683" s="95" t="s">
        <v>32</v>
      </c>
      <c r="E3683" s="96"/>
      <c r="F3683" s="96" t="s">
        <v>772</v>
      </c>
      <c r="G3683" s="110"/>
      <c r="H3683" s="110"/>
      <c r="I3683" s="110"/>
      <c r="K3683" s="40"/>
      <c r="L3683" s="40"/>
      <c r="M3683" s="40"/>
      <c r="N3683" s="40"/>
      <c r="O3683" s="40"/>
      <c r="P3683" s="40"/>
      <c r="Q3683" s="3"/>
    </row>
    <row r="3684" spans="1:17" ht="18.75">
      <c r="A3684" s="106">
        <v>0</v>
      </c>
      <c r="B3684" s="107">
        <v>0</v>
      </c>
      <c r="C3684" s="107">
        <v>0</v>
      </c>
      <c r="D3684" s="95" t="s">
        <v>32</v>
      </c>
      <c r="E3684" s="96"/>
      <c r="F3684" s="96" t="s">
        <v>773</v>
      </c>
      <c r="G3684" s="110"/>
      <c r="H3684" s="110"/>
      <c r="I3684" s="110"/>
      <c r="K3684" s="40"/>
      <c r="L3684" s="40"/>
      <c r="M3684" s="40"/>
      <c r="N3684" s="40"/>
      <c r="O3684" s="40"/>
      <c r="P3684" s="40"/>
      <c r="Q3684" s="3"/>
    </row>
    <row r="3685" spans="1:17" ht="18.75">
      <c r="A3685" s="106">
        <v>0</v>
      </c>
      <c r="B3685" s="107">
        <v>0</v>
      </c>
      <c r="C3685" s="107">
        <v>0</v>
      </c>
      <c r="D3685" s="95" t="s">
        <v>32</v>
      </c>
      <c r="E3685" s="96"/>
      <c r="F3685" s="96" t="s">
        <v>774</v>
      </c>
      <c r="G3685" s="96"/>
      <c r="H3685" s="110"/>
      <c r="I3685" s="110"/>
      <c r="K3685" s="40"/>
      <c r="L3685" s="40"/>
      <c r="M3685" s="40"/>
      <c r="N3685" s="40"/>
      <c r="O3685" s="40"/>
      <c r="P3685" s="40"/>
      <c r="Q3685" s="3"/>
    </row>
    <row r="3686" spans="1:17" ht="18.75">
      <c r="A3686" s="106">
        <v>0</v>
      </c>
      <c r="B3686" s="95" t="s">
        <v>32</v>
      </c>
      <c r="C3686" s="95"/>
      <c r="D3686" s="95"/>
      <c r="E3686" s="96"/>
      <c r="F3686" s="96" t="s">
        <v>47</v>
      </c>
      <c r="G3686" s="96"/>
      <c r="H3686" s="96"/>
      <c r="I3686" s="96"/>
      <c r="J3686" s="40"/>
      <c r="K3686" s="40"/>
      <c r="L3686" s="40"/>
      <c r="M3686" s="40"/>
      <c r="N3686" s="40"/>
      <c r="O3686" s="40"/>
      <c r="P3686" s="40"/>
      <c r="Q3686" s="3"/>
    </row>
    <row r="3687" spans="1:17" ht="18.75">
      <c r="A3687" s="106">
        <v>0</v>
      </c>
      <c r="B3687" s="95" t="s">
        <v>32</v>
      </c>
      <c r="C3687" s="95"/>
      <c r="D3687" s="95"/>
      <c r="E3687" s="96"/>
      <c r="F3687" s="96" t="s">
        <v>47</v>
      </c>
      <c r="G3687" s="96"/>
      <c r="H3687" s="96"/>
      <c r="I3687" s="96"/>
      <c r="J3687" s="40"/>
      <c r="K3687" s="40"/>
      <c r="L3687" s="40"/>
      <c r="M3687" s="40"/>
      <c r="N3687" s="40"/>
      <c r="O3687" s="40"/>
      <c r="P3687" s="40"/>
      <c r="Q3687" s="3"/>
    </row>
    <row r="3688" spans="1:17" ht="18.75">
      <c r="A3688" s="106">
        <v>0</v>
      </c>
      <c r="B3688" s="95" t="s">
        <v>32</v>
      </c>
      <c r="C3688" s="95"/>
      <c r="D3688" s="95"/>
      <c r="E3688" s="96"/>
      <c r="F3688" s="96" t="s">
        <v>47</v>
      </c>
      <c r="G3688" s="96"/>
      <c r="H3688" s="96"/>
      <c r="I3688" s="96"/>
      <c r="J3688" s="40"/>
      <c r="K3688" s="40"/>
      <c r="L3688" s="40"/>
      <c r="M3688" s="40"/>
      <c r="N3688" s="40"/>
      <c r="O3688" s="40"/>
      <c r="P3688" s="40"/>
      <c r="Q3688" s="3"/>
    </row>
    <row r="3689" spans="1:17" ht="18.75">
      <c r="A3689" s="106">
        <v>0</v>
      </c>
      <c r="B3689" s="95" t="s">
        <v>32</v>
      </c>
      <c r="C3689" s="95"/>
      <c r="D3689" s="95"/>
      <c r="E3689" s="96"/>
      <c r="F3689" s="96" t="s">
        <v>47</v>
      </c>
      <c r="G3689" s="96"/>
      <c r="H3689" s="96"/>
      <c r="I3689" s="96"/>
      <c r="J3689" s="40"/>
      <c r="K3689" s="40"/>
      <c r="L3689" s="40"/>
      <c r="M3689" s="40"/>
      <c r="N3689" s="40"/>
      <c r="O3689" s="40"/>
      <c r="P3689" s="40"/>
      <c r="Q3689" s="3"/>
    </row>
    <row r="3690" spans="1:17" ht="18.75">
      <c r="A3690" s="95" t="s">
        <v>26</v>
      </c>
      <c r="B3690" s="95" t="s">
        <v>32</v>
      </c>
      <c r="C3690" s="95"/>
      <c r="D3690" s="95"/>
      <c r="E3690" s="96"/>
      <c r="F3690" s="96" t="s">
        <v>775</v>
      </c>
      <c r="G3690" s="96"/>
      <c r="H3690" s="96"/>
      <c r="I3690" s="110"/>
      <c r="J3690" s="40"/>
      <c r="K3690" s="40"/>
      <c r="L3690" s="40"/>
      <c r="M3690" s="40"/>
      <c r="N3690" s="40"/>
      <c r="O3690" s="40"/>
      <c r="P3690" s="40"/>
      <c r="Q3690" s="3"/>
    </row>
    <row r="3691" spans="1:17" ht="18.75">
      <c r="A3691" s="104">
        <v>0</v>
      </c>
      <c r="B3691" s="105">
        <v>0</v>
      </c>
      <c r="C3691" s="105">
        <v>0</v>
      </c>
      <c r="D3691" s="95" t="s">
        <v>32</v>
      </c>
      <c r="E3691" s="96"/>
      <c r="F3691" s="96" t="s">
        <v>776</v>
      </c>
      <c r="G3691" s="110"/>
      <c r="H3691" s="110"/>
      <c r="I3691" s="110"/>
      <c r="J3691" s="40"/>
      <c r="K3691" s="40"/>
      <c r="L3691" s="40"/>
      <c r="M3691" s="40"/>
      <c r="N3691" s="40"/>
      <c r="O3691" s="40"/>
      <c r="P3691" s="40"/>
      <c r="Q3691" s="3"/>
    </row>
    <row r="3692" spans="1:17" ht="18.75">
      <c r="A3692" s="106">
        <v>0</v>
      </c>
      <c r="B3692" s="107">
        <v>0</v>
      </c>
      <c r="C3692" s="107">
        <v>0</v>
      </c>
      <c r="D3692" s="95" t="s">
        <v>32</v>
      </c>
      <c r="E3692" s="96"/>
      <c r="F3692" s="96" t="s">
        <v>777</v>
      </c>
      <c r="G3692" s="110"/>
      <c r="H3692" s="110"/>
      <c r="I3692" s="110"/>
      <c r="J3692" s="40"/>
      <c r="K3692" s="40"/>
      <c r="L3692" s="40"/>
      <c r="M3692" s="40"/>
      <c r="N3692" s="40"/>
      <c r="O3692" s="40"/>
      <c r="P3692" s="40"/>
      <c r="Q3692" s="3"/>
    </row>
    <row r="3693" spans="1:17" ht="18.75">
      <c r="A3693" s="106">
        <v>0</v>
      </c>
      <c r="B3693" s="95" t="s">
        <v>32</v>
      </c>
      <c r="C3693" s="95"/>
      <c r="D3693" s="95"/>
      <c r="E3693" s="96"/>
      <c r="F3693" s="96" t="s">
        <v>47</v>
      </c>
      <c r="G3693" s="96"/>
      <c r="H3693" s="96"/>
      <c r="I3693" s="96"/>
      <c r="J3693" s="40"/>
      <c r="K3693" s="40"/>
      <c r="L3693" s="40"/>
      <c r="M3693" s="40"/>
      <c r="N3693" s="40"/>
      <c r="O3693" s="40"/>
      <c r="P3693" s="40"/>
      <c r="Q3693" s="3"/>
    </row>
    <row r="3694" spans="1:17" ht="18.75">
      <c r="A3694" s="106">
        <v>0</v>
      </c>
      <c r="B3694" s="95" t="s">
        <v>32</v>
      </c>
      <c r="C3694" s="95"/>
      <c r="D3694" s="95"/>
      <c r="E3694" s="96"/>
      <c r="F3694" s="96" t="s">
        <v>47</v>
      </c>
      <c r="G3694" s="96"/>
      <c r="H3694" s="96"/>
      <c r="I3694" s="96"/>
      <c r="J3694" s="40"/>
      <c r="K3694" s="40"/>
      <c r="L3694" s="40"/>
      <c r="M3694" s="40"/>
      <c r="N3694" s="40"/>
      <c r="O3694" s="40"/>
      <c r="P3694" s="40"/>
      <c r="Q3694" s="3"/>
    </row>
    <row r="3695" spans="1:17" ht="18.75">
      <c r="A3695" s="95" t="s">
        <v>38</v>
      </c>
      <c r="B3695" s="95" t="s">
        <v>32</v>
      </c>
      <c r="C3695" s="108"/>
      <c r="D3695" s="95"/>
      <c r="E3695" s="96"/>
      <c r="F3695" s="96"/>
      <c r="G3695" s="96"/>
      <c r="H3695" s="96"/>
      <c r="I3695" s="96"/>
      <c r="J3695" s="40"/>
      <c r="K3695" s="40"/>
      <c r="L3695" s="40"/>
      <c r="M3695" s="40"/>
      <c r="N3695" s="40"/>
      <c r="O3695" s="40"/>
      <c r="P3695" s="40"/>
      <c r="Q3695" s="3"/>
    </row>
    <row r="3696" spans="1:17" ht="18.75">
      <c r="A3696" s="109" t="s">
        <v>778</v>
      </c>
      <c r="B3696" s="103"/>
      <c r="C3696" s="103"/>
      <c r="D3696" s="103"/>
      <c r="E3696" s="96"/>
      <c r="F3696" s="96"/>
      <c r="G3696" s="96"/>
      <c r="H3696" s="96"/>
      <c r="I3696" s="96"/>
      <c r="J3696" s="40"/>
      <c r="K3696" s="40"/>
      <c r="L3696" s="40"/>
      <c r="M3696" s="40"/>
      <c r="N3696" s="40"/>
      <c r="O3696" s="40"/>
      <c r="P3696" s="40"/>
      <c r="Q3696" s="3"/>
    </row>
    <row r="3697" spans="1:17" ht="18.75">
      <c r="A3697" s="104">
        <v>2594</v>
      </c>
      <c r="B3697" s="105">
        <v>2594</v>
      </c>
      <c r="C3697" s="105">
        <v>0</v>
      </c>
      <c r="D3697" s="105">
        <v>0</v>
      </c>
      <c r="E3697" s="97">
        <v>0</v>
      </c>
      <c r="F3697" s="98">
        <v>0</v>
      </c>
      <c r="G3697" s="98">
        <v>0</v>
      </c>
      <c r="H3697" s="98">
        <v>0</v>
      </c>
      <c r="I3697" s="96" t="s">
        <v>32</v>
      </c>
      <c r="J3697" s="40"/>
      <c r="K3697" s="40"/>
      <c r="L3697" s="40"/>
      <c r="M3697" s="40"/>
      <c r="N3697" s="40"/>
      <c r="O3697" s="40"/>
      <c r="P3697" s="40"/>
      <c r="Q3697" s="3"/>
    </row>
    <row r="3698" spans="1:17">
      <c r="A3698" s="36" t="s">
        <v>277</v>
      </c>
      <c r="B3698" s="54">
        <f>B3680+1</f>
        <v>21</v>
      </c>
      <c r="C3698" s="36" t="s">
        <v>779</v>
      </c>
      <c r="D3698" s="36"/>
      <c r="E3698" s="36"/>
      <c r="F3698" s="36"/>
      <c r="G3698" s="36"/>
      <c r="H3698" s="36"/>
      <c r="I3698" s="36"/>
      <c r="J3698" s="36"/>
      <c r="K3698" s="36"/>
      <c r="L3698" s="36"/>
      <c r="M3698" s="36"/>
      <c r="N3698" s="36"/>
      <c r="O3698" s="36"/>
      <c r="P3698" s="36"/>
    </row>
    <row r="3699" spans="1:17" ht="18.75">
      <c r="A3699" s="96" t="s">
        <v>26</v>
      </c>
      <c r="B3699" s="96" t="s">
        <v>32</v>
      </c>
      <c r="C3699" s="96"/>
      <c r="D3699" s="96"/>
      <c r="E3699" s="96"/>
      <c r="F3699" s="96" t="s">
        <v>780</v>
      </c>
      <c r="G3699" s="96"/>
      <c r="H3699" s="96"/>
      <c r="I3699" s="96"/>
      <c r="J3699" s="110"/>
      <c r="K3699" s="40"/>
      <c r="L3699" s="40"/>
      <c r="M3699" s="40"/>
      <c r="N3699" s="40"/>
      <c r="O3699" s="40"/>
      <c r="P3699" s="40"/>
      <c r="Q3699" s="3"/>
    </row>
    <row r="3700" spans="1:17" ht="18.75">
      <c r="A3700" s="97">
        <v>0</v>
      </c>
      <c r="B3700" s="98">
        <v>0</v>
      </c>
      <c r="C3700" s="98">
        <v>0</v>
      </c>
      <c r="D3700" s="96" t="s">
        <v>32</v>
      </c>
      <c r="E3700" s="96"/>
      <c r="F3700" s="96" t="s">
        <v>781</v>
      </c>
      <c r="G3700" s="110"/>
      <c r="H3700" s="110"/>
      <c r="I3700" s="110"/>
      <c r="J3700" s="110"/>
      <c r="K3700" s="40"/>
      <c r="L3700" s="40"/>
      <c r="M3700" s="40"/>
      <c r="N3700" s="40"/>
      <c r="O3700" s="40"/>
      <c r="P3700" s="40"/>
      <c r="Q3700" s="3"/>
    </row>
    <row r="3701" spans="1:17" ht="18.75">
      <c r="A3701" s="99">
        <v>0</v>
      </c>
      <c r="B3701" s="100">
        <v>0</v>
      </c>
      <c r="C3701" s="100">
        <v>0</v>
      </c>
      <c r="D3701" s="96" t="s">
        <v>32</v>
      </c>
      <c r="E3701" s="96"/>
      <c r="F3701" s="96" t="s">
        <v>782</v>
      </c>
      <c r="G3701" s="96"/>
      <c r="H3701" s="96"/>
      <c r="I3701" s="110"/>
      <c r="J3701" s="110"/>
      <c r="K3701" s="40"/>
      <c r="L3701" s="40"/>
      <c r="M3701" s="40"/>
      <c r="N3701" s="40"/>
      <c r="O3701" s="40"/>
      <c r="P3701" s="40"/>
      <c r="Q3701" s="3"/>
    </row>
    <row r="3702" spans="1:17" ht="18.75">
      <c r="A3702" s="99">
        <v>0</v>
      </c>
      <c r="B3702" s="96" t="s">
        <v>32</v>
      </c>
      <c r="C3702" s="96"/>
      <c r="D3702" s="96"/>
      <c r="E3702" s="96"/>
      <c r="F3702" s="96" t="s">
        <v>47</v>
      </c>
      <c r="G3702" s="96"/>
      <c r="H3702" s="96"/>
      <c r="I3702" s="96"/>
      <c r="J3702" s="96"/>
      <c r="K3702" s="40"/>
      <c r="L3702" s="40"/>
      <c r="M3702" s="40"/>
      <c r="N3702" s="40"/>
      <c r="O3702" s="40"/>
      <c r="P3702" s="40"/>
      <c r="Q3702" s="3"/>
    </row>
    <row r="3703" spans="1:17" ht="18.75">
      <c r="A3703" s="99">
        <v>0</v>
      </c>
      <c r="B3703" s="96" t="s">
        <v>32</v>
      </c>
      <c r="C3703" s="96"/>
      <c r="D3703" s="96"/>
      <c r="E3703" s="96"/>
      <c r="F3703" s="96" t="s">
        <v>47</v>
      </c>
      <c r="G3703" s="96"/>
      <c r="H3703" s="96"/>
      <c r="I3703" s="96"/>
      <c r="J3703" s="96"/>
      <c r="K3703" s="40"/>
      <c r="L3703" s="40"/>
      <c r="M3703" s="40"/>
      <c r="N3703" s="40"/>
      <c r="O3703" s="40"/>
      <c r="P3703" s="40"/>
      <c r="Q3703" s="3"/>
    </row>
    <row r="3704" spans="1:17" ht="18.75">
      <c r="A3704" s="96" t="s">
        <v>38</v>
      </c>
      <c r="B3704" s="96" t="s">
        <v>32</v>
      </c>
      <c r="C3704" s="101"/>
      <c r="D3704" s="96"/>
      <c r="E3704" s="96"/>
      <c r="F3704" s="96"/>
      <c r="G3704" s="96"/>
      <c r="H3704" s="96"/>
      <c r="I3704" s="96"/>
      <c r="J3704" s="96"/>
      <c r="K3704" s="40"/>
      <c r="L3704" s="40"/>
      <c r="M3704" s="40"/>
      <c r="N3704" s="40"/>
      <c r="O3704" s="40"/>
      <c r="P3704" s="40"/>
      <c r="Q3704" s="3"/>
    </row>
    <row r="3705" spans="1:17" ht="18.75">
      <c r="A3705" s="102" t="s">
        <v>783</v>
      </c>
      <c r="B3705" s="110"/>
      <c r="C3705" s="110"/>
      <c r="D3705" s="110"/>
      <c r="E3705" s="110"/>
      <c r="F3705" s="110"/>
      <c r="G3705" s="110"/>
      <c r="H3705" s="110"/>
      <c r="I3705" s="110"/>
      <c r="J3705" s="110"/>
      <c r="K3705" s="40"/>
      <c r="L3705" s="40"/>
      <c r="M3705" s="40"/>
      <c r="N3705" s="40"/>
      <c r="O3705" s="40"/>
      <c r="P3705" s="40"/>
      <c r="Q3705" s="3"/>
    </row>
    <row r="3706" spans="1:17" ht="18.75">
      <c r="A3706" s="97">
        <f>HEX2DEC(60)</f>
        <v>96</v>
      </c>
      <c r="B3706" s="97">
        <f>HEX2DEC("70")</f>
        <v>112</v>
      </c>
      <c r="C3706" s="97">
        <f>HEX2DEC("70")</f>
        <v>112</v>
      </c>
      <c r="D3706" s="97">
        <f>HEX2DEC("520")</f>
        <v>1312</v>
      </c>
      <c r="E3706" s="97">
        <f>HEX2DEC("520")</f>
        <v>1312</v>
      </c>
      <c r="F3706" s="97">
        <f>HEX2DEC(40)</f>
        <v>64</v>
      </c>
      <c r="G3706" s="97">
        <f t="shared" ref="G3706" si="87">HEX2DEC(40)</f>
        <v>64</v>
      </c>
      <c r="H3706" s="97">
        <f>HEX2DEC(30)</f>
        <v>48</v>
      </c>
      <c r="I3706" s="97">
        <f>HEX2DEC(30)</f>
        <v>48</v>
      </c>
      <c r="J3706" s="96" t="s">
        <v>32</v>
      </c>
      <c r="K3706" s="40"/>
      <c r="L3706" s="40"/>
      <c r="M3706" s="40"/>
      <c r="N3706" s="40"/>
      <c r="O3706" s="40"/>
      <c r="P3706" s="40"/>
      <c r="Q3706" s="3"/>
    </row>
    <row r="3707" spans="1:17" ht="18.75">
      <c r="A3707" s="99">
        <v>0</v>
      </c>
      <c r="B3707" s="96" t="s">
        <v>32</v>
      </c>
      <c r="C3707" s="96"/>
      <c r="D3707" s="96"/>
      <c r="E3707" s="96"/>
      <c r="F3707" s="96"/>
      <c r="G3707" s="96"/>
      <c r="H3707" s="96"/>
      <c r="I3707" s="96"/>
      <c r="J3707" s="96"/>
      <c r="K3707" s="40"/>
      <c r="L3707" s="40"/>
      <c r="M3707" s="40"/>
      <c r="N3707" s="40"/>
      <c r="O3707" s="40"/>
      <c r="P3707" s="40"/>
      <c r="Q3707" s="3"/>
    </row>
    <row r="3708" spans="1:17" ht="18.75">
      <c r="A3708" s="99">
        <v>0</v>
      </c>
      <c r="B3708" s="96" t="s">
        <v>32</v>
      </c>
      <c r="L3708" s="40"/>
      <c r="M3708" s="40"/>
      <c r="N3708" s="40"/>
      <c r="O3708" s="40"/>
      <c r="P3708" s="40"/>
      <c r="Q3708" s="3"/>
    </row>
    <row r="3709" spans="1:17" ht="18.75">
      <c r="A3709" s="99">
        <v>0</v>
      </c>
      <c r="B3709" s="96" t="s">
        <v>32</v>
      </c>
      <c r="C3709" s="96"/>
      <c r="D3709" s="96"/>
      <c r="N3709" s="40"/>
      <c r="O3709" s="40"/>
      <c r="P3709" s="40"/>
      <c r="Q3709" s="3"/>
    </row>
    <row r="3710" spans="1:17" ht="18.75">
      <c r="A3710" s="99">
        <v>0</v>
      </c>
      <c r="B3710" s="96" t="s">
        <v>32</v>
      </c>
      <c r="C3710" s="96"/>
      <c r="D3710" s="96"/>
      <c r="E3710" s="96"/>
      <c r="F3710" s="96"/>
      <c r="G3710" s="96"/>
      <c r="H3710" s="96"/>
      <c r="I3710" s="96"/>
      <c r="J3710" s="96"/>
      <c r="K3710" s="40"/>
      <c r="L3710" s="40"/>
      <c r="M3710" s="40"/>
      <c r="N3710" s="40"/>
      <c r="O3710" s="40"/>
      <c r="P3710" s="40"/>
      <c r="Q3710" s="3"/>
    </row>
    <row r="3711" spans="1:17" ht="18.75">
      <c r="A3711" s="99">
        <v>0</v>
      </c>
      <c r="B3711" s="96" t="s">
        <v>32</v>
      </c>
      <c r="C3711" s="96"/>
      <c r="D3711" s="96"/>
      <c r="E3711" s="96"/>
      <c r="F3711" s="96"/>
      <c r="G3711" s="96"/>
      <c r="H3711" s="96"/>
      <c r="I3711" s="96"/>
      <c r="J3711" s="96"/>
      <c r="K3711" s="40"/>
      <c r="L3711" s="40"/>
      <c r="M3711" s="40"/>
      <c r="N3711" s="40"/>
      <c r="O3711" s="40"/>
      <c r="P3711" s="40"/>
      <c r="Q3711" s="3"/>
    </row>
    <row r="3712" spans="1:17" ht="18.75">
      <c r="A3712" s="99">
        <v>0</v>
      </c>
      <c r="B3712" s="96" t="s">
        <v>32</v>
      </c>
      <c r="C3712" s="96"/>
      <c r="D3712" s="96"/>
      <c r="E3712" s="96"/>
      <c r="F3712" s="96"/>
      <c r="G3712" s="96"/>
      <c r="H3712" s="96"/>
      <c r="I3712" s="96"/>
      <c r="J3712" s="96"/>
      <c r="K3712" s="40"/>
      <c r="L3712" s="40"/>
      <c r="M3712" s="40"/>
      <c r="N3712" s="40"/>
      <c r="O3712" s="40"/>
      <c r="P3712" s="40"/>
      <c r="Q3712" s="3"/>
    </row>
    <row r="3713" spans="1:19" ht="18.75">
      <c r="A3713" s="99">
        <v>0</v>
      </c>
      <c r="B3713" s="96" t="s">
        <v>32</v>
      </c>
      <c r="C3713" s="96"/>
      <c r="D3713" s="96"/>
      <c r="E3713" s="96"/>
      <c r="F3713" s="96"/>
      <c r="G3713" s="96"/>
      <c r="H3713" s="96"/>
      <c r="I3713" s="96"/>
      <c r="J3713" s="96"/>
      <c r="K3713" s="40"/>
      <c r="L3713" s="40"/>
      <c r="M3713" s="40"/>
      <c r="N3713" s="40"/>
      <c r="O3713" s="40"/>
      <c r="P3713" s="40"/>
      <c r="Q3713" s="3"/>
    </row>
    <row r="3714" spans="1:19">
      <c r="A3714" s="36" t="s">
        <v>277</v>
      </c>
      <c r="B3714" s="54">
        <f>B3698+1</f>
        <v>22</v>
      </c>
      <c r="C3714" s="36" t="s">
        <v>784</v>
      </c>
      <c r="D3714" s="36"/>
      <c r="E3714" s="36"/>
      <c r="F3714" s="36"/>
      <c r="G3714" s="36"/>
      <c r="H3714" s="36"/>
      <c r="I3714" s="36"/>
      <c r="J3714" s="36"/>
      <c r="K3714" s="36"/>
      <c r="L3714" s="36"/>
      <c r="M3714" s="36"/>
      <c r="N3714" s="36"/>
      <c r="O3714" s="36"/>
      <c r="P3714" s="36"/>
    </row>
    <row r="3715" spans="1:19" ht="18.75">
      <c r="A3715" s="96" t="s">
        <v>26</v>
      </c>
      <c r="B3715" s="96" t="s">
        <v>32</v>
      </c>
      <c r="C3715" s="96"/>
      <c r="D3715" s="96"/>
      <c r="E3715" s="96"/>
      <c r="F3715" s="96" t="s">
        <v>785</v>
      </c>
      <c r="G3715" s="96"/>
      <c r="H3715" s="96"/>
      <c r="I3715" s="110"/>
      <c r="J3715" s="40"/>
      <c r="K3715" s="40"/>
      <c r="L3715" s="40"/>
      <c r="M3715" s="40"/>
      <c r="N3715" s="40"/>
      <c r="O3715" s="40"/>
      <c r="P3715" s="40"/>
      <c r="Q3715" s="3"/>
    </row>
    <row r="3716" spans="1:19" ht="18.75">
      <c r="A3716" s="97">
        <v>0</v>
      </c>
      <c r="B3716" s="98">
        <v>0</v>
      </c>
      <c r="C3716" s="98">
        <v>0</v>
      </c>
      <c r="D3716" s="96" t="s">
        <v>32</v>
      </c>
      <c r="E3716" s="96"/>
      <c r="F3716" s="96" t="s">
        <v>786</v>
      </c>
      <c r="G3716" s="110"/>
      <c r="H3716" s="110"/>
      <c r="I3716" s="110"/>
      <c r="J3716" s="40"/>
      <c r="K3716" s="40"/>
      <c r="L3716" s="40"/>
      <c r="M3716" s="40"/>
      <c r="N3716" s="40"/>
      <c r="O3716" s="40"/>
      <c r="P3716" s="40"/>
      <c r="Q3716" s="3"/>
    </row>
    <row r="3717" spans="1:19" ht="18.75">
      <c r="A3717" s="99">
        <v>0</v>
      </c>
      <c r="B3717" s="100">
        <v>0</v>
      </c>
      <c r="C3717" s="100">
        <v>0</v>
      </c>
      <c r="D3717" s="96" t="s">
        <v>32</v>
      </c>
      <c r="E3717" s="96"/>
      <c r="F3717" s="96" t="s">
        <v>787</v>
      </c>
      <c r="G3717" s="110"/>
      <c r="H3717" s="110"/>
      <c r="I3717" s="110"/>
      <c r="J3717" s="40"/>
      <c r="K3717" s="40"/>
      <c r="L3717" s="40"/>
      <c r="M3717" s="40"/>
      <c r="N3717" s="40"/>
      <c r="O3717" s="40"/>
      <c r="P3717" s="40"/>
      <c r="Q3717" s="3"/>
    </row>
    <row r="3718" spans="1:19" ht="18.75">
      <c r="A3718" s="99">
        <v>0</v>
      </c>
      <c r="B3718" s="96" t="s">
        <v>32</v>
      </c>
      <c r="C3718" s="96"/>
      <c r="D3718" s="96"/>
      <c r="E3718" s="96"/>
      <c r="F3718" s="96" t="s">
        <v>47</v>
      </c>
      <c r="G3718" s="96"/>
      <c r="H3718" s="96"/>
      <c r="I3718" s="96"/>
      <c r="J3718" s="40"/>
      <c r="K3718" s="40"/>
      <c r="L3718" s="40"/>
      <c r="M3718" s="40"/>
      <c r="N3718" s="40"/>
      <c r="O3718" s="40"/>
      <c r="P3718" s="40"/>
      <c r="Q3718" s="3"/>
    </row>
    <row r="3719" spans="1:19" ht="18.75">
      <c r="A3719" s="99">
        <v>0</v>
      </c>
      <c r="B3719" s="96" t="s">
        <v>32</v>
      </c>
      <c r="C3719" s="96"/>
      <c r="D3719" s="96"/>
      <c r="E3719" s="96"/>
      <c r="F3719" s="96" t="s">
        <v>47</v>
      </c>
      <c r="G3719" s="96"/>
      <c r="H3719" s="96"/>
      <c r="I3719" s="96"/>
      <c r="J3719" s="40"/>
      <c r="K3719" s="40"/>
      <c r="L3719" s="40"/>
      <c r="M3719" s="40"/>
      <c r="N3719" s="40"/>
      <c r="O3719" s="40"/>
      <c r="P3719" s="40"/>
      <c r="Q3719" s="3"/>
    </row>
    <row r="3720" spans="1:19" ht="18.75">
      <c r="A3720" s="96" t="s">
        <v>38</v>
      </c>
      <c r="B3720" s="96" t="s">
        <v>32</v>
      </c>
      <c r="C3720" s="101"/>
      <c r="D3720" s="96"/>
      <c r="E3720" s="96"/>
      <c r="F3720" s="96"/>
      <c r="G3720" s="96"/>
      <c r="H3720" s="96"/>
      <c r="I3720" s="96"/>
      <c r="J3720" s="40"/>
      <c r="K3720" s="40"/>
      <c r="L3720" s="40"/>
      <c r="M3720" s="40"/>
      <c r="N3720" s="40"/>
      <c r="O3720" s="40"/>
      <c r="P3720" s="40"/>
      <c r="Q3720" s="3"/>
    </row>
    <row r="3721" spans="1:19" ht="18.75">
      <c r="A3721" s="102" t="s">
        <v>788</v>
      </c>
      <c r="B3721" s="102"/>
      <c r="C3721" s="102"/>
      <c r="D3721" s="96"/>
      <c r="E3721" s="96"/>
      <c r="F3721" s="96"/>
      <c r="G3721" s="96"/>
      <c r="H3721" s="96"/>
      <c r="I3721" s="110"/>
      <c r="J3721" s="40"/>
      <c r="K3721" s="40"/>
      <c r="L3721" s="40"/>
      <c r="M3721" s="40"/>
      <c r="N3721" s="40"/>
      <c r="O3721" s="40"/>
      <c r="P3721" s="40"/>
      <c r="Q3721" s="3"/>
    </row>
    <row r="3722" spans="1:19" ht="18.75">
      <c r="A3722" s="6">
        <f>HEX2DEC(42)</f>
        <v>66</v>
      </c>
      <c r="B3722" s="98">
        <v>0</v>
      </c>
      <c r="C3722" s="98">
        <v>0</v>
      </c>
      <c r="D3722" s="98">
        <v>0</v>
      </c>
      <c r="E3722" s="98">
        <v>0</v>
      </c>
      <c r="F3722" s="98">
        <v>0</v>
      </c>
      <c r="G3722" s="98">
        <v>0</v>
      </c>
      <c r="H3722" s="98">
        <v>0</v>
      </c>
      <c r="I3722" s="96" t="s">
        <v>32</v>
      </c>
      <c r="J3722" s="40"/>
      <c r="K3722" s="40"/>
      <c r="L3722" s="40"/>
      <c r="M3722" s="40"/>
      <c r="N3722" s="40"/>
      <c r="O3722" s="40"/>
      <c r="P3722" s="40"/>
      <c r="Q3722" s="3"/>
    </row>
    <row r="3723" spans="1:19">
      <c r="A3723" s="36" t="s">
        <v>277</v>
      </c>
      <c r="B3723" s="54">
        <f>B3714+1</f>
        <v>23</v>
      </c>
      <c r="C3723" s="36" t="s">
        <v>789</v>
      </c>
      <c r="D3723" s="36"/>
      <c r="E3723" s="36"/>
      <c r="F3723" s="36"/>
      <c r="G3723" s="36"/>
      <c r="H3723" s="36"/>
      <c r="I3723" s="36"/>
      <c r="J3723" s="36"/>
      <c r="K3723" s="36"/>
      <c r="L3723" s="36"/>
      <c r="M3723" s="36"/>
      <c r="N3723" s="36"/>
      <c r="O3723" s="36"/>
      <c r="P3723" s="36"/>
    </row>
    <row r="3724" spans="1:19" ht="18.75">
      <c r="A3724" s="96" t="s">
        <v>26</v>
      </c>
      <c r="B3724" s="96" t="s">
        <v>32</v>
      </c>
      <c r="C3724" s="40"/>
      <c r="D3724" s="40"/>
      <c r="E3724" s="40"/>
      <c r="F3724" s="40"/>
      <c r="G3724" s="40"/>
      <c r="H3724" s="40"/>
      <c r="I3724" s="40"/>
      <c r="J3724" s="40"/>
      <c r="K3724" s="40"/>
      <c r="L3724" s="40"/>
      <c r="M3724" s="40"/>
      <c r="N3724" s="40"/>
      <c r="O3724" s="40"/>
      <c r="P3724" s="40"/>
      <c r="Q3724" s="3"/>
      <c r="R3724" s="3"/>
      <c r="S3724" s="3"/>
    </row>
    <row r="3725" spans="1:19" ht="18.75">
      <c r="A3725" s="102" t="s">
        <v>1460</v>
      </c>
      <c r="B3725" s="110"/>
      <c r="C3725" s="40"/>
      <c r="D3725" s="40"/>
      <c r="E3725" s="40"/>
      <c r="F3725" s="40"/>
      <c r="G3725" s="40"/>
      <c r="H3725" s="40"/>
      <c r="I3725" s="40"/>
      <c r="J3725" s="40"/>
      <c r="K3725" s="40"/>
      <c r="L3725" s="40"/>
      <c r="M3725" s="40"/>
      <c r="N3725" s="40"/>
      <c r="O3725" s="40"/>
      <c r="P3725" s="40"/>
      <c r="Q3725" s="3"/>
      <c r="R3725" s="3"/>
      <c r="S3725" s="3"/>
    </row>
    <row r="3726" spans="1:19" ht="18.75">
      <c r="A3726" s="97">
        <f>HEX2DEC(912)</f>
        <v>2322</v>
      </c>
      <c r="B3726" s="110"/>
      <c r="C3726" s="40"/>
      <c r="D3726" s="40"/>
      <c r="E3726" s="40"/>
      <c r="F3726" s="40"/>
      <c r="G3726" s="40"/>
      <c r="H3726" s="40"/>
      <c r="I3726" s="40"/>
      <c r="J3726" s="40"/>
      <c r="K3726" s="40"/>
      <c r="L3726" s="40"/>
      <c r="M3726" s="40"/>
      <c r="N3726" s="40"/>
      <c r="O3726" s="40"/>
      <c r="P3726" s="40"/>
      <c r="Q3726" s="3"/>
      <c r="R3726" s="3"/>
      <c r="S3726" s="3"/>
    </row>
    <row r="3727" spans="1:19" ht="18.75">
      <c r="A3727" s="99">
        <v>0</v>
      </c>
      <c r="B3727" s="96" t="s">
        <v>32</v>
      </c>
      <c r="C3727" s="40"/>
      <c r="D3727" s="40"/>
      <c r="E3727" s="40"/>
      <c r="F3727" s="40"/>
      <c r="G3727" s="40"/>
      <c r="H3727" s="40"/>
      <c r="I3727" s="40"/>
      <c r="J3727" s="40"/>
      <c r="K3727" s="40"/>
      <c r="L3727" s="40"/>
      <c r="M3727" s="40"/>
      <c r="N3727" s="40"/>
      <c r="O3727" s="40"/>
      <c r="P3727" s="40"/>
      <c r="Q3727" s="3"/>
      <c r="R3727" s="3"/>
      <c r="S3727" s="3"/>
    </row>
    <row r="3728" spans="1:19" ht="18.75">
      <c r="A3728" s="99">
        <v>0</v>
      </c>
      <c r="B3728" s="96" t="s">
        <v>32</v>
      </c>
      <c r="C3728" s="40"/>
      <c r="D3728" s="40"/>
      <c r="E3728" s="40"/>
      <c r="F3728" s="40"/>
      <c r="G3728" s="40"/>
      <c r="H3728" s="40"/>
      <c r="I3728" s="40"/>
      <c r="J3728" s="40"/>
      <c r="K3728" s="40"/>
      <c r="L3728" s="40"/>
      <c r="M3728" s="40"/>
      <c r="N3728" s="40"/>
      <c r="O3728" s="40"/>
      <c r="P3728" s="40"/>
      <c r="Q3728" s="3"/>
      <c r="R3728" s="3"/>
      <c r="S3728" s="3"/>
    </row>
    <row r="3729" spans="1:19" ht="18.75">
      <c r="A3729" s="99">
        <v>0</v>
      </c>
      <c r="B3729" s="96" t="s">
        <v>32</v>
      </c>
      <c r="C3729" s="40"/>
      <c r="D3729" s="40"/>
      <c r="E3729" s="40"/>
      <c r="F3729" s="40"/>
      <c r="G3729" s="40"/>
      <c r="H3729" s="40"/>
      <c r="I3729" s="40"/>
      <c r="J3729" s="40"/>
      <c r="K3729" s="40"/>
      <c r="L3729" s="40"/>
      <c r="M3729" s="40"/>
      <c r="N3729" s="40"/>
      <c r="O3729" s="40"/>
      <c r="P3729" s="40"/>
      <c r="Q3729" s="3"/>
      <c r="R3729" s="3"/>
      <c r="S3729" s="3"/>
    </row>
    <row r="3730" spans="1:19" ht="18.75">
      <c r="A3730" s="99">
        <v>0</v>
      </c>
      <c r="B3730" s="96" t="s">
        <v>32</v>
      </c>
      <c r="C3730" s="40"/>
      <c r="D3730" s="40"/>
      <c r="E3730" s="40"/>
      <c r="F3730" s="40"/>
      <c r="G3730" s="40"/>
      <c r="H3730" s="40"/>
      <c r="I3730" s="40"/>
      <c r="J3730" s="40"/>
      <c r="K3730" s="40"/>
      <c r="L3730" s="40"/>
      <c r="M3730" s="40"/>
      <c r="N3730" s="40"/>
      <c r="O3730" s="40"/>
      <c r="P3730" s="40"/>
      <c r="Q3730" s="3"/>
      <c r="R3730" s="3"/>
      <c r="S3730" s="3"/>
    </row>
    <row r="3731" spans="1:19" ht="18.75">
      <c r="A3731" s="99">
        <v>0</v>
      </c>
      <c r="B3731" s="96" t="s">
        <v>32</v>
      </c>
      <c r="C3731" s="40"/>
      <c r="D3731" s="40"/>
      <c r="E3731" s="40"/>
      <c r="F3731" s="40"/>
      <c r="G3731" s="40"/>
      <c r="H3731" s="40"/>
      <c r="I3731" s="40"/>
      <c r="J3731" s="40"/>
      <c r="K3731" s="40"/>
      <c r="L3731" s="40"/>
      <c r="M3731" s="40"/>
      <c r="N3731" s="40"/>
      <c r="O3731" s="40"/>
      <c r="P3731" s="40"/>
      <c r="Q3731" s="3"/>
      <c r="R3731" s="3"/>
      <c r="S3731" s="3"/>
    </row>
    <row r="3732" spans="1:19" ht="18.75">
      <c r="A3732" s="99">
        <v>0</v>
      </c>
      <c r="B3732" s="96" t="s">
        <v>32</v>
      </c>
      <c r="C3732" s="40"/>
      <c r="D3732" s="40"/>
      <c r="E3732" s="40"/>
      <c r="F3732" s="40"/>
      <c r="G3732" s="40"/>
      <c r="H3732" s="40"/>
      <c r="I3732" s="40"/>
      <c r="J3732" s="40"/>
      <c r="K3732" s="40"/>
      <c r="L3732" s="40"/>
      <c r="M3732" s="40"/>
      <c r="N3732" s="40"/>
      <c r="O3732" s="40"/>
      <c r="P3732" s="40"/>
      <c r="Q3732" s="3"/>
      <c r="R3732" s="3"/>
      <c r="S3732" s="3"/>
    </row>
    <row r="3733" spans="1:19" ht="18.75">
      <c r="A3733" s="99">
        <v>0</v>
      </c>
      <c r="B3733" s="96" t="s">
        <v>32</v>
      </c>
      <c r="C3733" s="40"/>
      <c r="D3733" s="40"/>
      <c r="E3733" s="40"/>
      <c r="F3733" s="40"/>
      <c r="G3733" s="40"/>
      <c r="H3733" s="40"/>
      <c r="I3733" s="40"/>
      <c r="J3733" s="40"/>
      <c r="K3733" s="40"/>
      <c r="L3733" s="40"/>
      <c r="M3733" s="40"/>
      <c r="N3733" s="40"/>
      <c r="O3733" s="40"/>
      <c r="P3733" s="40"/>
      <c r="Q3733" s="3"/>
      <c r="R3733" s="3"/>
      <c r="S3733" s="3"/>
    </row>
    <row r="3734" spans="1:19">
      <c r="A3734" s="36" t="s">
        <v>277</v>
      </c>
      <c r="B3734" s="54">
        <f>B3723+1</f>
        <v>24</v>
      </c>
      <c r="C3734" s="36" t="s">
        <v>790</v>
      </c>
      <c r="D3734" s="36"/>
      <c r="E3734" s="36"/>
      <c r="F3734" s="36"/>
      <c r="G3734" s="36"/>
      <c r="H3734" s="36"/>
      <c r="I3734" s="36"/>
      <c r="J3734" s="36"/>
      <c r="K3734" s="36"/>
      <c r="L3734" s="36"/>
      <c r="M3734" s="36"/>
      <c r="N3734" s="36"/>
      <c r="O3734" s="36"/>
      <c r="P3734" s="36"/>
    </row>
    <row r="3735" spans="1:19">
      <c r="A3735" s="36" t="s">
        <v>277</v>
      </c>
      <c r="B3735" s="54">
        <f t="shared" ref="B3735:B3805" si="88">B3734+1</f>
        <v>25</v>
      </c>
      <c r="C3735" s="36" t="s">
        <v>791</v>
      </c>
      <c r="D3735" s="36"/>
      <c r="E3735" s="36"/>
      <c r="F3735" s="36"/>
      <c r="G3735" s="36"/>
      <c r="H3735" s="36"/>
      <c r="I3735" s="36"/>
      <c r="J3735" s="36"/>
      <c r="K3735" s="36"/>
      <c r="L3735" s="36"/>
      <c r="M3735" s="36"/>
      <c r="N3735" s="36"/>
      <c r="O3735" s="36"/>
      <c r="P3735" s="36"/>
    </row>
    <row r="3736" spans="1:19" ht="18.75">
      <c r="A3736" s="96" t="s">
        <v>2</v>
      </c>
      <c r="B3736" s="96" t="s">
        <v>32</v>
      </c>
      <c r="C3736" s="96"/>
      <c r="D3736" s="96"/>
      <c r="E3736" s="96"/>
      <c r="F3736" s="96" t="s">
        <v>792</v>
      </c>
      <c r="G3736" s="96"/>
      <c r="H3736" s="96"/>
      <c r="I3736" s="96"/>
      <c r="J3736" s="96"/>
      <c r="K3736" s="110"/>
      <c r="L3736" s="40"/>
      <c r="M3736" s="40"/>
      <c r="N3736" s="40"/>
      <c r="O3736" s="40"/>
      <c r="P3736" s="40"/>
      <c r="Q3736" s="3"/>
    </row>
    <row r="3737" spans="1:19" ht="18.75">
      <c r="A3737" s="97">
        <v>0</v>
      </c>
      <c r="B3737" s="98">
        <v>0</v>
      </c>
      <c r="C3737" s="98">
        <v>0</v>
      </c>
      <c r="D3737" s="96" t="s">
        <v>32</v>
      </c>
      <c r="E3737" s="96"/>
      <c r="F3737" s="96" t="s">
        <v>793</v>
      </c>
      <c r="G3737" s="110"/>
      <c r="H3737" s="110"/>
      <c r="I3737" s="110"/>
      <c r="J3737" s="110"/>
      <c r="K3737" s="110"/>
      <c r="L3737" s="40"/>
      <c r="M3737" s="40"/>
      <c r="N3737" s="40"/>
      <c r="O3737" s="40"/>
      <c r="P3737" s="40"/>
      <c r="Q3737" s="3"/>
    </row>
    <row r="3738" spans="1:19" ht="18.75">
      <c r="A3738" s="99">
        <v>0</v>
      </c>
      <c r="B3738" s="100">
        <v>0</v>
      </c>
      <c r="C3738" s="100">
        <v>0</v>
      </c>
      <c r="D3738" s="96" t="s">
        <v>32</v>
      </c>
      <c r="E3738" s="96"/>
      <c r="F3738" s="96" t="s">
        <v>786</v>
      </c>
      <c r="G3738" s="96"/>
      <c r="H3738" s="96"/>
      <c r="I3738" s="110"/>
      <c r="J3738" s="110"/>
      <c r="K3738" s="110"/>
      <c r="L3738" s="40"/>
      <c r="M3738" s="40"/>
      <c r="N3738" s="40"/>
      <c r="O3738" s="40"/>
      <c r="P3738" s="40"/>
      <c r="Q3738" s="3"/>
    </row>
    <row r="3739" spans="1:19" ht="18.75">
      <c r="A3739" s="99">
        <v>0</v>
      </c>
      <c r="B3739" s="100">
        <v>0</v>
      </c>
      <c r="C3739" s="100">
        <v>0</v>
      </c>
      <c r="D3739" s="96" t="s">
        <v>32</v>
      </c>
      <c r="E3739" s="96"/>
      <c r="F3739" s="96" t="s">
        <v>794</v>
      </c>
      <c r="G3739" s="96"/>
      <c r="H3739" s="110"/>
      <c r="I3739" s="110"/>
      <c r="J3739" s="110"/>
      <c r="K3739" s="110"/>
      <c r="L3739" s="40"/>
      <c r="M3739" s="40"/>
      <c r="N3739" s="40"/>
      <c r="O3739" s="40"/>
      <c r="P3739" s="40"/>
      <c r="Q3739" s="3"/>
    </row>
    <row r="3740" spans="1:19" ht="18.75">
      <c r="A3740" s="99">
        <v>0</v>
      </c>
      <c r="B3740" s="100">
        <v>0</v>
      </c>
      <c r="C3740" s="100">
        <v>0</v>
      </c>
      <c r="D3740" s="96" t="s">
        <v>32</v>
      </c>
      <c r="E3740" s="96"/>
      <c r="F3740" s="96" t="s">
        <v>774</v>
      </c>
      <c r="G3740" s="96"/>
      <c r="H3740" s="96"/>
      <c r="I3740" s="96"/>
      <c r="J3740" s="110"/>
      <c r="K3740" s="110"/>
      <c r="L3740" s="40"/>
      <c r="M3740" s="40"/>
      <c r="N3740" s="40"/>
      <c r="O3740" s="40"/>
      <c r="P3740" s="40"/>
      <c r="Q3740" s="3"/>
    </row>
    <row r="3741" spans="1:19" ht="18.75">
      <c r="A3741" s="99">
        <v>0</v>
      </c>
      <c r="B3741" s="96" t="s">
        <v>32</v>
      </c>
      <c r="C3741" s="96"/>
      <c r="D3741" s="96"/>
      <c r="E3741" s="96"/>
      <c r="F3741" s="96" t="s">
        <v>11</v>
      </c>
      <c r="G3741" s="96"/>
      <c r="H3741" s="96"/>
      <c r="I3741" s="96"/>
      <c r="J3741" s="96"/>
      <c r="K3741" s="96"/>
      <c r="L3741" s="40"/>
      <c r="M3741" s="40"/>
      <c r="N3741" s="40"/>
      <c r="O3741" s="40"/>
      <c r="P3741" s="40"/>
      <c r="Q3741" s="3"/>
    </row>
    <row r="3742" spans="1:19" ht="18.75">
      <c r="A3742" s="99">
        <v>0</v>
      </c>
      <c r="B3742" s="96" t="s">
        <v>32</v>
      </c>
      <c r="C3742" s="96"/>
      <c r="D3742" s="96"/>
      <c r="E3742" s="96"/>
      <c r="F3742" s="96" t="s">
        <v>11</v>
      </c>
      <c r="G3742" s="96"/>
      <c r="H3742" s="96"/>
      <c r="I3742" s="96"/>
      <c r="J3742" s="96"/>
      <c r="K3742" s="96"/>
      <c r="L3742" s="40"/>
      <c r="M3742" s="40"/>
      <c r="N3742" s="40"/>
      <c r="O3742" s="40"/>
      <c r="P3742" s="40"/>
      <c r="Q3742" s="3"/>
    </row>
    <row r="3743" spans="1:19" ht="18.75">
      <c r="A3743" s="99">
        <v>0</v>
      </c>
      <c r="B3743" s="96" t="s">
        <v>32</v>
      </c>
      <c r="C3743" s="96"/>
      <c r="D3743" s="96"/>
      <c r="E3743" s="96"/>
      <c r="F3743" s="96" t="s">
        <v>11</v>
      </c>
      <c r="G3743" s="96"/>
      <c r="H3743" s="96"/>
      <c r="I3743" s="96"/>
      <c r="J3743" s="96"/>
      <c r="K3743" s="96"/>
      <c r="L3743" s="40"/>
      <c r="M3743" s="40"/>
      <c r="N3743" s="40"/>
      <c r="O3743" s="40"/>
      <c r="P3743" s="40"/>
      <c r="Q3743" s="3"/>
    </row>
    <row r="3744" spans="1:19" ht="18.75">
      <c r="A3744" s="99">
        <v>0</v>
      </c>
      <c r="B3744" s="96" t="s">
        <v>32</v>
      </c>
      <c r="C3744" s="96"/>
      <c r="D3744" s="96"/>
      <c r="E3744" s="96"/>
      <c r="F3744" s="96" t="s">
        <v>11</v>
      </c>
      <c r="G3744" s="96"/>
      <c r="H3744" s="96"/>
      <c r="I3744" s="96"/>
      <c r="J3744" s="96"/>
      <c r="K3744" s="96"/>
      <c r="L3744" s="181"/>
      <c r="M3744" s="181"/>
      <c r="N3744" s="181"/>
      <c r="O3744" s="181"/>
      <c r="P3744" s="181"/>
      <c r="Q3744" s="3"/>
    </row>
    <row r="3745" spans="1:20" ht="18.75">
      <c r="A3745" s="96" t="s">
        <v>2</v>
      </c>
      <c r="B3745" s="96" t="s">
        <v>32</v>
      </c>
      <c r="C3745" s="96"/>
      <c r="D3745" s="96"/>
      <c r="E3745" s="96"/>
      <c r="F3745" s="96" t="s">
        <v>1513</v>
      </c>
      <c r="G3745" s="96"/>
      <c r="H3745" s="96"/>
      <c r="I3745" s="96"/>
      <c r="J3745" s="96"/>
      <c r="K3745" s="96"/>
      <c r="L3745" s="181"/>
      <c r="M3745" s="181"/>
      <c r="N3745" s="181"/>
      <c r="O3745" s="181"/>
      <c r="P3745" s="181"/>
      <c r="Q3745" s="3"/>
    </row>
    <row r="3746" spans="1:20" ht="18.75">
      <c r="A3746" s="97">
        <v>0</v>
      </c>
      <c r="B3746" s="98">
        <v>0</v>
      </c>
      <c r="C3746" s="98">
        <v>0</v>
      </c>
      <c r="D3746" s="96" t="s">
        <v>32</v>
      </c>
      <c r="E3746" s="96"/>
      <c r="F3746" s="96" t="s">
        <v>1514</v>
      </c>
      <c r="G3746" s="110"/>
      <c r="H3746" s="110"/>
      <c r="I3746" s="110"/>
      <c r="J3746" s="96"/>
      <c r="K3746" s="96"/>
      <c r="L3746" s="181"/>
      <c r="M3746" s="181"/>
      <c r="N3746" s="181"/>
      <c r="O3746" s="181"/>
      <c r="P3746" s="181"/>
      <c r="Q3746" s="3"/>
    </row>
    <row r="3747" spans="1:20" ht="18.75">
      <c r="A3747" s="100">
        <v>0</v>
      </c>
      <c r="B3747" s="96" t="s">
        <v>32</v>
      </c>
      <c r="E3747" s="96"/>
      <c r="F3747" s="96" t="s">
        <v>11</v>
      </c>
      <c r="G3747" s="96"/>
      <c r="H3747" s="96"/>
      <c r="I3747" s="110"/>
      <c r="J3747" s="96"/>
      <c r="K3747" s="96"/>
      <c r="L3747" s="181"/>
      <c r="M3747" s="181"/>
      <c r="N3747" s="181"/>
      <c r="O3747" s="181"/>
      <c r="P3747" s="181"/>
      <c r="Q3747" s="3"/>
    </row>
    <row r="3748" spans="1:20" ht="18.75">
      <c r="A3748" s="100">
        <v>0</v>
      </c>
      <c r="B3748" s="96" t="s">
        <v>32</v>
      </c>
      <c r="E3748" s="96"/>
      <c r="F3748" s="96" t="s">
        <v>11</v>
      </c>
      <c r="G3748" s="96"/>
      <c r="H3748" s="96"/>
      <c r="I3748" s="110"/>
      <c r="J3748" s="96"/>
      <c r="K3748" s="96"/>
      <c r="L3748" s="181"/>
      <c r="M3748" s="181"/>
      <c r="N3748" s="181"/>
      <c r="O3748" s="181"/>
      <c r="P3748" s="181"/>
      <c r="Q3748" s="3"/>
    </row>
    <row r="3749" spans="1:20" ht="18.75">
      <c r="A3749" s="100">
        <v>0</v>
      </c>
      <c r="B3749" s="96" t="s">
        <v>32</v>
      </c>
      <c r="E3749" s="96"/>
      <c r="F3749" s="96" t="s">
        <v>11</v>
      </c>
      <c r="G3749" s="96"/>
      <c r="H3749" s="96"/>
      <c r="I3749" s="96"/>
      <c r="J3749" s="96"/>
      <c r="K3749" s="96"/>
      <c r="L3749" s="181"/>
      <c r="M3749" s="181"/>
      <c r="N3749" s="181"/>
      <c r="O3749" s="181"/>
      <c r="P3749" s="181"/>
      <c r="Q3749" s="3"/>
    </row>
    <row r="3750" spans="1:20" ht="18.75">
      <c r="A3750" s="100">
        <v>0</v>
      </c>
      <c r="B3750" s="96" t="s">
        <v>32</v>
      </c>
      <c r="C3750" s="96"/>
      <c r="D3750" s="96"/>
      <c r="E3750" s="96"/>
      <c r="F3750" s="96" t="s">
        <v>11</v>
      </c>
      <c r="G3750" s="96"/>
      <c r="H3750" s="96"/>
      <c r="I3750" s="96"/>
      <c r="J3750" s="96"/>
      <c r="K3750" s="96"/>
      <c r="L3750" s="181"/>
      <c r="M3750" s="181"/>
      <c r="N3750" s="181"/>
      <c r="O3750" s="181"/>
      <c r="P3750" s="181"/>
      <c r="Q3750" s="3"/>
    </row>
    <row r="3751" spans="1:20" ht="18.75">
      <c r="A3751" s="100">
        <v>0</v>
      </c>
      <c r="B3751" s="96" t="s">
        <v>32</v>
      </c>
      <c r="C3751" s="96"/>
      <c r="D3751" s="96"/>
      <c r="E3751" s="96"/>
      <c r="F3751" s="96" t="s">
        <v>11</v>
      </c>
      <c r="G3751" s="96"/>
      <c r="H3751" s="96"/>
      <c r="I3751" s="96"/>
      <c r="J3751" s="96"/>
      <c r="K3751" s="96"/>
      <c r="L3751" s="181"/>
      <c r="M3751" s="181"/>
      <c r="N3751" s="181"/>
      <c r="O3751" s="181"/>
      <c r="P3751" s="181"/>
      <c r="Q3751" s="3"/>
    </row>
    <row r="3752" spans="1:20" ht="18.75">
      <c r="A3752" s="96" t="s">
        <v>32</v>
      </c>
      <c r="C3752" s="96"/>
      <c r="D3752" s="96"/>
      <c r="E3752" s="96"/>
      <c r="F3752" s="96"/>
      <c r="G3752" s="96"/>
      <c r="H3752" s="96"/>
      <c r="I3752" s="96"/>
      <c r="J3752" s="96"/>
      <c r="K3752" s="96"/>
      <c r="L3752" s="181"/>
      <c r="M3752" s="181"/>
      <c r="N3752" s="181"/>
      <c r="O3752" s="181"/>
      <c r="P3752" s="181"/>
      <c r="Q3752" s="3"/>
    </row>
    <row r="3753" spans="1:20" ht="18.75">
      <c r="A3753" s="96" t="s">
        <v>1473</v>
      </c>
      <c r="B3753" s="96"/>
      <c r="C3753" s="96"/>
      <c r="D3753" s="96" t="s">
        <v>1490</v>
      </c>
      <c r="E3753" s="96"/>
      <c r="F3753" s="96"/>
      <c r="G3753" s="96"/>
      <c r="H3753" s="96"/>
      <c r="I3753" s="96"/>
      <c r="J3753" s="96"/>
      <c r="K3753" s="96"/>
      <c r="L3753" s="181"/>
      <c r="M3753" s="181"/>
      <c r="N3753" s="181"/>
      <c r="O3753" s="181"/>
      <c r="P3753" s="181"/>
      <c r="Q3753" s="181"/>
    </row>
    <row r="3754" spans="1:20" ht="18.75">
      <c r="A3754" s="182" t="s">
        <v>1491</v>
      </c>
      <c r="B3754" s="182" t="s">
        <v>1492</v>
      </c>
      <c r="C3754" s="182" t="s">
        <v>1493</v>
      </c>
      <c r="D3754" s="182" t="s">
        <v>1494</v>
      </c>
      <c r="E3754" s="182" t="s">
        <v>1495</v>
      </c>
      <c r="F3754" s="182" t="s">
        <v>1658</v>
      </c>
      <c r="G3754" s="182" t="s">
        <v>1496</v>
      </c>
      <c r="H3754" s="182" t="s">
        <v>1497</v>
      </c>
      <c r="I3754" s="182" t="s">
        <v>1498</v>
      </c>
      <c r="J3754" s="182" t="s">
        <v>1499</v>
      </c>
      <c r="K3754" s="182" t="s">
        <v>1500</v>
      </c>
      <c r="L3754" s="182" t="s">
        <v>1501</v>
      </c>
      <c r="M3754" s="182" t="s">
        <v>1502</v>
      </c>
      <c r="N3754" s="182" t="s">
        <v>1503</v>
      </c>
      <c r="O3754" s="182" t="s">
        <v>1504</v>
      </c>
      <c r="P3754" s="182" t="s">
        <v>1505</v>
      </c>
      <c r="Q3754" s="182" t="s">
        <v>1659</v>
      </c>
      <c r="R3754" s="182" t="s">
        <v>1506</v>
      </c>
      <c r="S3754" s="182" t="s">
        <v>1507</v>
      </c>
      <c r="T3754" s="182" t="s">
        <v>1660</v>
      </c>
    </row>
    <row r="3755" spans="1:20">
      <c r="A3755" s="23">
        <v>0</v>
      </c>
      <c r="B3755" s="23">
        <v>0</v>
      </c>
      <c r="C3755" s="23">
        <v>0</v>
      </c>
      <c r="D3755" s="23">
        <v>0</v>
      </c>
      <c r="E3755" s="23">
        <v>0</v>
      </c>
      <c r="F3755" s="23">
        <v>0</v>
      </c>
      <c r="G3755" s="23">
        <v>0</v>
      </c>
      <c r="H3755" s="23">
        <v>0</v>
      </c>
      <c r="I3755" s="23">
        <v>1</v>
      </c>
      <c r="J3755" s="23">
        <v>1</v>
      </c>
      <c r="K3755" s="23">
        <v>1</v>
      </c>
      <c r="L3755" s="23">
        <v>1</v>
      </c>
      <c r="M3755" s="23">
        <v>0</v>
      </c>
      <c r="N3755" s="23">
        <v>0</v>
      </c>
      <c r="O3755" s="23">
        <v>0</v>
      </c>
      <c r="P3755" s="23">
        <v>0</v>
      </c>
      <c r="Q3755" s="23">
        <v>0</v>
      </c>
      <c r="R3755" s="23">
        <v>0</v>
      </c>
      <c r="S3755" s="23">
        <v>0</v>
      </c>
      <c r="T3755" s="23">
        <v>0</v>
      </c>
    </row>
    <row r="3756" spans="1:20">
      <c r="A3756" s="23">
        <v>0</v>
      </c>
      <c r="B3756" s="23">
        <v>0</v>
      </c>
      <c r="C3756" s="23">
        <v>0</v>
      </c>
      <c r="D3756" s="23">
        <v>0</v>
      </c>
      <c r="E3756" s="23">
        <v>0</v>
      </c>
      <c r="F3756" s="23">
        <v>0</v>
      </c>
      <c r="G3756" s="23">
        <v>0</v>
      </c>
      <c r="H3756" s="23">
        <v>0</v>
      </c>
      <c r="I3756" s="23">
        <v>1</v>
      </c>
      <c r="J3756" s="23">
        <v>1</v>
      </c>
      <c r="K3756" s="23">
        <v>1</v>
      </c>
      <c r="L3756" s="23">
        <v>1</v>
      </c>
      <c r="M3756" s="23">
        <v>0</v>
      </c>
      <c r="N3756" s="23">
        <v>0</v>
      </c>
      <c r="O3756" s="23">
        <v>0</v>
      </c>
      <c r="P3756" s="23">
        <v>0</v>
      </c>
      <c r="Q3756" s="23">
        <v>0</v>
      </c>
      <c r="R3756" s="23">
        <v>0</v>
      </c>
      <c r="S3756" s="23">
        <v>0</v>
      </c>
      <c r="T3756" s="23">
        <v>0</v>
      </c>
    </row>
    <row r="3757" spans="1:20">
      <c r="A3757" s="23">
        <v>0</v>
      </c>
      <c r="B3757" s="23">
        <v>0</v>
      </c>
      <c r="C3757" s="23">
        <v>0</v>
      </c>
      <c r="D3757" s="23">
        <v>0</v>
      </c>
      <c r="E3757" s="23">
        <v>0</v>
      </c>
      <c r="F3757" s="23">
        <v>0</v>
      </c>
      <c r="G3757" s="23">
        <v>0</v>
      </c>
      <c r="H3757" s="23">
        <v>0</v>
      </c>
      <c r="I3757" s="23">
        <v>1</v>
      </c>
      <c r="J3757" s="23">
        <v>1</v>
      </c>
      <c r="K3757" s="23">
        <v>1</v>
      </c>
      <c r="L3757" s="23">
        <v>1</v>
      </c>
      <c r="M3757" s="23">
        <v>0</v>
      </c>
      <c r="N3757" s="23">
        <v>0</v>
      </c>
      <c r="O3757" s="23">
        <v>0</v>
      </c>
      <c r="P3757" s="23">
        <v>0</v>
      </c>
      <c r="Q3757" s="23">
        <v>0</v>
      </c>
      <c r="R3757" s="23">
        <v>0</v>
      </c>
      <c r="S3757" s="23">
        <v>0</v>
      </c>
      <c r="T3757" s="23">
        <v>0</v>
      </c>
    </row>
    <row r="3758" spans="1:20">
      <c r="A3758" s="23">
        <v>0</v>
      </c>
      <c r="B3758" s="23">
        <v>0</v>
      </c>
      <c r="C3758" s="23">
        <v>0</v>
      </c>
      <c r="D3758" s="23">
        <v>0</v>
      </c>
      <c r="E3758" s="23">
        <v>0</v>
      </c>
      <c r="F3758" s="23">
        <v>0</v>
      </c>
      <c r="G3758" s="23">
        <v>0</v>
      </c>
      <c r="H3758" s="23">
        <v>0</v>
      </c>
      <c r="I3758" s="23">
        <v>1</v>
      </c>
      <c r="J3758" s="23">
        <v>1</v>
      </c>
      <c r="K3758" s="23">
        <v>1</v>
      </c>
      <c r="L3758" s="23">
        <v>1</v>
      </c>
      <c r="M3758" s="23">
        <v>0</v>
      </c>
      <c r="N3758" s="23">
        <v>0</v>
      </c>
      <c r="O3758" s="23">
        <v>0</v>
      </c>
      <c r="P3758" s="23">
        <v>0</v>
      </c>
      <c r="Q3758" s="23">
        <v>0</v>
      </c>
      <c r="R3758" s="23">
        <v>0</v>
      </c>
      <c r="S3758" s="23">
        <v>0</v>
      </c>
      <c r="T3758" s="23">
        <v>0</v>
      </c>
    </row>
    <row r="3759" spans="1:20">
      <c r="A3759" s="23">
        <v>0</v>
      </c>
      <c r="B3759" s="23">
        <v>0</v>
      </c>
      <c r="C3759" s="23">
        <v>0</v>
      </c>
      <c r="D3759" s="23">
        <v>0</v>
      </c>
      <c r="E3759" s="23">
        <v>0</v>
      </c>
      <c r="F3759" s="23">
        <v>0</v>
      </c>
      <c r="G3759" s="23">
        <v>0</v>
      </c>
      <c r="H3759" s="23">
        <v>0</v>
      </c>
      <c r="I3759" s="23">
        <v>1</v>
      </c>
      <c r="J3759" s="23">
        <v>1</v>
      </c>
      <c r="K3759" s="23">
        <v>1</v>
      </c>
      <c r="L3759" s="23">
        <v>1</v>
      </c>
      <c r="M3759" s="23">
        <v>0</v>
      </c>
      <c r="N3759" s="23">
        <v>0</v>
      </c>
      <c r="O3759" s="23">
        <v>0</v>
      </c>
      <c r="P3759" s="23">
        <v>0</v>
      </c>
      <c r="Q3759" s="23">
        <v>0</v>
      </c>
      <c r="R3759" s="23">
        <v>0</v>
      </c>
      <c r="S3759" s="23">
        <v>0</v>
      </c>
      <c r="T3759" s="23">
        <v>0</v>
      </c>
    </row>
    <row r="3760" spans="1:20">
      <c r="A3760" s="23">
        <v>0</v>
      </c>
      <c r="B3760" s="23">
        <v>1</v>
      </c>
      <c r="C3760" s="23">
        <v>0</v>
      </c>
      <c r="D3760" s="23">
        <v>0</v>
      </c>
      <c r="E3760" s="23">
        <v>0</v>
      </c>
      <c r="F3760" s="23">
        <v>0</v>
      </c>
      <c r="G3760" s="23">
        <v>0</v>
      </c>
      <c r="H3760" s="23">
        <v>0</v>
      </c>
      <c r="I3760" s="23">
        <v>1</v>
      </c>
      <c r="J3760" s="23">
        <v>1</v>
      </c>
      <c r="K3760" s="23">
        <v>1</v>
      </c>
      <c r="L3760" s="23">
        <v>1</v>
      </c>
      <c r="M3760" s="23">
        <v>0</v>
      </c>
      <c r="N3760" s="23">
        <v>0</v>
      </c>
      <c r="O3760" s="23">
        <v>0</v>
      </c>
      <c r="P3760" s="23">
        <v>0</v>
      </c>
      <c r="Q3760" s="23">
        <v>0</v>
      </c>
      <c r="R3760" s="23">
        <v>0</v>
      </c>
      <c r="S3760" s="23">
        <v>0</v>
      </c>
      <c r="T3760" s="23">
        <v>0</v>
      </c>
    </row>
    <row r="3761" spans="1:20">
      <c r="A3761" s="23">
        <v>0</v>
      </c>
      <c r="B3761" s="23">
        <v>0</v>
      </c>
      <c r="C3761" s="23">
        <v>0</v>
      </c>
      <c r="D3761" s="23">
        <v>0</v>
      </c>
      <c r="E3761" s="23">
        <v>0</v>
      </c>
      <c r="F3761" s="23">
        <v>0</v>
      </c>
      <c r="G3761" s="23">
        <v>0</v>
      </c>
      <c r="H3761" s="23">
        <v>0</v>
      </c>
      <c r="I3761" s="23">
        <v>1</v>
      </c>
      <c r="J3761" s="23">
        <v>1</v>
      </c>
      <c r="K3761" s="23">
        <v>1</v>
      </c>
      <c r="L3761" s="23">
        <v>1</v>
      </c>
      <c r="M3761" s="23">
        <v>0</v>
      </c>
      <c r="N3761" s="23">
        <v>0</v>
      </c>
      <c r="O3761" s="23">
        <v>1</v>
      </c>
      <c r="P3761" s="23">
        <v>1</v>
      </c>
      <c r="Q3761" s="23">
        <v>0</v>
      </c>
      <c r="R3761" s="23">
        <v>0</v>
      </c>
      <c r="S3761" s="23">
        <v>0</v>
      </c>
      <c r="T3761" s="23">
        <v>0</v>
      </c>
    </row>
    <row r="3762" spans="1:20">
      <c r="A3762" s="23">
        <v>0</v>
      </c>
      <c r="B3762" s="23">
        <v>1</v>
      </c>
      <c r="C3762" s="23">
        <v>0</v>
      </c>
      <c r="D3762" s="23">
        <v>0</v>
      </c>
      <c r="E3762" s="23">
        <v>0</v>
      </c>
      <c r="F3762" s="23">
        <v>0</v>
      </c>
      <c r="G3762" s="23">
        <v>0</v>
      </c>
      <c r="H3762" s="23">
        <v>0</v>
      </c>
      <c r="I3762" s="23">
        <v>1</v>
      </c>
      <c r="J3762" s="23">
        <v>1</v>
      </c>
      <c r="K3762" s="23">
        <v>1</v>
      </c>
      <c r="L3762" s="23">
        <v>1</v>
      </c>
      <c r="M3762" s="23">
        <v>0</v>
      </c>
      <c r="N3762" s="23">
        <v>0</v>
      </c>
      <c r="O3762" s="23">
        <v>1</v>
      </c>
      <c r="P3762" s="23">
        <v>1</v>
      </c>
      <c r="Q3762" s="23">
        <v>0</v>
      </c>
      <c r="R3762" s="23">
        <v>0</v>
      </c>
      <c r="S3762" s="23">
        <v>1</v>
      </c>
      <c r="T3762" s="23">
        <v>1</v>
      </c>
    </row>
    <row r="3763" spans="1:20">
      <c r="A3763" s="23">
        <v>0</v>
      </c>
      <c r="B3763" s="23">
        <v>0</v>
      </c>
      <c r="C3763" s="23">
        <v>0</v>
      </c>
      <c r="D3763" s="23">
        <v>0</v>
      </c>
      <c r="E3763" s="23">
        <v>0</v>
      </c>
      <c r="F3763" s="23">
        <v>0</v>
      </c>
      <c r="G3763" s="23">
        <v>0</v>
      </c>
      <c r="H3763" s="23">
        <v>0</v>
      </c>
      <c r="I3763" s="23">
        <v>1</v>
      </c>
      <c r="J3763" s="23">
        <v>1</v>
      </c>
      <c r="K3763" s="23">
        <v>1</v>
      </c>
      <c r="L3763" s="23">
        <v>1</v>
      </c>
      <c r="M3763" s="23">
        <v>0</v>
      </c>
      <c r="N3763" s="23">
        <v>0</v>
      </c>
      <c r="O3763" s="23">
        <v>1</v>
      </c>
      <c r="P3763" s="23">
        <v>1</v>
      </c>
      <c r="Q3763" s="23">
        <v>0</v>
      </c>
      <c r="R3763" s="23">
        <v>0</v>
      </c>
      <c r="S3763" s="23">
        <v>1</v>
      </c>
      <c r="T3763" s="23">
        <v>1</v>
      </c>
    </row>
    <row r="3764" spans="1:20">
      <c r="A3764" s="23">
        <v>0</v>
      </c>
      <c r="B3764" s="23">
        <v>0</v>
      </c>
      <c r="C3764" s="23">
        <v>0</v>
      </c>
      <c r="D3764" s="23">
        <v>0</v>
      </c>
      <c r="E3764" s="23">
        <v>0</v>
      </c>
      <c r="F3764" s="23">
        <v>0</v>
      </c>
      <c r="G3764" s="23">
        <v>0</v>
      </c>
      <c r="H3764" s="23">
        <v>0</v>
      </c>
      <c r="I3764" s="23">
        <v>1</v>
      </c>
      <c r="J3764" s="23">
        <v>1</v>
      </c>
      <c r="K3764" s="23">
        <v>1</v>
      </c>
      <c r="L3764" s="23">
        <v>1</v>
      </c>
      <c r="M3764" s="23">
        <v>0</v>
      </c>
      <c r="N3764" s="23">
        <v>0</v>
      </c>
      <c r="O3764" s="23">
        <v>1</v>
      </c>
      <c r="P3764" s="23">
        <v>1</v>
      </c>
      <c r="Q3764" s="23">
        <v>0</v>
      </c>
      <c r="R3764" s="23">
        <v>0</v>
      </c>
      <c r="S3764" s="23">
        <v>0</v>
      </c>
      <c r="T3764" s="23">
        <v>0</v>
      </c>
    </row>
    <row r="3765" spans="1:20">
      <c r="A3765" s="23">
        <v>0</v>
      </c>
      <c r="B3765" s="23">
        <v>0</v>
      </c>
      <c r="C3765" s="23">
        <v>0</v>
      </c>
      <c r="D3765" s="23">
        <v>0</v>
      </c>
      <c r="E3765" s="23">
        <v>0</v>
      </c>
      <c r="F3765" s="23">
        <v>0</v>
      </c>
      <c r="G3765" s="23">
        <v>0</v>
      </c>
      <c r="H3765" s="23">
        <v>0</v>
      </c>
      <c r="I3765" s="23">
        <v>1</v>
      </c>
      <c r="J3765" s="23">
        <v>1</v>
      </c>
      <c r="K3765" s="23">
        <v>1</v>
      </c>
      <c r="L3765" s="23">
        <v>1</v>
      </c>
      <c r="M3765" s="23">
        <v>1</v>
      </c>
      <c r="N3765" s="23">
        <v>1</v>
      </c>
      <c r="O3765" s="23">
        <v>1</v>
      </c>
      <c r="P3765" s="23">
        <v>1</v>
      </c>
      <c r="Q3765" s="23">
        <v>0</v>
      </c>
      <c r="R3765" s="23">
        <v>0</v>
      </c>
      <c r="S3765" s="23">
        <v>0</v>
      </c>
      <c r="T3765" s="23">
        <v>0</v>
      </c>
    </row>
    <row r="3766" spans="1:20">
      <c r="A3766" s="23">
        <v>0</v>
      </c>
      <c r="B3766" s="23">
        <v>0</v>
      </c>
      <c r="C3766" s="23">
        <v>0</v>
      </c>
      <c r="D3766" s="23">
        <v>0</v>
      </c>
      <c r="E3766" s="23">
        <v>0</v>
      </c>
      <c r="F3766" s="23">
        <v>1</v>
      </c>
      <c r="G3766" s="23">
        <v>0</v>
      </c>
      <c r="H3766" s="23">
        <v>0</v>
      </c>
      <c r="I3766" s="23">
        <v>1</v>
      </c>
      <c r="J3766" s="23">
        <v>1</v>
      </c>
      <c r="K3766" s="23">
        <v>1</v>
      </c>
      <c r="L3766" s="23">
        <v>1</v>
      </c>
      <c r="M3766" s="23">
        <v>1</v>
      </c>
      <c r="N3766" s="23">
        <v>0</v>
      </c>
      <c r="O3766" s="23">
        <v>1</v>
      </c>
      <c r="P3766" s="23">
        <v>1</v>
      </c>
      <c r="Q3766" s="23">
        <v>0</v>
      </c>
      <c r="R3766" s="23">
        <v>0</v>
      </c>
      <c r="S3766" s="23">
        <v>0</v>
      </c>
      <c r="T3766" s="23">
        <v>0</v>
      </c>
    </row>
    <row r="3767" spans="1:20">
      <c r="A3767" s="23">
        <v>0</v>
      </c>
      <c r="B3767" s="23">
        <v>0</v>
      </c>
      <c r="C3767" s="23">
        <v>0</v>
      </c>
      <c r="D3767" s="23">
        <v>0</v>
      </c>
      <c r="E3767" s="23">
        <v>0</v>
      </c>
      <c r="F3767" s="23">
        <v>1</v>
      </c>
      <c r="G3767" s="23">
        <v>0</v>
      </c>
      <c r="H3767" s="23">
        <v>0</v>
      </c>
      <c r="I3767" s="23">
        <v>1</v>
      </c>
      <c r="J3767" s="23">
        <v>1</v>
      </c>
      <c r="K3767" s="23">
        <v>1</v>
      </c>
      <c r="L3767" s="23">
        <v>1</v>
      </c>
      <c r="M3767" s="23">
        <v>0</v>
      </c>
      <c r="N3767" s="23">
        <v>0</v>
      </c>
      <c r="O3767" s="23">
        <v>1</v>
      </c>
      <c r="P3767" s="23">
        <v>1</v>
      </c>
      <c r="Q3767" s="23">
        <v>0</v>
      </c>
      <c r="R3767" s="23">
        <v>0</v>
      </c>
      <c r="S3767" s="23">
        <v>0</v>
      </c>
      <c r="T3767" s="23">
        <v>0</v>
      </c>
    </row>
    <row r="3768" spans="1:20">
      <c r="A3768" s="23">
        <v>0</v>
      </c>
      <c r="B3768" s="23">
        <v>0</v>
      </c>
      <c r="C3768" s="23">
        <v>0</v>
      </c>
      <c r="D3768" s="23">
        <v>0</v>
      </c>
      <c r="E3768" s="23">
        <v>0</v>
      </c>
      <c r="F3768" s="23">
        <v>0</v>
      </c>
      <c r="G3768" s="23">
        <v>0</v>
      </c>
      <c r="H3768" s="23">
        <v>0</v>
      </c>
      <c r="I3768" s="23">
        <v>1</v>
      </c>
      <c r="J3768" s="23">
        <v>1</v>
      </c>
      <c r="K3768" s="23">
        <v>1</v>
      </c>
      <c r="L3768" s="23">
        <v>1</v>
      </c>
      <c r="M3768" s="23">
        <v>0</v>
      </c>
      <c r="N3768" s="23">
        <v>0</v>
      </c>
      <c r="O3768" s="23">
        <v>1</v>
      </c>
      <c r="P3768" s="23">
        <v>1</v>
      </c>
      <c r="Q3768" s="23">
        <v>0</v>
      </c>
      <c r="R3768" s="23">
        <v>0</v>
      </c>
      <c r="S3768" s="23">
        <v>0</v>
      </c>
      <c r="T3768" s="23">
        <v>0</v>
      </c>
    </row>
    <row r="3769" spans="1:20">
      <c r="A3769" s="23">
        <v>0</v>
      </c>
      <c r="B3769" s="23">
        <v>0</v>
      </c>
      <c r="C3769" s="23">
        <v>0</v>
      </c>
      <c r="D3769" s="23">
        <v>0</v>
      </c>
      <c r="E3769" s="23">
        <v>0</v>
      </c>
      <c r="F3769" s="23">
        <v>0</v>
      </c>
      <c r="G3769" s="23">
        <v>0</v>
      </c>
      <c r="H3769" s="23">
        <v>0</v>
      </c>
      <c r="I3769" s="23">
        <v>1</v>
      </c>
      <c r="J3769" s="23">
        <v>1</v>
      </c>
      <c r="K3769" s="23">
        <v>1</v>
      </c>
      <c r="L3769" s="23">
        <v>1</v>
      </c>
      <c r="M3769" s="23">
        <v>0</v>
      </c>
      <c r="N3769" s="23">
        <v>1</v>
      </c>
      <c r="O3769" s="23">
        <v>1</v>
      </c>
      <c r="P3769" s="23">
        <v>1</v>
      </c>
      <c r="Q3769" s="23">
        <v>0</v>
      </c>
      <c r="R3769" s="23">
        <v>0</v>
      </c>
      <c r="S3769" s="23">
        <v>0</v>
      </c>
      <c r="T3769" s="23">
        <v>0</v>
      </c>
    </row>
    <row r="3770" spans="1:20">
      <c r="A3770" s="23">
        <v>0</v>
      </c>
      <c r="B3770" s="23">
        <v>0</v>
      </c>
      <c r="C3770" s="23">
        <v>0</v>
      </c>
      <c r="D3770" s="23">
        <v>0</v>
      </c>
      <c r="E3770" s="23">
        <v>0</v>
      </c>
      <c r="F3770" s="23">
        <v>0</v>
      </c>
      <c r="G3770" s="23">
        <v>0</v>
      </c>
      <c r="H3770" s="23">
        <v>0</v>
      </c>
      <c r="I3770" s="23">
        <v>1</v>
      </c>
      <c r="J3770" s="23">
        <v>1</v>
      </c>
      <c r="K3770" s="23">
        <v>1</v>
      </c>
      <c r="L3770" s="23">
        <v>1</v>
      </c>
      <c r="M3770" s="23">
        <v>0</v>
      </c>
      <c r="N3770" s="23">
        <v>0</v>
      </c>
      <c r="O3770" s="23">
        <v>1</v>
      </c>
      <c r="P3770" s="23">
        <v>1</v>
      </c>
      <c r="Q3770" s="23">
        <v>1</v>
      </c>
      <c r="R3770" s="23">
        <v>0</v>
      </c>
      <c r="S3770" s="23">
        <v>0</v>
      </c>
      <c r="T3770" s="23">
        <v>0</v>
      </c>
    </row>
    <row r="3771" spans="1:20" ht="18.75">
      <c r="A3771" s="187" t="s">
        <v>277</v>
      </c>
      <c r="B3771" s="188">
        <f>B3735+1</f>
        <v>26</v>
      </c>
      <c r="C3771" s="187" t="s">
        <v>795</v>
      </c>
      <c r="D3771" s="187"/>
      <c r="E3771" s="187"/>
      <c r="F3771" s="187"/>
      <c r="G3771" s="187"/>
      <c r="H3771" s="187"/>
      <c r="I3771" s="187"/>
      <c r="J3771" s="187"/>
      <c r="K3771" s="187"/>
      <c r="L3771" s="187"/>
      <c r="M3771" s="187"/>
      <c r="N3771" s="187"/>
      <c r="O3771" s="187"/>
      <c r="P3771" s="187"/>
      <c r="Q3771" s="187"/>
      <c r="R3771" s="187"/>
      <c r="S3771" s="187"/>
    </row>
    <row r="3772" spans="1:20" ht="18.75">
      <c r="A3772" s="96" t="s">
        <v>26</v>
      </c>
      <c r="B3772" s="96" t="s">
        <v>32</v>
      </c>
      <c r="C3772" s="96"/>
      <c r="D3772" s="96"/>
      <c r="E3772" s="96"/>
      <c r="F3772" s="96" t="s">
        <v>796</v>
      </c>
      <c r="G3772" s="96"/>
      <c r="H3772" s="96"/>
      <c r="I3772" s="96"/>
      <c r="J3772" s="110"/>
      <c r="K3772" s="40"/>
      <c r="L3772" s="40"/>
      <c r="M3772" s="40"/>
      <c r="N3772" s="40"/>
      <c r="O3772" s="40"/>
      <c r="P3772" s="40"/>
      <c r="Q3772" s="3"/>
    </row>
    <row r="3773" spans="1:20" ht="18.75">
      <c r="A3773" s="97">
        <v>0</v>
      </c>
      <c r="B3773" s="98">
        <v>0</v>
      </c>
      <c r="C3773" s="98">
        <v>0</v>
      </c>
      <c r="D3773" s="96" t="s">
        <v>32</v>
      </c>
      <c r="E3773" s="96"/>
      <c r="F3773" s="96" t="s">
        <v>797</v>
      </c>
      <c r="G3773" s="110"/>
      <c r="H3773" s="110"/>
      <c r="I3773" s="110"/>
      <c r="J3773" s="110"/>
      <c r="K3773" s="40"/>
      <c r="L3773" s="40"/>
      <c r="M3773" s="40"/>
      <c r="N3773" s="40"/>
      <c r="O3773" s="40"/>
      <c r="P3773" s="40"/>
      <c r="Q3773" s="3"/>
    </row>
    <row r="3774" spans="1:20" ht="18.75">
      <c r="A3774" s="99">
        <v>0</v>
      </c>
      <c r="B3774" s="100">
        <v>0</v>
      </c>
      <c r="C3774" s="100">
        <v>0</v>
      </c>
      <c r="D3774" s="96" t="s">
        <v>32</v>
      </c>
      <c r="E3774" s="96"/>
      <c r="F3774" s="96" t="s">
        <v>798</v>
      </c>
      <c r="G3774" s="110"/>
      <c r="H3774" s="110"/>
      <c r="I3774" s="110"/>
      <c r="J3774" s="110"/>
      <c r="K3774" s="40"/>
      <c r="L3774" s="40"/>
      <c r="M3774" s="40"/>
      <c r="N3774" s="40"/>
      <c r="O3774" s="40"/>
      <c r="P3774" s="40"/>
      <c r="Q3774" s="3"/>
    </row>
    <row r="3775" spans="1:20" ht="18.75">
      <c r="A3775" s="99">
        <v>0</v>
      </c>
      <c r="B3775" s="100">
        <v>0</v>
      </c>
      <c r="C3775" s="100">
        <v>0</v>
      </c>
      <c r="D3775" s="96" t="s">
        <v>32</v>
      </c>
      <c r="E3775" s="96"/>
      <c r="F3775" s="96" t="s">
        <v>1220</v>
      </c>
      <c r="G3775" s="110"/>
      <c r="H3775" s="110"/>
      <c r="I3775" s="110"/>
      <c r="J3775" s="110"/>
      <c r="K3775" s="40"/>
      <c r="L3775" s="40"/>
      <c r="M3775" s="40"/>
      <c r="N3775" s="40"/>
      <c r="O3775" s="40"/>
      <c r="P3775" s="40"/>
      <c r="Q3775" s="3"/>
    </row>
    <row r="3776" spans="1:20" ht="18.75">
      <c r="A3776" s="99">
        <v>0</v>
      </c>
      <c r="B3776" s="100">
        <v>0</v>
      </c>
      <c r="C3776" s="100">
        <v>0</v>
      </c>
      <c r="D3776" s="96" t="s">
        <v>32</v>
      </c>
      <c r="E3776" s="96"/>
      <c r="F3776" s="96" t="s">
        <v>799</v>
      </c>
      <c r="G3776" s="110"/>
      <c r="H3776" s="110"/>
      <c r="I3776" s="110"/>
      <c r="J3776" s="110"/>
      <c r="K3776" s="40"/>
      <c r="L3776" s="40"/>
      <c r="M3776" s="40"/>
      <c r="N3776" s="40"/>
      <c r="O3776" s="40"/>
      <c r="P3776" s="40"/>
      <c r="Q3776" s="3"/>
    </row>
    <row r="3777" spans="1:17" ht="18.75">
      <c r="A3777" s="99">
        <v>0</v>
      </c>
      <c r="B3777" s="100">
        <v>0</v>
      </c>
      <c r="C3777" s="99">
        <v>0</v>
      </c>
      <c r="D3777" s="96" t="s">
        <v>32</v>
      </c>
      <c r="E3777" s="96"/>
      <c r="F3777" s="96" t="s">
        <v>1221</v>
      </c>
      <c r="G3777" s="96"/>
      <c r="H3777" s="96"/>
      <c r="I3777" s="96"/>
      <c r="J3777" s="96"/>
      <c r="K3777" s="40"/>
      <c r="L3777" s="40"/>
      <c r="M3777" s="40"/>
      <c r="N3777" s="40"/>
      <c r="O3777" s="40"/>
      <c r="P3777" s="40"/>
      <c r="Q3777" s="3"/>
    </row>
    <row r="3778" spans="1:17" ht="18.75">
      <c r="A3778" s="99">
        <v>0</v>
      </c>
      <c r="B3778" s="96" t="s">
        <v>32</v>
      </c>
      <c r="C3778" s="96"/>
      <c r="D3778" s="96"/>
      <c r="E3778" s="96"/>
      <c r="F3778" s="96"/>
      <c r="G3778" s="96"/>
      <c r="H3778" s="96"/>
      <c r="I3778" s="96"/>
      <c r="J3778" s="96"/>
      <c r="K3778" s="40"/>
      <c r="L3778" s="40"/>
      <c r="M3778" s="40"/>
      <c r="N3778" s="40"/>
      <c r="O3778" s="40"/>
      <c r="P3778" s="40"/>
      <c r="Q3778" s="3"/>
    </row>
    <row r="3779" spans="1:17" ht="18.75">
      <c r="A3779" s="96" t="s">
        <v>26</v>
      </c>
      <c r="B3779" s="96" t="s">
        <v>32</v>
      </c>
      <c r="C3779" s="96"/>
      <c r="D3779" s="96"/>
      <c r="E3779" s="96"/>
      <c r="F3779" s="96"/>
      <c r="G3779" s="96"/>
      <c r="H3779" s="96"/>
      <c r="I3779" s="96"/>
      <c r="J3779" s="40"/>
      <c r="K3779" s="40"/>
      <c r="L3779" s="40"/>
      <c r="M3779" s="40"/>
      <c r="N3779" s="40"/>
      <c r="O3779" s="40"/>
      <c r="P3779" s="40"/>
      <c r="Q3779" s="3"/>
    </row>
    <row r="3780" spans="1:17" ht="18.75">
      <c r="A3780" s="113" t="s">
        <v>863</v>
      </c>
      <c r="B3780" s="113" t="s">
        <v>864</v>
      </c>
      <c r="C3780" s="113" t="s">
        <v>865</v>
      </c>
      <c r="D3780" s="114" t="s">
        <v>866</v>
      </c>
      <c r="E3780" s="114" t="s">
        <v>867</v>
      </c>
      <c r="F3780" s="115" t="s">
        <v>868</v>
      </c>
      <c r="G3780" s="115"/>
      <c r="H3780" s="115"/>
      <c r="I3780" s="3"/>
      <c r="J3780" s="40"/>
      <c r="K3780" s="40"/>
      <c r="L3780" s="40"/>
      <c r="M3780" s="40"/>
      <c r="N3780" s="40"/>
      <c r="O3780" s="40"/>
      <c r="P3780" s="40"/>
      <c r="Q3780" s="3"/>
    </row>
    <row r="3781" spans="1:17" ht="18.75">
      <c r="A3781" s="23">
        <v>0</v>
      </c>
      <c r="B3781" s="23">
        <v>0</v>
      </c>
      <c r="C3781" s="23">
        <v>0</v>
      </c>
      <c r="D3781" s="23">
        <v>0</v>
      </c>
      <c r="E3781" s="23">
        <v>0</v>
      </c>
      <c r="F3781" s="96" t="s">
        <v>800</v>
      </c>
      <c r="G3781" s="112" t="s">
        <v>862</v>
      </c>
      <c r="H3781" s="96"/>
      <c r="I3781" s="3"/>
      <c r="J3781" s="40"/>
      <c r="K3781" s="40"/>
      <c r="L3781" s="40"/>
      <c r="M3781" s="40"/>
      <c r="N3781" s="40"/>
      <c r="O3781" s="40"/>
      <c r="P3781" s="40"/>
      <c r="Q3781" s="3"/>
    </row>
    <row r="3782" spans="1:17" ht="18.75">
      <c r="A3782" s="23">
        <v>1</v>
      </c>
      <c r="B3782" s="23">
        <v>1</v>
      </c>
      <c r="C3782" s="23">
        <v>0</v>
      </c>
      <c r="D3782" s="23">
        <v>0</v>
      </c>
      <c r="E3782" s="23">
        <v>1</v>
      </c>
      <c r="F3782" s="96" t="s">
        <v>801</v>
      </c>
      <c r="G3782" s="96"/>
      <c r="H3782" s="96"/>
      <c r="I3782" s="3"/>
      <c r="J3782" s="40"/>
      <c r="K3782" s="40"/>
      <c r="L3782" s="40"/>
      <c r="M3782" s="40"/>
      <c r="N3782" s="40"/>
      <c r="O3782" s="40"/>
      <c r="P3782" s="40"/>
      <c r="Q3782" s="3"/>
    </row>
    <row r="3783" spans="1:17" ht="18.75">
      <c r="A3783" s="23">
        <v>1</v>
      </c>
      <c r="B3783" s="23">
        <v>1</v>
      </c>
      <c r="C3783" s="23">
        <v>0</v>
      </c>
      <c r="D3783" s="23">
        <v>0</v>
      </c>
      <c r="E3783" s="23">
        <v>1</v>
      </c>
      <c r="F3783" s="96" t="s">
        <v>802</v>
      </c>
      <c r="G3783" s="96"/>
      <c r="H3783" s="96"/>
      <c r="I3783" s="3"/>
      <c r="J3783" s="40"/>
      <c r="K3783" s="40"/>
      <c r="L3783" s="40"/>
      <c r="M3783" s="40"/>
      <c r="N3783" s="40"/>
      <c r="O3783" s="40"/>
      <c r="P3783" s="40"/>
      <c r="Q3783" s="3"/>
    </row>
    <row r="3784" spans="1:17" ht="18.75">
      <c r="A3784" s="23">
        <v>1</v>
      </c>
      <c r="B3784" s="23">
        <v>1</v>
      </c>
      <c r="C3784" s="23">
        <v>1</v>
      </c>
      <c r="D3784" s="23">
        <v>1</v>
      </c>
      <c r="E3784" s="23">
        <v>1</v>
      </c>
      <c r="F3784" s="96" t="s">
        <v>803</v>
      </c>
      <c r="G3784" s="96"/>
      <c r="H3784" s="96"/>
      <c r="I3784" s="3"/>
      <c r="J3784" s="40"/>
      <c r="K3784" s="40"/>
      <c r="L3784" s="40"/>
      <c r="M3784" s="40"/>
      <c r="N3784" s="40"/>
      <c r="O3784" s="40"/>
      <c r="P3784" s="40"/>
      <c r="Q3784" s="3"/>
    </row>
    <row r="3785" spans="1:17" ht="18.75">
      <c r="A3785" s="23">
        <v>1</v>
      </c>
      <c r="B3785" s="23">
        <v>1</v>
      </c>
      <c r="C3785" s="23">
        <v>1</v>
      </c>
      <c r="D3785" s="23">
        <v>1</v>
      </c>
      <c r="E3785" s="23">
        <v>1</v>
      </c>
      <c r="F3785" s="96" t="s">
        <v>804</v>
      </c>
      <c r="G3785" s="96"/>
      <c r="H3785" s="96"/>
      <c r="I3785" s="3"/>
      <c r="J3785" s="40"/>
      <c r="K3785" s="40"/>
      <c r="L3785" s="40"/>
      <c r="M3785" s="40"/>
      <c r="N3785" s="40"/>
      <c r="O3785" s="40"/>
      <c r="P3785" s="40"/>
      <c r="Q3785" s="3"/>
    </row>
    <row r="3786" spans="1:17" ht="18.75">
      <c r="A3786" s="99">
        <v>0</v>
      </c>
      <c r="B3786" s="96" t="s">
        <v>32</v>
      </c>
      <c r="C3786" s="96"/>
      <c r="D3786" s="111"/>
      <c r="E3786" s="111"/>
      <c r="F3786" s="2" t="s">
        <v>11</v>
      </c>
      <c r="G3786" s="111"/>
      <c r="H3786" s="111"/>
      <c r="I3786" s="3"/>
      <c r="J3786" s="40"/>
      <c r="K3786" s="40"/>
      <c r="L3786" s="40"/>
      <c r="M3786" s="40"/>
      <c r="N3786" s="40"/>
      <c r="O3786" s="40"/>
      <c r="P3786" s="40"/>
      <c r="Q3786" s="3"/>
    </row>
    <row r="3787" spans="1:17" ht="18.75">
      <c r="A3787" s="99">
        <v>0</v>
      </c>
      <c r="B3787" s="96" t="s">
        <v>32</v>
      </c>
      <c r="C3787" s="96"/>
      <c r="D3787" s="111"/>
      <c r="E3787" s="111"/>
      <c r="F3787" s="2" t="s">
        <v>11</v>
      </c>
      <c r="G3787" s="111"/>
      <c r="H3787" s="111"/>
      <c r="I3787" s="3"/>
      <c r="J3787" s="40"/>
      <c r="K3787" s="40"/>
      <c r="L3787" s="40"/>
      <c r="M3787" s="40"/>
      <c r="N3787" s="40"/>
      <c r="O3787" s="40"/>
      <c r="P3787" s="40"/>
      <c r="Q3787" s="3"/>
    </row>
    <row r="3788" spans="1:17" ht="18.75">
      <c r="A3788" s="99">
        <v>0</v>
      </c>
      <c r="B3788" s="96" t="s">
        <v>32</v>
      </c>
      <c r="C3788" s="96"/>
      <c r="D3788" s="111"/>
      <c r="E3788" s="111"/>
      <c r="F3788" s="2" t="s">
        <v>11</v>
      </c>
      <c r="G3788" s="111"/>
      <c r="H3788" s="111"/>
      <c r="I3788" s="3"/>
      <c r="J3788" s="40"/>
      <c r="K3788" s="40"/>
      <c r="L3788" s="40"/>
      <c r="M3788" s="40"/>
      <c r="N3788" s="40"/>
      <c r="O3788" s="40"/>
      <c r="P3788" s="40"/>
      <c r="Q3788" s="3"/>
    </row>
    <row r="3789" spans="1:17" ht="18.75">
      <c r="A3789" s="99">
        <v>0</v>
      </c>
      <c r="B3789" s="96" t="s">
        <v>32</v>
      </c>
      <c r="C3789" s="96"/>
      <c r="D3789" s="111"/>
      <c r="E3789" s="111"/>
      <c r="F3789" s="2" t="s">
        <v>11</v>
      </c>
      <c r="G3789" s="111"/>
      <c r="H3789" s="111"/>
      <c r="I3789" s="3"/>
      <c r="J3789" s="40"/>
      <c r="K3789" s="40"/>
      <c r="L3789" s="40"/>
      <c r="M3789" s="40"/>
      <c r="N3789" s="40"/>
      <c r="O3789" s="40"/>
      <c r="P3789" s="40"/>
      <c r="Q3789" s="3"/>
    </row>
    <row r="3790" spans="1:17" ht="18.75">
      <c r="A3790" s="99">
        <v>0</v>
      </c>
      <c r="B3790" s="96" t="s">
        <v>32</v>
      </c>
      <c r="C3790" s="96"/>
      <c r="D3790" s="111"/>
      <c r="E3790" s="111"/>
      <c r="F3790" s="2" t="s">
        <v>11</v>
      </c>
      <c r="G3790" s="111"/>
      <c r="H3790" s="111"/>
      <c r="I3790" s="3"/>
      <c r="J3790" s="40"/>
      <c r="K3790" s="40"/>
      <c r="L3790" s="40"/>
      <c r="M3790" s="40"/>
      <c r="N3790" s="40"/>
      <c r="O3790" s="40"/>
      <c r="P3790" s="40"/>
      <c r="Q3790" s="3"/>
    </row>
    <row r="3791" spans="1:17" ht="18.75">
      <c r="A3791" s="99">
        <v>0</v>
      </c>
      <c r="B3791" s="96" t="s">
        <v>32</v>
      </c>
      <c r="C3791" s="96"/>
      <c r="D3791" s="111"/>
      <c r="E3791" s="111"/>
      <c r="F3791" s="2" t="s">
        <v>11</v>
      </c>
      <c r="G3791" s="111"/>
      <c r="H3791" s="111"/>
      <c r="I3791" s="3"/>
      <c r="J3791" s="40"/>
      <c r="K3791" s="40"/>
      <c r="L3791" s="40"/>
      <c r="M3791" s="40"/>
      <c r="N3791" s="40"/>
      <c r="O3791" s="40"/>
      <c r="P3791" s="40"/>
      <c r="Q3791" s="3"/>
    </row>
    <row r="3792" spans="1:17" ht="18.75">
      <c r="A3792" s="99">
        <v>0</v>
      </c>
      <c r="B3792" s="96" t="s">
        <v>32</v>
      </c>
      <c r="C3792" s="96"/>
      <c r="D3792" s="111"/>
      <c r="E3792" s="111"/>
      <c r="F3792" s="2" t="s">
        <v>11</v>
      </c>
      <c r="G3792" s="111"/>
      <c r="H3792" s="111"/>
      <c r="I3792" s="3"/>
      <c r="J3792" s="40"/>
      <c r="K3792" s="40"/>
      <c r="L3792" s="40"/>
      <c r="M3792" s="40"/>
      <c r="N3792" s="40"/>
      <c r="O3792" s="40"/>
      <c r="P3792" s="40"/>
      <c r="Q3792" s="3"/>
    </row>
    <row r="3793" spans="1:17" ht="18.75">
      <c r="A3793" s="96" t="s">
        <v>26</v>
      </c>
      <c r="B3793" s="96" t="s">
        <v>32</v>
      </c>
      <c r="C3793" s="96"/>
      <c r="D3793" s="111"/>
      <c r="E3793" s="111"/>
      <c r="F3793" s="96" t="s">
        <v>1332</v>
      </c>
      <c r="G3793" s="111"/>
      <c r="H3793" s="111"/>
      <c r="I3793" s="3"/>
      <c r="J3793" s="40"/>
      <c r="K3793" s="40"/>
      <c r="L3793" s="40"/>
      <c r="M3793" s="40"/>
      <c r="N3793" s="40"/>
      <c r="O3793" s="40"/>
      <c r="P3793" s="40"/>
      <c r="Q3793" s="3"/>
    </row>
    <row r="3794" spans="1:17" ht="18.75">
      <c r="A3794" s="97">
        <v>0</v>
      </c>
      <c r="B3794" s="98">
        <v>0</v>
      </c>
      <c r="C3794" s="98">
        <v>0</v>
      </c>
      <c r="D3794" s="96" t="s">
        <v>32</v>
      </c>
      <c r="E3794" s="96"/>
      <c r="F3794" s="96" t="s">
        <v>1333</v>
      </c>
      <c r="G3794" s="110"/>
      <c r="H3794" s="110"/>
      <c r="I3794" s="110"/>
      <c r="J3794" s="110"/>
      <c r="K3794" s="40"/>
      <c r="L3794" s="40"/>
      <c r="M3794" s="40"/>
      <c r="N3794" s="40"/>
      <c r="O3794" s="40"/>
      <c r="P3794" s="40"/>
      <c r="Q3794" s="3"/>
    </row>
    <row r="3795" spans="1:17" ht="18.75">
      <c r="A3795" s="99">
        <v>0</v>
      </c>
      <c r="B3795" s="100">
        <v>0</v>
      </c>
      <c r="C3795" s="100">
        <v>0</v>
      </c>
      <c r="D3795" s="96" t="s">
        <v>32</v>
      </c>
      <c r="E3795" s="96"/>
      <c r="F3795" s="96" t="s">
        <v>1334</v>
      </c>
      <c r="G3795" s="110"/>
      <c r="H3795" s="110"/>
      <c r="I3795" s="110"/>
      <c r="J3795" s="110"/>
      <c r="K3795" s="40"/>
      <c r="L3795" s="40"/>
      <c r="M3795" s="40"/>
      <c r="N3795" s="40"/>
      <c r="O3795" s="40"/>
      <c r="P3795" s="40"/>
      <c r="Q3795" s="3"/>
    </row>
    <row r="3796" spans="1:17" ht="18.75">
      <c r="A3796" s="100">
        <v>0</v>
      </c>
      <c r="B3796" s="100">
        <v>0</v>
      </c>
      <c r="C3796" s="100">
        <v>0</v>
      </c>
      <c r="D3796" s="96" t="s">
        <v>32</v>
      </c>
      <c r="E3796" s="96"/>
      <c r="F3796" s="96" t="s">
        <v>1335</v>
      </c>
      <c r="G3796" s="110"/>
      <c r="H3796" s="110"/>
      <c r="I3796" s="110"/>
      <c r="J3796" s="110"/>
      <c r="K3796" s="40"/>
      <c r="L3796" s="40"/>
      <c r="M3796" s="40"/>
      <c r="N3796" s="40"/>
      <c r="O3796" s="40"/>
      <c r="P3796" s="40"/>
      <c r="Q3796" s="3"/>
    </row>
    <row r="3797" spans="1:17" ht="18.75">
      <c r="A3797" s="100">
        <v>0</v>
      </c>
      <c r="B3797" s="96" t="s">
        <v>32</v>
      </c>
      <c r="C3797" s="96"/>
      <c r="D3797" s="96"/>
      <c r="E3797" s="96"/>
      <c r="F3797" s="96" t="s">
        <v>11</v>
      </c>
      <c r="G3797" s="110"/>
      <c r="H3797" s="110"/>
      <c r="I3797" s="110"/>
      <c r="J3797" s="110"/>
      <c r="K3797" s="40"/>
      <c r="L3797" s="40"/>
      <c r="M3797" s="40"/>
      <c r="N3797" s="40"/>
      <c r="O3797" s="40"/>
      <c r="P3797" s="40"/>
      <c r="Q3797" s="3"/>
    </row>
    <row r="3798" spans="1:17" ht="18.75">
      <c r="A3798" s="100">
        <v>0</v>
      </c>
      <c r="B3798" s="96" t="s">
        <v>32</v>
      </c>
      <c r="C3798" s="96"/>
      <c r="D3798" s="96"/>
      <c r="E3798" s="96"/>
      <c r="F3798" s="96" t="s">
        <v>11</v>
      </c>
      <c r="G3798" s="110"/>
      <c r="H3798" s="110"/>
      <c r="I3798" s="110"/>
      <c r="J3798" s="110"/>
      <c r="K3798" s="40"/>
      <c r="L3798" s="40"/>
      <c r="M3798" s="40"/>
      <c r="N3798" s="40"/>
      <c r="O3798" s="40"/>
      <c r="P3798" s="40"/>
      <c r="Q3798" s="3"/>
    </row>
    <row r="3799" spans="1:17" ht="18.75">
      <c r="A3799" s="100">
        <v>0</v>
      </c>
      <c r="B3799" s="96" t="s">
        <v>32</v>
      </c>
      <c r="E3799" s="96"/>
      <c r="F3799" s="96" t="s">
        <v>11</v>
      </c>
      <c r="G3799" s="110"/>
      <c r="H3799" s="110"/>
      <c r="I3799" s="110"/>
      <c r="J3799" s="110"/>
      <c r="K3799" s="40"/>
      <c r="L3799" s="40"/>
      <c r="M3799" s="40"/>
      <c r="N3799" s="40"/>
      <c r="O3799" s="40"/>
      <c r="P3799" s="40"/>
      <c r="Q3799" s="3"/>
    </row>
    <row r="3800" spans="1:17" ht="18.75">
      <c r="A3800" s="100">
        <v>0</v>
      </c>
      <c r="B3800" s="96" t="s">
        <v>32</v>
      </c>
      <c r="E3800" s="96"/>
      <c r="F3800" s="96" t="s">
        <v>11</v>
      </c>
      <c r="G3800" s="110"/>
      <c r="H3800" s="110"/>
      <c r="I3800" s="110"/>
      <c r="J3800" s="110"/>
      <c r="K3800" s="40"/>
      <c r="L3800" s="40"/>
      <c r="M3800" s="40"/>
      <c r="N3800" s="40"/>
      <c r="O3800" s="40"/>
      <c r="P3800" s="40"/>
      <c r="Q3800" s="3"/>
    </row>
    <row r="3801" spans="1:17" ht="18.75">
      <c r="A3801" s="100">
        <v>0</v>
      </c>
      <c r="B3801" s="96" t="s">
        <v>32</v>
      </c>
      <c r="E3801" s="96"/>
      <c r="F3801" s="96" t="s">
        <v>11</v>
      </c>
      <c r="G3801" s="110"/>
      <c r="H3801" s="110"/>
      <c r="I3801" s="110"/>
      <c r="J3801" s="110"/>
      <c r="K3801" s="40"/>
      <c r="L3801" s="40"/>
      <c r="M3801" s="40"/>
      <c r="N3801" s="40"/>
      <c r="O3801" s="40"/>
      <c r="P3801" s="40"/>
      <c r="Q3801" s="3"/>
    </row>
    <row r="3802" spans="1:17" ht="18.75">
      <c r="A3802" s="100">
        <v>0</v>
      </c>
      <c r="B3802" s="96" t="s">
        <v>32</v>
      </c>
      <c r="E3802" s="96"/>
      <c r="F3802" s="96" t="s">
        <v>11</v>
      </c>
      <c r="G3802" s="110"/>
      <c r="H3802" s="110"/>
      <c r="I3802" s="110"/>
      <c r="J3802" s="110"/>
      <c r="K3802" s="40"/>
      <c r="L3802" s="40"/>
      <c r="M3802" s="40"/>
      <c r="N3802" s="40"/>
      <c r="O3802" s="40"/>
      <c r="P3802" s="40"/>
      <c r="Q3802" s="3"/>
    </row>
    <row r="3803" spans="1:17" ht="18.75">
      <c r="A3803" s="100">
        <v>0</v>
      </c>
      <c r="B3803" s="96" t="s">
        <v>32</v>
      </c>
      <c r="E3803" s="96"/>
      <c r="F3803" s="96" t="s">
        <v>11</v>
      </c>
      <c r="G3803" s="110"/>
      <c r="H3803" s="110"/>
      <c r="I3803" s="110"/>
      <c r="J3803" s="110"/>
      <c r="K3803" s="40"/>
      <c r="L3803" s="40"/>
      <c r="M3803" s="40"/>
      <c r="N3803" s="40"/>
      <c r="O3803" s="40"/>
      <c r="P3803" s="40"/>
      <c r="Q3803" s="3"/>
    </row>
    <row r="3804" spans="1:17">
      <c r="A3804" s="36" t="s">
        <v>0</v>
      </c>
      <c r="B3804" s="54">
        <f>B3771+1</f>
        <v>27</v>
      </c>
      <c r="C3804" s="36" t="s">
        <v>805</v>
      </c>
      <c r="D3804" s="36"/>
      <c r="E3804" s="36"/>
      <c r="F3804" s="36"/>
      <c r="G3804" s="36"/>
      <c r="H3804" s="36"/>
      <c r="I3804" s="36"/>
      <c r="J3804" s="36"/>
      <c r="K3804" s="36"/>
      <c r="L3804" s="36"/>
      <c r="M3804" s="36"/>
      <c r="N3804" s="36"/>
      <c r="O3804" s="36"/>
      <c r="P3804" s="36"/>
    </row>
    <row r="3805" spans="1:17">
      <c r="A3805" s="36" t="s">
        <v>277</v>
      </c>
      <c r="B3805" s="54">
        <f t="shared" si="88"/>
        <v>28</v>
      </c>
      <c r="C3805" s="36" t="s">
        <v>806</v>
      </c>
      <c r="D3805" s="36"/>
      <c r="E3805" s="36"/>
      <c r="F3805" s="36"/>
      <c r="G3805" s="36"/>
      <c r="H3805" s="36"/>
      <c r="I3805" s="36"/>
      <c r="J3805" s="36"/>
      <c r="K3805" s="36"/>
      <c r="L3805" s="36"/>
      <c r="M3805" s="36"/>
      <c r="N3805" s="36"/>
      <c r="O3805" s="36"/>
      <c r="P3805" s="36"/>
    </row>
    <row r="3806" spans="1:17">
      <c r="A3806" s="1" t="s">
        <v>2</v>
      </c>
      <c r="B3806" s="2" t="s">
        <v>3</v>
      </c>
    </row>
    <row r="3807" spans="1:17">
      <c r="A3807" s="6">
        <v>0</v>
      </c>
      <c r="B3807" s="6">
        <v>0</v>
      </c>
      <c r="C3807" s="6">
        <v>0</v>
      </c>
      <c r="D3807" s="2" t="s">
        <v>3</v>
      </c>
      <c r="F3807" s="2" t="s">
        <v>807</v>
      </c>
    </row>
    <row r="3808" spans="1:17" ht="15">
      <c r="A3808" s="6">
        <v>0</v>
      </c>
      <c r="B3808" s="6">
        <v>0</v>
      </c>
      <c r="C3808" s="6">
        <v>0</v>
      </c>
      <c r="D3808" s="2" t="s">
        <v>3</v>
      </c>
      <c r="F3808" s="2" t="s">
        <v>808</v>
      </c>
    </row>
    <row r="3809" spans="1:11">
      <c r="A3809" s="6">
        <v>0</v>
      </c>
      <c r="B3809" s="2" t="s">
        <v>3</v>
      </c>
      <c r="C3809" s="76"/>
      <c r="D3809" s="76"/>
      <c r="E3809" s="34"/>
      <c r="F3809" s="2" t="s">
        <v>11</v>
      </c>
    </row>
    <row r="3810" spans="1:11">
      <c r="A3810" s="6">
        <v>0</v>
      </c>
      <c r="B3810" s="2" t="s">
        <v>3</v>
      </c>
      <c r="C3810" s="76"/>
      <c r="D3810" s="76"/>
      <c r="E3810" s="34"/>
      <c r="F3810" s="2" t="s">
        <v>11</v>
      </c>
    </row>
    <row r="3811" spans="1:11">
      <c r="A3811" s="1" t="s">
        <v>2</v>
      </c>
      <c r="B3811" s="2" t="s">
        <v>342</v>
      </c>
    </row>
    <row r="3812" spans="1:11">
      <c r="A3812" s="1" t="s">
        <v>809</v>
      </c>
      <c r="B3812" s="2" t="s">
        <v>810</v>
      </c>
      <c r="C3812" s="2" t="s">
        <v>811</v>
      </c>
      <c r="D3812" s="2" t="s">
        <v>812</v>
      </c>
      <c r="E3812" s="2" t="s">
        <v>813</v>
      </c>
      <c r="F3812" s="2" t="s">
        <v>814</v>
      </c>
      <c r="G3812" s="116" t="s">
        <v>869</v>
      </c>
      <c r="H3812" s="34"/>
      <c r="I3812" s="34"/>
      <c r="J3812" s="34"/>
      <c r="K3812" s="34"/>
    </row>
    <row r="3813" spans="1:11">
      <c r="A3813" s="6">
        <v>1</v>
      </c>
      <c r="B3813" s="6">
        <v>255</v>
      </c>
      <c r="C3813" s="6">
        <v>255</v>
      </c>
      <c r="D3813" s="6">
        <v>255</v>
      </c>
      <c r="E3813" s="6">
        <v>255</v>
      </c>
      <c r="F3813" s="6">
        <v>255</v>
      </c>
      <c r="G3813" s="116" t="s">
        <v>815</v>
      </c>
      <c r="H3813" s="34"/>
      <c r="I3813" s="34"/>
      <c r="J3813" s="34"/>
      <c r="K3813" s="34"/>
    </row>
    <row r="3814" spans="1:11">
      <c r="A3814" s="6">
        <v>2</v>
      </c>
      <c r="B3814" s="6">
        <v>255</v>
      </c>
      <c r="C3814" s="6">
        <v>255</v>
      </c>
      <c r="D3814" s="6">
        <v>255</v>
      </c>
      <c r="E3814" s="6">
        <v>255</v>
      </c>
      <c r="F3814" s="6">
        <v>255</v>
      </c>
      <c r="G3814" s="116" t="s">
        <v>816</v>
      </c>
      <c r="H3814" s="113" t="s">
        <v>991</v>
      </c>
      <c r="I3814" s="114"/>
      <c r="J3814" s="34"/>
      <c r="K3814" s="34"/>
    </row>
    <row r="3815" spans="1:11">
      <c r="A3815" s="6">
        <v>3</v>
      </c>
      <c r="B3815" s="6">
        <v>255</v>
      </c>
      <c r="C3815" s="6">
        <v>255</v>
      </c>
      <c r="D3815" s="6">
        <v>255</v>
      </c>
      <c r="E3815" s="6">
        <v>255</v>
      </c>
      <c r="F3815" s="6">
        <v>255</v>
      </c>
      <c r="G3815" s="116" t="s">
        <v>817</v>
      </c>
      <c r="H3815" s="116" t="s">
        <v>870</v>
      </c>
      <c r="I3815" s="34"/>
      <c r="J3815" s="34"/>
      <c r="K3815" s="34"/>
    </row>
    <row r="3816" spans="1:11">
      <c r="A3816" s="6">
        <v>4</v>
      </c>
      <c r="B3816" s="6">
        <v>255</v>
      </c>
      <c r="C3816" s="6">
        <v>255</v>
      </c>
      <c r="D3816" s="6">
        <v>255</v>
      </c>
      <c r="E3816" s="6">
        <v>255</v>
      </c>
      <c r="F3816" s="6">
        <v>255</v>
      </c>
      <c r="G3816" s="116" t="s">
        <v>818</v>
      </c>
      <c r="H3816" s="116" t="s">
        <v>871</v>
      </c>
      <c r="I3816" s="34"/>
      <c r="J3816" s="34"/>
      <c r="K3816" s="34"/>
    </row>
    <row r="3817" spans="1:11">
      <c r="A3817" s="6">
        <v>5</v>
      </c>
      <c r="B3817" s="6">
        <v>255</v>
      </c>
      <c r="C3817" s="6">
        <v>255</v>
      </c>
      <c r="D3817" s="6">
        <v>255</v>
      </c>
      <c r="E3817" s="6">
        <v>255</v>
      </c>
      <c r="F3817" s="6">
        <v>255</v>
      </c>
      <c r="G3817" s="116" t="s">
        <v>819</v>
      </c>
      <c r="H3817" s="34"/>
      <c r="I3817" s="34"/>
      <c r="J3817" s="34"/>
      <c r="K3817" s="34"/>
    </row>
    <row r="3818" spans="1:11">
      <c r="A3818" s="6">
        <v>6</v>
      </c>
      <c r="B3818" s="6">
        <v>255</v>
      </c>
      <c r="C3818" s="6">
        <v>255</v>
      </c>
      <c r="D3818" s="6">
        <v>255</v>
      </c>
      <c r="E3818" s="6">
        <v>255</v>
      </c>
      <c r="F3818" s="6">
        <v>255</v>
      </c>
      <c r="G3818" s="2" t="s">
        <v>820</v>
      </c>
    </row>
    <row r="3819" spans="1:11">
      <c r="A3819" s="6">
        <v>7</v>
      </c>
      <c r="B3819" s="6">
        <v>255</v>
      </c>
      <c r="C3819" s="6">
        <v>255</v>
      </c>
      <c r="D3819" s="6">
        <v>255</v>
      </c>
      <c r="E3819" s="6">
        <v>255</v>
      </c>
      <c r="F3819" s="6">
        <v>255</v>
      </c>
      <c r="G3819" s="2" t="s">
        <v>821</v>
      </c>
    </row>
    <row r="3820" spans="1:11">
      <c r="A3820" s="6">
        <v>8</v>
      </c>
      <c r="B3820" s="6">
        <v>1</v>
      </c>
      <c r="C3820" s="6">
        <v>1</v>
      </c>
      <c r="D3820" s="6">
        <v>1</v>
      </c>
      <c r="E3820" s="6">
        <v>1</v>
      </c>
      <c r="F3820" s="6">
        <v>1</v>
      </c>
      <c r="G3820" s="2" t="s">
        <v>822</v>
      </c>
    </row>
    <row r="3821" spans="1:11">
      <c r="A3821" s="6">
        <v>9</v>
      </c>
      <c r="B3821" s="6">
        <v>1</v>
      </c>
      <c r="C3821" s="6">
        <v>1</v>
      </c>
      <c r="D3821" s="6">
        <v>1</v>
      </c>
      <c r="E3821" s="6">
        <v>1</v>
      </c>
      <c r="F3821" s="6">
        <v>1</v>
      </c>
      <c r="G3821" s="2" t="s">
        <v>823</v>
      </c>
    </row>
    <row r="3822" spans="1:11">
      <c r="A3822" s="6">
        <v>10</v>
      </c>
      <c r="B3822" s="6">
        <v>1</v>
      </c>
      <c r="C3822" s="6">
        <v>1</v>
      </c>
      <c r="D3822" s="6">
        <v>1</v>
      </c>
      <c r="E3822" s="6">
        <v>1</v>
      </c>
      <c r="F3822" s="6">
        <v>1</v>
      </c>
      <c r="G3822" s="2" t="s">
        <v>824</v>
      </c>
    </row>
    <row r="3823" spans="1:11">
      <c r="A3823" s="6">
        <v>11</v>
      </c>
      <c r="B3823" s="6">
        <v>1</v>
      </c>
      <c r="C3823" s="6">
        <v>1</v>
      </c>
      <c r="D3823" s="6">
        <v>1</v>
      </c>
      <c r="E3823" s="6">
        <v>1</v>
      </c>
      <c r="F3823" s="6">
        <v>1</v>
      </c>
      <c r="G3823" s="2" t="s">
        <v>825</v>
      </c>
    </row>
    <row r="3824" spans="1:11">
      <c r="A3824" s="6">
        <v>12</v>
      </c>
      <c r="B3824" s="6">
        <v>1</v>
      </c>
      <c r="C3824" s="6">
        <v>1</v>
      </c>
      <c r="D3824" s="6">
        <v>1</v>
      </c>
      <c r="E3824" s="6">
        <v>1</v>
      </c>
      <c r="F3824" s="6">
        <v>1</v>
      </c>
      <c r="G3824" s="2" t="s">
        <v>826</v>
      </c>
    </row>
    <row r="3825" spans="1:7">
      <c r="A3825" s="6">
        <v>13</v>
      </c>
      <c r="B3825" s="6">
        <v>1</v>
      </c>
      <c r="C3825" s="6">
        <v>1</v>
      </c>
      <c r="D3825" s="6">
        <v>1</v>
      </c>
      <c r="E3825" s="6">
        <v>1</v>
      </c>
      <c r="F3825" s="6">
        <v>1</v>
      </c>
      <c r="G3825" s="2" t="s">
        <v>827</v>
      </c>
    </row>
    <row r="3826" spans="1:7">
      <c r="A3826" s="6">
        <v>14</v>
      </c>
      <c r="B3826" s="6">
        <v>1</v>
      </c>
      <c r="C3826" s="6">
        <v>1</v>
      </c>
      <c r="D3826" s="6">
        <v>1</v>
      </c>
      <c r="E3826" s="6">
        <v>1</v>
      </c>
      <c r="F3826" s="6">
        <v>1</v>
      </c>
      <c r="G3826" s="2" t="s">
        <v>828</v>
      </c>
    </row>
    <row r="3827" spans="1:7">
      <c r="A3827" s="6">
        <v>15</v>
      </c>
      <c r="B3827" s="6">
        <v>1</v>
      </c>
      <c r="C3827" s="6">
        <v>1</v>
      </c>
      <c r="D3827" s="6">
        <v>1</v>
      </c>
      <c r="E3827" s="6">
        <v>1</v>
      </c>
      <c r="F3827" s="6">
        <v>1</v>
      </c>
      <c r="G3827" s="2" t="s">
        <v>829</v>
      </c>
    </row>
    <row r="3828" spans="1:7">
      <c r="A3828" s="6">
        <v>16</v>
      </c>
      <c r="B3828" s="6">
        <v>1</v>
      </c>
      <c r="C3828" s="6">
        <v>1</v>
      </c>
      <c r="D3828" s="6">
        <v>1</v>
      </c>
      <c r="E3828" s="6">
        <v>1</v>
      </c>
      <c r="F3828" s="6">
        <v>1</v>
      </c>
      <c r="G3828" s="2" t="s">
        <v>830</v>
      </c>
    </row>
    <row r="3829" spans="1:7">
      <c r="A3829" s="6">
        <v>17</v>
      </c>
      <c r="B3829" s="6">
        <v>1</v>
      </c>
      <c r="C3829" s="6">
        <v>1</v>
      </c>
      <c r="D3829" s="6">
        <v>1</v>
      </c>
      <c r="E3829" s="6">
        <v>1</v>
      </c>
      <c r="F3829" s="6">
        <v>1</v>
      </c>
      <c r="G3829" s="2" t="s">
        <v>831</v>
      </c>
    </row>
    <row r="3830" spans="1:7">
      <c r="A3830" s="6">
        <v>18</v>
      </c>
      <c r="B3830" s="6">
        <v>1</v>
      </c>
      <c r="C3830" s="6">
        <v>1</v>
      </c>
      <c r="D3830" s="6">
        <v>1</v>
      </c>
      <c r="E3830" s="6">
        <v>1</v>
      </c>
      <c r="F3830" s="6">
        <v>1</v>
      </c>
      <c r="G3830" s="2" t="s">
        <v>832</v>
      </c>
    </row>
    <row r="3831" spans="1:7">
      <c r="A3831" s="6">
        <v>19</v>
      </c>
      <c r="B3831" s="6">
        <v>1</v>
      </c>
      <c r="C3831" s="6">
        <v>1</v>
      </c>
      <c r="D3831" s="6">
        <v>1</v>
      </c>
      <c r="E3831" s="6">
        <v>1</v>
      </c>
      <c r="F3831" s="6">
        <v>1</v>
      </c>
      <c r="G3831" s="2" t="s">
        <v>833</v>
      </c>
    </row>
    <row r="3832" spans="1:7">
      <c r="A3832" s="6">
        <v>20</v>
      </c>
      <c r="B3832" s="6">
        <v>1</v>
      </c>
      <c r="C3832" s="6">
        <v>1</v>
      </c>
      <c r="D3832" s="6">
        <v>1</v>
      </c>
      <c r="E3832" s="6">
        <v>1</v>
      </c>
      <c r="F3832" s="6">
        <v>1</v>
      </c>
      <c r="G3832" s="2" t="s">
        <v>834</v>
      </c>
    </row>
    <row r="3833" spans="1:7">
      <c r="A3833" s="6">
        <v>21</v>
      </c>
      <c r="B3833" s="6">
        <v>1</v>
      </c>
      <c r="C3833" s="6">
        <v>1</v>
      </c>
      <c r="D3833" s="6">
        <v>1</v>
      </c>
      <c r="E3833" s="6">
        <v>1</v>
      </c>
      <c r="F3833" s="6">
        <v>1</v>
      </c>
      <c r="G3833" s="2" t="s">
        <v>835</v>
      </c>
    </row>
    <row r="3834" spans="1:7">
      <c r="A3834" s="6">
        <v>22</v>
      </c>
      <c r="B3834" s="6">
        <v>1</v>
      </c>
      <c r="C3834" s="6">
        <v>1</v>
      </c>
      <c r="D3834" s="6">
        <v>1</v>
      </c>
      <c r="E3834" s="6">
        <v>1</v>
      </c>
      <c r="F3834" s="6">
        <v>1</v>
      </c>
      <c r="G3834" s="2" t="s">
        <v>836</v>
      </c>
    </row>
    <row r="3835" spans="1:7">
      <c r="A3835" s="6">
        <v>23</v>
      </c>
      <c r="B3835" s="6">
        <v>1</v>
      </c>
      <c r="C3835" s="6">
        <v>1</v>
      </c>
      <c r="D3835" s="6">
        <v>1</v>
      </c>
      <c r="E3835" s="6">
        <v>1</v>
      </c>
      <c r="F3835" s="6">
        <v>1</v>
      </c>
      <c r="G3835" s="2" t="s">
        <v>837</v>
      </c>
    </row>
    <row r="3836" spans="1:7">
      <c r="A3836" s="6">
        <v>24</v>
      </c>
      <c r="B3836" s="6">
        <v>1</v>
      </c>
      <c r="C3836" s="6">
        <v>1</v>
      </c>
      <c r="D3836" s="6">
        <v>1</v>
      </c>
      <c r="E3836" s="6">
        <v>1</v>
      </c>
      <c r="F3836" s="6">
        <v>1</v>
      </c>
      <c r="G3836" s="2" t="s">
        <v>838</v>
      </c>
    </row>
    <row r="3837" spans="1:7">
      <c r="A3837" s="6">
        <v>25</v>
      </c>
      <c r="B3837" s="6">
        <v>1</v>
      </c>
      <c r="C3837" s="6">
        <v>1</v>
      </c>
      <c r="D3837" s="6">
        <v>1</v>
      </c>
      <c r="E3837" s="6">
        <v>1</v>
      </c>
      <c r="F3837" s="6">
        <v>1</v>
      </c>
      <c r="G3837" s="2" t="s">
        <v>839</v>
      </c>
    </row>
    <row r="3838" spans="1:7">
      <c r="A3838" s="6">
        <v>26</v>
      </c>
      <c r="B3838" s="6">
        <v>1</v>
      </c>
      <c r="C3838" s="6">
        <v>1</v>
      </c>
      <c r="D3838" s="6">
        <v>1</v>
      </c>
      <c r="E3838" s="6">
        <v>1</v>
      </c>
      <c r="F3838" s="6">
        <v>1</v>
      </c>
      <c r="G3838" s="2" t="s">
        <v>840</v>
      </c>
    </row>
    <row r="3839" spans="1:7">
      <c r="A3839" s="6">
        <v>27</v>
      </c>
      <c r="B3839" s="6">
        <v>1</v>
      </c>
      <c r="C3839" s="6">
        <v>1</v>
      </c>
      <c r="D3839" s="6">
        <v>1</v>
      </c>
      <c r="E3839" s="6">
        <v>1</v>
      </c>
      <c r="F3839" s="6">
        <v>1</v>
      </c>
      <c r="G3839" s="2" t="s">
        <v>841</v>
      </c>
    </row>
    <row r="3840" spans="1:7">
      <c r="A3840" s="6">
        <v>28</v>
      </c>
      <c r="B3840" s="6">
        <v>1</v>
      </c>
      <c r="C3840" s="6">
        <v>1</v>
      </c>
      <c r="D3840" s="6">
        <v>1</v>
      </c>
      <c r="E3840" s="6">
        <v>1</v>
      </c>
      <c r="F3840" s="6">
        <v>1</v>
      </c>
      <c r="G3840" s="2" t="s">
        <v>842</v>
      </c>
    </row>
    <row r="3841" spans="1:7">
      <c r="A3841" s="6">
        <v>29</v>
      </c>
      <c r="B3841" s="6">
        <v>1</v>
      </c>
      <c r="C3841" s="6">
        <v>1</v>
      </c>
      <c r="D3841" s="6">
        <v>1</v>
      </c>
      <c r="E3841" s="6">
        <v>1</v>
      </c>
      <c r="F3841" s="6">
        <v>1</v>
      </c>
      <c r="G3841" s="2" t="s">
        <v>843</v>
      </c>
    </row>
    <row r="3842" spans="1:7">
      <c r="A3842" s="6">
        <v>30</v>
      </c>
      <c r="B3842" s="6">
        <v>1</v>
      </c>
      <c r="C3842" s="6">
        <v>1</v>
      </c>
      <c r="D3842" s="6">
        <v>1</v>
      </c>
      <c r="E3842" s="6">
        <v>1</v>
      </c>
      <c r="F3842" s="6">
        <v>1</v>
      </c>
      <c r="G3842" s="2" t="s">
        <v>844</v>
      </c>
    </row>
    <row r="3843" spans="1:7">
      <c r="A3843" s="6">
        <v>31</v>
      </c>
      <c r="B3843" s="6">
        <v>1</v>
      </c>
      <c r="C3843" s="6">
        <v>1</v>
      </c>
      <c r="D3843" s="6">
        <v>1</v>
      </c>
      <c r="E3843" s="6">
        <v>1</v>
      </c>
      <c r="F3843" s="6">
        <v>1</v>
      </c>
      <c r="G3843" s="2" t="s">
        <v>845</v>
      </c>
    </row>
    <row r="3844" spans="1:7">
      <c r="A3844" s="6">
        <v>32</v>
      </c>
      <c r="B3844" s="6"/>
      <c r="C3844" s="6"/>
      <c r="D3844" s="6"/>
      <c r="E3844" s="6"/>
      <c r="F3844" s="6"/>
      <c r="G3844" s="2" t="s">
        <v>846</v>
      </c>
    </row>
    <row r="3845" spans="1:7">
      <c r="A3845" s="6">
        <v>33</v>
      </c>
      <c r="B3845" s="6"/>
      <c r="C3845" s="6"/>
      <c r="D3845" s="6"/>
      <c r="E3845" s="6"/>
      <c r="F3845" s="6"/>
      <c r="G3845" s="2" t="s">
        <v>846</v>
      </c>
    </row>
    <row r="3846" spans="1:7">
      <c r="A3846" s="6">
        <v>34</v>
      </c>
      <c r="B3846" s="6"/>
      <c r="C3846" s="6"/>
      <c r="D3846" s="6"/>
      <c r="E3846" s="6"/>
      <c r="F3846" s="6"/>
      <c r="G3846" s="2" t="s">
        <v>846</v>
      </c>
    </row>
    <row r="3847" spans="1:7">
      <c r="A3847" s="6">
        <v>35</v>
      </c>
      <c r="B3847" s="6"/>
      <c r="C3847" s="6"/>
      <c r="D3847" s="6"/>
      <c r="E3847" s="6"/>
      <c r="F3847" s="6"/>
      <c r="G3847" s="2" t="s">
        <v>846</v>
      </c>
    </row>
    <row r="3848" spans="1:7">
      <c r="A3848" s="6">
        <v>36</v>
      </c>
      <c r="B3848" s="6"/>
      <c r="C3848" s="6"/>
      <c r="D3848" s="6"/>
      <c r="E3848" s="6"/>
      <c r="F3848" s="6"/>
      <c r="G3848" s="2" t="s">
        <v>846</v>
      </c>
    </row>
    <row r="3849" spans="1:7">
      <c r="A3849" s="6">
        <v>37</v>
      </c>
      <c r="B3849" s="6"/>
      <c r="C3849" s="6"/>
      <c r="D3849" s="6"/>
      <c r="E3849" s="6"/>
      <c r="F3849" s="6"/>
      <c r="G3849" s="2" t="s">
        <v>846</v>
      </c>
    </row>
    <row r="3850" spans="1:7">
      <c r="A3850" s="6">
        <v>38</v>
      </c>
      <c r="B3850" s="6"/>
      <c r="C3850" s="6"/>
      <c r="D3850" s="6"/>
      <c r="E3850" s="6"/>
      <c r="F3850" s="6"/>
      <c r="G3850" s="2" t="s">
        <v>846</v>
      </c>
    </row>
    <row r="3851" spans="1:7">
      <c r="A3851" s="6">
        <v>39</v>
      </c>
      <c r="B3851" s="6"/>
      <c r="C3851" s="6"/>
      <c r="D3851" s="6"/>
      <c r="E3851" s="6"/>
      <c r="F3851" s="6"/>
      <c r="G3851" s="2" t="s">
        <v>846</v>
      </c>
    </row>
    <row r="3852" spans="1:7">
      <c r="A3852" s="6">
        <v>40</v>
      </c>
      <c r="B3852" s="6"/>
      <c r="C3852" s="6"/>
      <c r="D3852" s="6"/>
      <c r="E3852" s="6"/>
      <c r="F3852" s="6"/>
      <c r="G3852" s="2" t="s">
        <v>846</v>
      </c>
    </row>
    <row r="3853" spans="1:7">
      <c r="A3853" s="6">
        <v>41</v>
      </c>
      <c r="B3853" s="6"/>
      <c r="C3853" s="6"/>
      <c r="D3853" s="6"/>
      <c r="E3853" s="6"/>
      <c r="F3853" s="6"/>
      <c r="G3853" s="2" t="s">
        <v>846</v>
      </c>
    </row>
    <row r="3854" spans="1:7">
      <c r="A3854" s="6">
        <v>42</v>
      </c>
      <c r="B3854" s="6"/>
      <c r="C3854" s="6"/>
      <c r="D3854" s="6"/>
      <c r="E3854" s="6"/>
      <c r="F3854" s="6"/>
      <c r="G3854" s="2" t="s">
        <v>846</v>
      </c>
    </row>
    <row r="3855" spans="1:7">
      <c r="A3855" s="6">
        <v>43</v>
      </c>
      <c r="B3855" s="6"/>
      <c r="C3855" s="6"/>
      <c r="D3855" s="6"/>
      <c r="E3855" s="6"/>
      <c r="F3855" s="6"/>
      <c r="G3855" s="2" t="s">
        <v>846</v>
      </c>
    </row>
    <row r="3856" spans="1:7">
      <c r="A3856" s="6">
        <v>44</v>
      </c>
      <c r="B3856" s="6"/>
      <c r="C3856" s="6"/>
      <c r="D3856" s="6"/>
      <c r="E3856" s="6"/>
      <c r="F3856" s="6"/>
      <c r="G3856" s="2" t="s">
        <v>846</v>
      </c>
    </row>
    <row r="3857" spans="1:7">
      <c r="A3857" s="6">
        <v>45</v>
      </c>
      <c r="B3857" s="6"/>
      <c r="C3857" s="6"/>
      <c r="D3857" s="6"/>
      <c r="E3857" s="6"/>
      <c r="F3857" s="6"/>
      <c r="G3857" s="2" t="s">
        <v>846</v>
      </c>
    </row>
    <row r="3858" spans="1:7">
      <c r="A3858" s="6">
        <v>46</v>
      </c>
      <c r="B3858" s="6"/>
      <c r="C3858" s="6"/>
      <c r="D3858" s="6"/>
      <c r="E3858" s="6"/>
      <c r="F3858" s="6"/>
      <c r="G3858" s="2" t="s">
        <v>846</v>
      </c>
    </row>
    <row r="3859" spans="1:7">
      <c r="A3859" s="6">
        <v>47</v>
      </c>
      <c r="B3859" s="6"/>
      <c r="C3859" s="6"/>
      <c r="D3859" s="6"/>
      <c r="E3859" s="6"/>
      <c r="F3859" s="6"/>
      <c r="G3859" s="2" t="s">
        <v>846</v>
      </c>
    </row>
    <row r="3860" spans="1:7">
      <c r="A3860" s="6">
        <v>48</v>
      </c>
      <c r="B3860" s="6"/>
      <c r="C3860" s="6"/>
      <c r="D3860" s="6"/>
      <c r="E3860" s="6"/>
      <c r="F3860" s="6"/>
      <c r="G3860" s="2" t="s">
        <v>846</v>
      </c>
    </row>
    <row r="3861" spans="1:7">
      <c r="A3861" s="6">
        <v>49</v>
      </c>
      <c r="B3861" s="6"/>
      <c r="C3861" s="6"/>
      <c r="D3861" s="6"/>
      <c r="E3861" s="6"/>
      <c r="F3861" s="6"/>
      <c r="G3861" s="2" t="s">
        <v>846</v>
      </c>
    </row>
    <row r="3862" spans="1:7">
      <c r="A3862" s="6">
        <v>50</v>
      </c>
      <c r="B3862" s="6"/>
      <c r="C3862" s="6"/>
      <c r="D3862" s="6"/>
      <c r="E3862" s="6"/>
      <c r="F3862" s="6"/>
      <c r="G3862" s="2" t="s">
        <v>846</v>
      </c>
    </row>
    <row r="3863" spans="1:7">
      <c r="A3863" s="6">
        <v>51</v>
      </c>
      <c r="B3863" s="6"/>
      <c r="C3863" s="6"/>
      <c r="D3863" s="6"/>
      <c r="E3863" s="6"/>
      <c r="F3863" s="6"/>
      <c r="G3863" s="2" t="s">
        <v>846</v>
      </c>
    </row>
    <row r="3864" spans="1:7">
      <c r="A3864" s="6">
        <v>52</v>
      </c>
      <c r="B3864" s="6"/>
      <c r="C3864" s="6"/>
      <c r="D3864" s="6"/>
      <c r="E3864" s="6"/>
      <c r="F3864" s="6"/>
      <c r="G3864" s="2" t="s">
        <v>846</v>
      </c>
    </row>
    <row r="3865" spans="1:7">
      <c r="A3865" s="6">
        <v>53</v>
      </c>
      <c r="B3865" s="6"/>
      <c r="C3865" s="6"/>
      <c r="D3865" s="6"/>
      <c r="E3865" s="6"/>
      <c r="F3865" s="6"/>
      <c r="G3865" s="2" t="s">
        <v>846</v>
      </c>
    </row>
    <row r="3866" spans="1:7">
      <c r="A3866" s="6">
        <v>54</v>
      </c>
      <c r="B3866" s="6"/>
      <c r="C3866" s="6"/>
      <c r="D3866" s="6"/>
      <c r="E3866" s="6"/>
      <c r="F3866" s="6"/>
      <c r="G3866" s="2" t="s">
        <v>846</v>
      </c>
    </row>
    <row r="3867" spans="1:7">
      <c r="A3867" s="6">
        <v>55</v>
      </c>
      <c r="B3867" s="6"/>
      <c r="C3867" s="6"/>
      <c r="D3867" s="6"/>
      <c r="E3867" s="6"/>
      <c r="F3867" s="6"/>
      <c r="G3867" s="2" t="s">
        <v>846</v>
      </c>
    </row>
    <row r="3868" spans="1:7">
      <c r="A3868" s="6">
        <v>56</v>
      </c>
      <c r="B3868" s="6"/>
      <c r="C3868" s="6"/>
      <c r="D3868" s="6"/>
      <c r="E3868" s="6"/>
      <c r="F3868" s="6"/>
      <c r="G3868" s="2" t="s">
        <v>846</v>
      </c>
    </row>
    <row r="3869" spans="1:7">
      <c r="A3869" s="6">
        <v>57</v>
      </c>
      <c r="B3869" s="6"/>
      <c r="C3869" s="6"/>
      <c r="D3869" s="6"/>
      <c r="E3869" s="6"/>
      <c r="F3869" s="6"/>
      <c r="G3869" s="2" t="s">
        <v>846</v>
      </c>
    </row>
    <row r="3870" spans="1:7">
      <c r="A3870" s="6">
        <v>58</v>
      </c>
      <c r="B3870" s="6"/>
      <c r="C3870" s="6"/>
      <c r="D3870" s="6"/>
      <c r="E3870" s="6"/>
      <c r="F3870" s="6"/>
      <c r="G3870" s="2" t="s">
        <v>846</v>
      </c>
    </row>
    <row r="3871" spans="1:7">
      <c r="A3871" s="6">
        <v>59</v>
      </c>
      <c r="B3871" s="6"/>
      <c r="C3871" s="6"/>
      <c r="D3871" s="6"/>
      <c r="E3871" s="6"/>
      <c r="F3871" s="6"/>
      <c r="G3871" s="2" t="s">
        <v>846</v>
      </c>
    </row>
    <row r="3872" spans="1:7">
      <c r="A3872" s="6">
        <v>60</v>
      </c>
      <c r="B3872" s="6"/>
      <c r="C3872" s="6"/>
      <c r="D3872" s="6"/>
      <c r="E3872" s="6"/>
      <c r="F3872" s="6"/>
      <c r="G3872" s="2" t="s">
        <v>846</v>
      </c>
    </row>
    <row r="3873" spans="1:16">
      <c r="A3873" s="2" t="s">
        <v>847</v>
      </c>
      <c r="B3873" s="7"/>
      <c r="C3873" s="7"/>
      <c r="D3873" s="7"/>
      <c r="E3873" s="7"/>
      <c r="F3873" s="7"/>
    </row>
    <row r="3874" spans="1:16">
      <c r="A3874" s="36" t="s">
        <v>277</v>
      </c>
      <c r="B3874" s="54">
        <f>B3805+1</f>
        <v>29</v>
      </c>
      <c r="C3874" s="36" t="s">
        <v>848</v>
      </c>
      <c r="D3874" s="36"/>
      <c r="E3874" s="36"/>
      <c r="F3874" s="36"/>
      <c r="G3874" s="36"/>
      <c r="H3874" s="36"/>
      <c r="I3874" s="36"/>
      <c r="J3874" s="36"/>
      <c r="K3874" s="36"/>
      <c r="L3874" s="36"/>
      <c r="M3874" s="36"/>
      <c r="N3874" s="36"/>
      <c r="O3874" s="36"/>
      <c r="P3874" s="36"/>
    </row>
    <row r="3875" spans="1:16">
      <c r="A3875" s="1" t="s">
        <v>2</v>
      </c>
      <c r="B3875" s="2" t="s">
        <v>3</v>
      </c>
    </row>
    <row r="3876" spans="1:16">
      <c r="A3876" s="6">
        <v>0</v>
      </c>
      <c r="B3876" s="6">
        <v>0</v>
      </c>
      <c r="C3876" s="6">
        <v>0</v>
      </c>
      <c r="D3876" s="2" t="s">
        <v>3</v>
      </c>
      <c r="F3876" s="2" t="s">
        <v>849</v>
      </c>
    </row>
    <row r="3877" spans="1:16">
      <c r="A3877" s="6">
        <v>0</v>
      </c>
      <c r="B3877" s="2" t="s">
        <v>3</v>
      </c>
      <c r="F3877" s="2" t="s">
        <v>11</v>
      </c>
    </row>
    <row r="3878" spans="1:16">
      <c r="A3878" s="6">
        <v>0</v>
      </c>
      <c r="B3878" s="2" t="s">
        <v>3</v>
      </c>
      <c r="F3878" s="2" t="s">
        <v>11</v>
      </c>
    </row>
    <row r="3879" spans="1:16">
      <c r="A3879" s="6">
        <v>0</v>
      </c>
      <c r="B3879" s="2" t="s">
        <v>3</v>
      </c>
      <c r="F3879" s="2" t="s">
        <v>11</v>
      </c>
    </row>
    <row r="3880" spans="1:16">
      <c r="A3880" s="6">
        <v>0</v>
      </c>
      <c r="B3880" s="2" t="s">
        <v>3</v>
      </c>
      <c r="F3880" s="2" t="s">
        <v>11</v>
      </c>
    </row>
    <row r="3881" spans="1:16">
      <c r="A3881" s="6">
        <v>0</v>
      </c>
      <c r="B3881" s="2" t="s">
        <v>3</v>
      </c>
      <c r="F3881" s="2" t="s">
        <v>11</v>
      </c>
    </row>
    <row r="3882" spans="1:16">
      <c r="A3882" s="36" t="s">
        <v>277</v>
      </c>
      <c r="B3882" s="54">
        <f>B3874+1</f>
        <v>30</v>
      </c>
      <c r="C3882" s="36" t="s">
        <v>850</v>
      </c>
      <c r="D3882" s="36"/>
      <c r="E3882" s="36"/>
      <c r="F3882" s="36"/>
      <c r="G3882" s="36"/>
      <c r="H3882" s="36"/>
      <c r="I3882" s="36"/>
      <c r="J3882" s="36"/>
      <c r="K3882" s="36"/>
      <c r="L3882" s="36"/>
      <c r="M3882" s="36"/>
      <c r="N3882" s="36"/>
      <c r="O3882" s="36"/>
      <c r="P3882" s="36"/>
    </row>
    <row r="3883" spans="1:16">
      <c r="A3883" s="1" t="s">
        <v>2</v>
      </c>
      <c r="B3883" s="2" t="s">
        <v>3</v>
      </c>
    </row>
    <row r="3884" spans="1:16" ht="15">
      <c r="A3884" s="6">
        <v>0</v>
      </c>
      <c r="B3884" s="6">
        <v>0</v>
      </c>
      <c r="C3884" s="6">
        <v>0</v>
      </c>
      <c r="D3884" s="2" t="s">
        <v>3</v>
      </c>
      <c r="F3884" s="2" t="s">
        <v>851</v>
      </c>
    </row>
    <row r="3885" spans="1:16" ht="15">
      <c r="A3885" s="6">
        <v>0</v>
      </c>
      <c r="B3885" s="6">
        <v>0</v>
      </c>
      <c r="C3885" s="6">
        <v>0</v>
      </c>
      <c r="D3885" s="2" t="s">
        <v>3</v>
      </c>
      <c r="F3885" s="2" t="s">
        <v>852</v>
      </c>
    </row>
    <row r="3886" spans="1:16" ht="15">
      <c r="A3886" s="6">
        <v>0</v>
      </c>
      <c r="B3886" s="2" t="s">
        <v>3</v>
      </c>
      <c r="F3886" s="2" t="s">
        <v>853</v>
      </c>
    </row>
    <row r="3887" spans="1:16">
      <c r="A3887" s="6">
        <v>0</v>
      </c>
      <c r="B3887" s="2" t="s">
        <v>3</v>
      </c>
      <c r="F3887" s="2" t="s">
        <v>854</v>
      </c>
    </row>
    <row r="3888" spans="1:16">
      <c r="A3888" s="36" t="s">
        <v>277</v>
      </c>
      <c r="B3888" s="54">
        <f>B3882+1</f>
        <v>31</v>
      </c>
      <c r="C3888" s="36" t="s">
        <v>855</v>
      </c>
      <c r="D3888" s="10"/>
      <c r="E3888" s="10"/>
      <c r="F3888" s="10"/>
      <c r="G3888" s="10"/>
      <c r="H3888" s="10"/>
      <c r="I3888" s="10"/>
      <c r="J3888" s="10"/>
      <c r="K3888" s="10"/>
      <c r="L3888" s="10"/>
      <c r="M3888" s="10"/>
      <c r="N3888" s="10"/>
      <c r="O3888" s="10"/>
      <c r="P3888" s="10"/>
    </row>
    <row r="3889" spans="1:6">
      <c r="A3889" s="1" t="s">
        <v>2</v>
      </c>
      <c r="B3889" s="2" t="s">
        <v>3</v>
      </c>
    </row>
    <row r="3890" spans="1:6" ht="15">
      <c r="A3890" s="6">
        <v>0</v>
      </c>
      <c r="B3890" s="6">
        <v>0</v>
      </c>
      <c r="C3890" s="6">
        <v>0</v>
      </c>
      <c r="D3890" s="2" t="s">
        <v>3</v>
      </c>
      <c r="F3890" s="2" t="s">
        <v>856</v>
      </c>
    </row>
    <row r="3891" spans="1:6">
      <c r="A3891" s="6">
        <v>0</v>
      </c>
      <c r="B3891" s="2" t="s">
        <v>3</v>
      </c>
      <c r="F3891" s="2" t="s">
        <v>11</v>
      </c>
    </row>
    <row r="3892" spans="1:6">
      <c r="A3892" s="6">
        <v>0</v>
      </c>
      <c r="B3892" s="2" t="s">
        <v>3</v>
      </c>
      <c r="F3892" s="2" t="s">
        <v>11</v>
      </c>
    </row>
    <row r="3893" spans="1:6">
      <c r="A3893" s="6">
        <v>0</v>
      </c>
      <c r="B3893" s="2" t="s">
        <v>3</v>
      </c>
      <c r="F3893" s="2" t="s">
        <v>11</v>
      </c>
    </row>
    <row r="3894" spans="1:6">
      <c r="A3894" s="6">
        <v>0</v>
      </c>
      <c r="B3894" s="2" t="s">
        <v>3</v>
      </c>
      <c r="F3894" s="2" t="s">
        <v>11</v>
      </c>
    </row>
    <row r="3895" spans="1:6">
      <c r="A3895" s="6">
        <v>0</v>
      </c>
      <c r="B3895" s="2" t="s">
        <v>3</v>
      </c>
    </row>
  </sheetData>
  <autoFilter ref="A1:Q309"/>
  <phoneticPr fontId="6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34"/>
  <sheetViews>
    <sheetView workbookViewId="0">
      <selection activeCell="D7" sqref="D7"/>
    </sheetView>
  </sheetViews>
  <sheetFormatPr defaultRowHeight="14.25"/>
  <sheetData>
    <row r="3" spans="2:4">
      <c r="B3" t="s">
        <v>857</v>
      </c>
    </row>
    <row r="4" spans="2:4">
      <c r="B4" t="s">
        <v>0</v>
      </c>
      <c r="C4">
        <v>1</v>
      </c>
      <c r="D4" t="s">
        <v>858</v>
      </c>
    </row>
    <row r="5" spans="2:4">
      <c r="B5" t="s">
        <v>277</v>
      </c>
      <c r="C5">
        <v>2</v>
      </c>
      <c r="D5" t="s">
        <v>25</v>
      </c>
    </row>
    <row r="6" spans="2:4">
      <c r="B6" t="s">
        <v>277</v>
      </c>
      <c r="C6">
        <v>3</v>
      </c>
      <c r="D6" t="s">
        <v>29</v>
      </c>
    </row>
    <row r="7" spans="2:4">
      <c r="B7" t="s">
        <v>277</v>
      </c>
      <c r="C7">
        <v>4</v>
      </c>
      <c r="D7" t="s">
        <v>30</v>
      </c>
    </row>
    <row r="8" spans="2:4">
      <c r="B8" t="s">
        <v>277</v>
      </c>
      <c r="C8">
        <v>5</v>
      </c>
      <c r="D8" t="s">
        <v>31</v>
      </c>
    </row>
    <row r="9" spans="2:4">
      <c r="B9" t="s">
        <v>277</v>
      </c>
      <c r="C9">
        <v>6</v>
      </c>
      <c r="D9" t="s">
        <v>48</v>
      </c>
    </row>
    <row r="10" spans="2:4">
      <c r="B10" t="s">
        <v>277</v>
      </c>
      <c r="C10">
        <v>7</v>
      </c>
      <c r="D10" t="s">
        <v>201</v>
      </c>
    </row>
    <row r="11" spans="2:4">
      <c r="B11" t="s">
        <v>277</v>
      </c>
      <c r="C11">
        <v>8</v>
      </c>
      <c r="D11" t="s">
        <v>859</v>
      </c>
    </row>
    <row r="12" spans="2:4">
      <c r="B12" t="s">
        <v>277</v>
      </c>
      <c r="C12">
        <v>9</v>
      </c>
      <c r="D12" t="s">
        <v>860</v>
      </c>
    </row>
    <row r="13" spans="2:4">
      <c r="B13" t="s">
        <v>277</v>
      </c>
      <c r="C13">
        <v>10</v>
      </c>
      <c r="D13" t="s">
        <v>327</v>
      </c>
    </row>
    <row r="14" spans="2:4">
      <c r="B14" t="s">
        <v>277</v>
      </c>
      <c r="C14">
        <v>11</v>
      </c>
      <c r="D14" t="s">
        <v>366</v>
      </c>
    </row>
    <row r="15" spans="2:4">
      <c r="B15" t="s">
        <v>277</v>
      </c>
      <c r="C15">
        <v>12</v>
      </c>
      <c r="D15" t="s">
        <v>512</v>
      </c>
    </row>
    <row r="16" spans="2:4">
      <c r="B16" t="s">
        <v>277</v>
      </c>
      <c r="C16">
        <v>13</v>
      </c>
      <c r="D16" t="s">
        <v>532</v>
      </c>
    </row>
    <row r="17" spans="2:4">
      <c r="B17" t="s">
        <v>277</v>
      </c>
      <c r="C17">
        <v>14</v>
      </c>
      <c r="D17" t="s">
        <v>656</v>
      </c>
    </row>
    <row r="18" spans="2:4">
      <c r="B18" t="s">
        <v>277</v>
      </c>
      <c r="C18">
        <v>15</v>
      </c>
      <c r="D18" t="s">
        <v>657</v>
      </c>
    </row>
    <row r="19" spans="2:4">
      <c r="B19" t="s">
        <v>277</v>
      </c>
      <c r="C19">
        <v>16</v>
      </c>
      <c r="D19" t="s">
        <v>662</v>
      </c>
    </row>
    <row r="20" spans="2:4">
      <c r="B20" t="s">
        <v>277</v>
      </c>
      <c r="C20">
        <v>17</v>
      </c>
      <c r="D20" t="s">
        <v>663</v>
      </c>
    </row>
    <row r="21" spans="2:4">
      <c r="B21" t="s">
        <v>277</v>
      </c>
      <c r="C21">
        <v>18</v>
      </c>
      <c r="D21" t="s">
        <v>664</v>
      </c>
    </row>
    <row r="22" spans="2:4">
      <c r="B22" t="s">
        <v>277</v>
      </c>
      <c r="C22">
        <v>19</v>
      </c>
      <c r="D22" t="s">
        <v>759</v>
      </c>
    </row>
    <row r="23" spans="2:4">
      <c r="B23" t="s">
        <v>277</v>
      </c>
      <c r="C23">
        <v>20</v>
      </c>
      <c r="D23" t="s">
        <v>769</v>
      </c>
    </row>
    <row r="24" spans="2:4">
      <c r="B24" t="s">
        <v>277</v>
      </c>
      <c r="C24">
        <v>21</v>
      </c>
      <c r="D24" t="s">
        <v>779</v>
      </c>
    </row>
    <row r="25" spans="2:4">
      <c r="B25" t="s">
        <v>277</v>
      </c>
      <c r="C25">
        <v>22</v>
      </c>
      <c r="D25" t="s">
        <v>784</v>
      </c>
    </row>
    <row r="26" spans="2:4">
      <c r="B26" t="s">
        <v>277</v>
      </c>
      <c r="C26">
        <v>23</v>
      </c>
      <c r="D26" t="s">
        <v>789</v>
      </c>
    </row>
    <row r="27" spans="2:4">
      <c r="B27" t="s">
        <v>277</v>
      </c>
      <c r="C27">
        <v>24</v>
      </c>
      <c r="D27" t="s">
        <v>790</v>
      </c>
    </row>
    <row r="28" spans="2:4">
      <c r="B28" t="s">
        <v>277</v>
      </c>
      <c r="C28">
        <v>25</v>
      </c>
      <c r="D28" t="s">
        <v>791</v>
      </c>
    </row>
    <row r="29" spans="2:4">
      <c r="B29" t="s">
        <v>277</v>
      </c>
      <c r="C29">
        <v>26</v>
      </c>
      <c r="D29" t="s">
        <v>795</v>
      </c>
    </row>
    <row r="30" spans="2:4">
      <c r="B30" t="s">
        <v>277</v>
      </c>
      <c r="C30">
        <v>27</v>
      </c>
      <c r="D30" t="s">
        <v>861</v>
      </c>
    </row>
    <row r="31" spans="2:4">
      <c r="B31" t="s">
        <v>277</v>
      </c>
      <c r="C31">
        <v>28</v>
      </c>
      <c r="D31" t="s">
        <v>806</v>
      </c>
    </row>
    <row r="32" spans="2:4">
      <c r="B32" t="s">
        <v>277</v>
      </c>
      <c r="C32">
        <v>29</v>
      </c>
      <c r="D32" t="s">
        <v>848</v>
      </c>
    </row>
    <row r="33" spans="2:4">
      <c r="B33" t="s">
        <v>277</v>
      </c>
      <c r="C33">
        <v>30</v>
      </c>
      <c r="D33" t="s">
        <v>850</v>
      </c>
    </row>
    <row r="34" spans="2:4">
      <c r="B34" t="s">
        <v>277</v>
      </c>
      <c r="C34">
        <v>31</v>
      </c>
      <c r="D34" t="s">
        <v>855</v>
      </c>
    </row>
  </sheetData>
  <phoneticPr fontId="1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BC2C4DF302044BA8D1FEA92C59F2B5" ma:contentTypeVersion="8" ma:contentTypeDescription="新しいドキュメントを作成します。" ma:contentTypeScope="" ma:versionID="f4fa2e4b90c87db1c1060ca99560e88d">
  <xsd:schema xmlns:xsd="http://www.w3.org/2001/XMLSchema" xmlns:xs="http://www.w3.org/2001/XMLSchema" xmlns:p="http://schemas.microsoft.com/office/2006/metadata/properties" xmlns:ns2="e720257b-1fc6-470b-92a0-1f7a1b78a2e6" targetNamespace="http://schemas.microsoft.com/office/2006/metadata/properties" ma:root="true" ma:fieldsID="31315edfbbea0821b71ca351cf37446b" ns2:_="">
    <xsd:import namespace="e720257b-1fc6-470b-92a0-1f7a1b78a2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20257b-1fc6-470b-92a0-1f7a1b78a2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DCED39-A9CF-4858-9E65-8ECE3A7E96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20257b-1fc6-470b-92a0-1f7a1b78a2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B7E38F-D2CE-4F25-8241-6CDA746BDC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5FD51F-758A-4BC1-8990-8365FB8FDA0F}">
  <ds:schemaRefs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e720257b-1fc6-470b-92a0-1f7a1b78a2e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pen_set</vt:lpstr>
      <vt:lpstr>Sheet1</vt:lpstr>
    </vt:vector>
  </TitlesOfParts>
  <Manager/>
  <Company>株式会社タイテック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志知 久彰</dc:creator>
  <cp:keywords/>
  <dc:description/>
  <cp:lastModifiedBy>TZD</cp:lastModifiedBy>
  <cp:revision/>
  <dcterms:created xsi:type="dcterms:W3CDTF">2019-06-20T06:13:43Z</dcterms:created>
  <dcterms:modified xsi:type="dcterms:W3CDTF">2022-10-31T03:35:06Z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0x010100AFBC2C4DF302044BA8D1FEA92C59F2B5</vt:lpwstr>
  </property>
</Properties>
</file>